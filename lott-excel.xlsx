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34560" windowHeight="20480" tabRatio="600" firstSheet="0" activeTab="6" autoFilterDateGrouping="1"/>
  </bookViews>
  <sheets>
    <sheet name="case_predictions_full500" sheetId="1" state="visible" r:id="rId1"/>
    <sheet name="mcnemar_overall" sheetId="2" state="visible" r:id="rId2"/>
    <sheet name="mcnemar_positive_recall" sheetId="3" state="visible" r:id="rId3"/>
    <sheet name="mcnemar_negative_recall" sheetId="4" state="visible" r:id="rId4"/>
    <sheet name="lrs_caselevel" sheetId="5" state="visible" r:id="rId5"/>
    <sheet name="comparison_plan" sheetId="6" state="visible" r:id="rId6"/>
    <sheet name="router_coverage" sheetId="7" state="visible" r:id="rId7"/>
  </sheets>
  <definedNames/>
  <calcPr calcId="191029" fullCalcOnLoad="1"/>
</workbook>
</file>

<file path=xl/styles.xml><?xml version="1.0" encoding="utf-8"?>
<styleSheet xmlns="http://schemas.openxmlformats.org/spreadsheetml/2006/main">
  <numFmts count="3">
    <numFmt numFmtId="164" formatCode="0.000"/>
    <numFmt numFmtId="165" formatCode="0.0000"/>
    <numFmt numFmtId="166" formatCode="0.0%"/>
  </numFmts>
  <fonts count="7">
    <font>
      <name val="Calibri"/>
      <family val="2"/>
      <color theme="1"/>
      <sz val="11"/>
      <scheme val="minor"/>
    </font>
    <font>
      <name val="Calibri"/>
      <family val="2"/>
      <b val="1"/>
      <color rgb="FFFFFFFF"/>
      <sz val="11"/>
    </font>
    <font>
      <name val="Calibri"/>
      <family val="2"/>
      <color rgb="FF0000FF"/>
      <sz val="11"/>
    </font>
    <font>
      <name val="Calibri"/>
      <family val="2"/>
      <color rgb="FF000000"/>
      <sz val="11"/>
    </font>
    <font>
      <name val="Calibri"/>
      <family val="2"/>
      <color rgb="FF666666"/>
      <sz val="11"/>
    </font>
    <font>
      <name val="Calibri"/>
      <family val="2"/>
      <color rgb="FF7030A0"/>
      <sz val="11"/>
    </font>
    <font>
      <name val="Calibri"/>
      <family val="2"/>
      <b val="1"/>
      <sz val="11"/>
    </font>
  </fonts>
  <fills count="9">
    <fill>
      <patternFill/>
    </fill>
    <fill>
      <patternFill patternType="gray125"/>
    </fill>
    <fill>
      <patternFill patternType="solid">
        <fgColor rgb="FF1F4E78"/>
      </patternFill>
    </fill>
    <fill>
      <patternFill patternType="solid">
        <fgColor rgb="FFEAF2FF"/>
      </patternFill>
    </fill>
    <fill>
      <patternFill patternType="solid">
        <fgColor rgb="FFFFFFFF"/>
      </patternFill>
    </fill>
    <fill>
      <patternFill patternType="solid">
        <fgColor rgb="FF6E6E6E"/>
      </patternFill>
    </fill>
    <fill>
      <patternFill patternType="solid">
        <fgColor rgb="FFE7E6E6"/>
      </patternFill>
    </fill>
    <fill>
      <patternFill patternType="solid">
        <fgColor rgb="FFEDE7F6"/>
      </patternFill>
    </fill>
    <fill>
      <patternFill patternType="solid">
        <fgColor rgb="FFFCE4D6"/>
      </patternFill>
    </fill>
  </fills>
  <borders count="2">
    <border>
      <left/>
      <right/>
      <top/>
      <bottom/>
      <diagonal/>
    </border>
    <border>
      <left/>
      <right/>
      <top/>
      <bottom style="thin">
        <color rgb="FFA6A6A6"/>
      </bottom>
      <diagonal/>
    </border>
  </borders>
  <cellStyleXfs count="1">
    <xf numFmtId="0" fontId="0" fillId="0" borderId="0"/>
  </cellStyleXfs>
  <cellXfs count="15">
    <xf numFmtId="0" fontId="0" fillId="0" borderId="0" pivotButton="0" quotePrefix="0" xfId="0"/>
    <xf numFmtId="0" fontId="1" fillId="2" borderId="1" applyAlignment="1" pivotButton="0" quotePrefix="0" xfId="0">
      <alignment horizontal="center" vertical="center" wrapText="1"/>
    </xf>
    <xf numFmtId="0" fontId="1" fillId="5" borderId="1" applyAlignment="1" pivotButton="0" quotePrefix="0" xfId="0">
      <alignment horizontal="center" vertical="center" wrapText="1"/>
    </xf>
    <xf numFmtId="0" fontId="2" fillId="3" borderId="0" applyAlignment="1" pivotButton="0" quotePrefix="0" xfId="0">
      <alignment horizontal="center"/>
    </xf>
    <xf numFmtId="0" fontId="3" fillId="4" borderId="0" applyAlignment="1" pivotButton="0" quotePrefix="0" xfId="0">
      <alignment horizontal="center"/>
    </xf>
    <xf numFmtId="0" fontId="4" fillId="6" borderId="0" applyAlignment="1" pivotButton="0" quotePrefix="0" xfId="0">
      <alignment horizontal="center"/>
    </xf>
    <xf numFmtId="164" fontId="3" fillId="4" borderId="0" applyAlignment="1" pivotButton="0" quotePrefix="0" xfId="0">
      <alignment horizontal="center"/>
    </xf>
    <xf numFmtId="165" fontId="3" fillId="4" borderId="0" applyAlignment="1" pivotButton="0" quotePrefix="0" xfId="0">
      <alignment horizontal="center"/>
    </xf>
    <xf numFmtId="0" fontId="6" fillId="8" borderId="0" pivotButton="0" quotePrefix="0" xfId="0"/>
    <xf numFmtId="0" fontId="5" fillId="7" borderId="0" applyAlignment="1" pivotButton="0" quotePrefix="0" xfId="0">
      <alignment horizontal="center"/>
    </xf>
    <xf numFmtId="0" fontId="4" fillId="6" borderId="0" applyAlignment="1" pivotButton="0" quotePrefix="0" xfId="0">
      <alignment horizontal="left"/>
    </xf>
    <xf numFmtId="166" fontId="3" fillId="4" borderId="0" applyAlignment="1" pivotButton="0" quotePrefix="0" xfId="0">
      <alignment horizontal="center"/>
    </xf>
    <xf numFmtId="0" fontId="0" fillId="8" borderId="0" pivotButton="0" quotePrefix="0" xfId="0"/>
    <xf numFmtId="0" fontId="0" fillId="0" borderId="0" pivotButton="0" quotePrefix="0" xfId="0"/>
    <xf numFmtId="0" fontId="1" fillId="2" borderId="0" applyAlignment="1" pivotButton="0" quotePrefix="0" xfId="0">
      <alignment horizont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omments/comment1.xml><?xml version="1.0" encoding="utf-8"?>
<comments xmlns="http://schemas.openxmlformats.org/spreadsheetml/2006/main">
  <authors>
    <author>OpenAI</author>
  </authors>
  <commentList>
    <comment ref="A1" authorId="0" shapeId="0">
      <text>
        <t>Fill with your case identifier from the raw JSON files.</t>
      </text>
    </comment>
    <comment ref="B1" authorId="0" shapeId="0">
      <text>
        <t>0 = non-violation, 1 = violation</t>
      </text>
    </comment>
    <comment ref="C1" authorId="0" shapeId="0">
      <text>
        <t>For the full LoTT framework only: Direct or RQ.</t>
      </text>
    </comment>
  </commentList>
</comments>
</file>

<file path=xl/comments/comment2.xml><?xml version="1.0" encoding="utf-8"?>
<comments xmlns="http://schemas.openxmlformats.org/spreadsheetml/2006/main">
  <authors>
    <author>OpenAI</author>
  </authors>
  <commentList>
    <comment ref="A1" authorId="0" shapeId="0">
      <text>
        <t>Use the same case_id values as in case_predictions_full500.</t>
      </text>
    </comment>
    <comment ref="B1" authorId="0" shapeId="0">
      <text>
        <t>Number of extracted official-reasoning points for that case.</t>
      </text>
    </comment>
    <comment ref="C1" authorId="0" shapeId="0">
      <text>
        <t>Optional copy of the LoTT routed branch for subset analyses.</t>
      </text>
    </comment>
  </commentList>
</comment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5.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BF501"/>
  <sheetViews>
    <sheetView showGridLines="0" workbookViewId="0">
      <selection activeCell="C1" sqref="C1"/>
    </sheetView>
  </sheetViews>
  <sheetFormatPr baseColWidth="10" defaultColWidth="8.83203125" defaultRowHeight="15"/>
  <cols>
    <col width="14" customWidth="1" style="13" min="1" max="1"/>
    <col width="12" customWidth="1" style="13" min="2" max="2"/>
    <col width="18" customWidth="1" style="13" min="3" max="3"/>
    <col width="17.83203125" bestFit="1" customWidth="1" style="13" min="4" max="4"/>
    <col width="16" customWidth="1" style="13" min="5" max="8"/>
    <col width="24" customWidth="1" style="13" min="9" max="9"/>
    <col width="16" customWidth="1" style="13" min="10" max="58"/>
  </cols>
  <sheetData>
    <row r="1" ht="32" customHeight="1" s="13">
      <c r="A1" s="1" t="inlineStr">
        <is>
          <t>case_id</t>
        </is>
      </c>
      <c r="B1" s="1" t="inlineStr">
        <is>
          <t>gold_label</t>
        </is>
      </c>
      <c r="C1" s="1" t="inlineStr">
        <is>
          <t>lott_routed_branch</t>
        </is>
      </c>
      <c r="D1" s="1" t="inlineStr">
        <is>
          <t>pred_lott_framework</t>
        </is>
      </c>
      <c r="E1" s="1" t="inlineStr">
        <is>
          <t>pred_rq_all500</t>
        </is>
      </c>
      <c r="F1" s="1" t="inlineStr">
        <is>
          <t>pred_g20_standard</t>
        </is>
      </c>
      <c r="G1" s="1" t="inlineStr">
        <is>
          <t>pred_g20_cot</t>
        </is>
      </c>
      <c r="H1" s="1" t="inlineStr">
        <is>
          <t>pred_g20_ls</t>
        </is>
      </c>
      <c r="I1" s="1" t="inlineStr">
        <is>
          <t>pred_g25flash_standard</t>
        </is>
      </c>
      <c r="J1" s="1" t="inlineStr">
        <is>
          <t>pred_g25flash_cot</t>
        </is>
      </c>
      <c r="K1" s="1" t="inlineStr">
        <is>
          <t>pred_g25flash_ls</t>
        </is>
      </c>
      <c r="L1" s="1" t="inlineStr">
        <is>
          <t>pred_g25pro_standard</t>
        </is>
      </c>
      <c r="M1" s="1" t="inlineStr">
        <is>
          <t>pred_g25pro_cot</t>
        </is>
      </c>
      <c r="N1" s="1" t="inlineStr">
        <is>
          <t>pred_g25pro_ls</t>
        </is>
      </c>
      <c r="O1" s="2" t="inlineStr">
        <is>
          <t>correct_lott_framework</t>
        </is>
      </c>
      <c r="P1" s="2" t="inlineStr">
        <is>
          <t>hitpos_lott_framework</t>
        </is>
      </c>
      <c r="Q1" s="2" t="inlineStr">
        <is>
          <t>hitneg_lott_framework</t>
        </is>
      </c>
      <c r="R1" s="2" t="inlineStr">
        <is>
          <t>predpos_lott_framework</t>
        </is>
      </c>
      <c r="S1" s="2" t="inlineStr">
        <is>
          <t>correct_rq_all500</t>
        </is>
      </c>
      <c r="T1" s="2" t="inlineStr">
        <is>
          <t>hitpos_rq_all500</t>
        </is>
      </c>
      <c r="U1" s="2" t="inlineStr">
        <is>
          <t>hitneg_rq_all500</t>
        </is>
      </c>
      <c r="V1" s="2" t="inlineStr">
        <is>
          <t>predpos_rq_all500</t>
        </is>
      </c>
      <c r="W1" s="2" t="inlineStr">
        <is>
          <t>correct_g20_standard</t>
        </is>
      </c>
      <c r="X1" s="2" t="inlineStr">
        <is>
          <t>hitpos_g20_standard</t>
        </is>
      </c>
      <c r="Y1" s="2" t="inlineStr">
        <is>
          <t>hitneg_g20_standard</t>
        </is>
      </c>
      <c r="Z1" s="2" t="inlineStr">
        <is>
          <t>predpos_g20_standard</t>
        </is>
      </c>
      <c r="AA1" s="2" t="inlineStr">
        <is>
          <t>correct_g20_cot</t>
        </is>
      </c>
      <c r="AB1" s="2" t="inlineStr">
        <is>
          <t>hitpos_g20_cot</t>
        </is>
      </c>
      <c r="AC1" s="2" t="inlineStr">
        <is>
          <t>hitneg_g20_cot</t>
        </is>
      </c>
      <c r="AD1" s="2" t="inlineStr">
        <is>
          <t>predpos_g20_cot</t>
        </is>
      </c>
      <c r="AE1" s="2" t="inlineStr">
        <is>
          <t>correct_g20_ls</t>
        </is>
      </c>
      <c r="AF1" s="2" t="inlineStr">
        <is>
          <t>hitpos_g20_ls</t>
        </is>
      </c>
      <c r="AG1" s="2" t="inlineStr">
        <is>
          <t>hitneg_g20_ls</t>
        </is>
      </c>
      <c r="AH1" s="2" t="inlineStr">
        <is>
          <t>predpos_g20_ls</t>
        </is>
      </c>
      <c r="AI1" s="2" t="inlineStr">
        <is>
          <t>correct_g25flash_standard</t>
        </is>
      </c>
      <c r="AJ1" s="2" t="inlineStr">
        <is>
          <t>hitpos_g25flash_standard</t>
        </is>
      </c>
      <c r="AK1" s="2" t="inlineStr">
        <is>
          <t>hitneg_g25flash_standard</t>
        </is>
      </c>
      <c r="AL1" s="2" t="inlineStr">
        <is>
          <t>predpos_g25flash_standard</t>
        </is>
      </c>
      <c r="AM1" s="2" t="inlineStr">
        <is>
          <t>correct_g25flash_cot</t>
        </is>
      </c>
      <c r="AN1" s="2" t="inlineStr">
        <is>
          <t>hitpos_g25flash_cot</t>
        </is>
      </c>
      <c r="AO1" s="2" t="inlineStr">
        <is>
          <t>hitneg_g25flash_cot</t>
        </is>
      </c>
      <c r="AP1" s="2" t="inlineStr">
        <is>
          <t>predpos_g25flash_cot</t>
        </is>
      </c>
      <c r="AQ1" s="2" t="inlineStr">
        <is>
          <t>correct_g25flash_ls</t>
        </is>
      </c>
      <c r="AR1" s="2" t="inlineStr">
        <is>
          <t>hitpos_g25flash_ls</t>
        </is>
      </c>
      <c r="AS1" s="2" t="inlineStr">
        <is>
          <t>hitneg_g25flash_ls</t>
        </is>
      </c>
      <c r="AT1" s="2" t="inlineStr">
        <is>
          <t>predpos_g25flash_ls</t>
        </is>
      </c>
      <c r="AU1" s="2" t="inlineStr">
        <is>
          <t>correct_g25pro_standard</t>
        </is>
      </c>
      <c r="AV1" s="2" t="inlineStr">
        <is>
          <t>hitpos_g25pro_standard</t>
        </is>
      </c>
      <c r="AW1" s="2" t="inlineStr">
        <is>
          <t>hitneg_g25pro_standard</t>
        </is>
      </c>
      <c r="AX1" s="2" t="inlineStr">
        <is>
          <t>predpos_g25pro_standard</t>
        </is>
      </c>
      <c r="AY1" s="2" t="inlineStr">
        <is>
          <t>correct_g25pro_cot</t>
        </is>
      </c>
      <c r="AZ1" s="2" t="inlineStr">
        <is>
          <t>hitpos_g25pro_cot</t>
        </is>
      </c>
      <c r="BA1" s="2" t="inlineStr">
        <is>
          <t>hitneg_g25pro_cot</t>
        </is>
      </c>
      <c r="BB1" s="2" t="inlineStr">
        <is>
          <t>predpos_g25pro_cot</t>
        </is>
      </c>
      <c r="BC1" s="2" t="inlineStr">
        <is>
          <t>correct_g25pro_ls</t>
        </is>
      </c>
      <c r="BD1" s="2" t="inlineStr">
        <is>
          <t>hitpos_g25pro_ls</t>
        </is>
      </c>
      <c r="BE1" s="2" t="inlineStr">
        <is>
          <t>hitneg_g25pro_ls</t>
        </is>
      </c>
      <c r="BF1" s="2" t="inlineStr">
        <is>
          <t>predpos_g25pro_ls</t>
        </is>
      </c>
    </row>
    <row r="2">
      <c r="A2" s="3" t="inlineStr">
        <is>
          <t>201611317</t>
        </is>
      </c>
      <c r="B2" s="3" t="inlineStr">
        <is>
          <t>0</t>
        </is>
      </c>
      <c r="C2" s="3" t="inlineStr">
        <is>
          <t>Direct</t>
        </is>
      </c>
      <c r="D2" s="3" t="inlineStr">
        <is>
          <t>1</t>
        </is>
      </c>
      <c r="E2" s="3" t="inlineStr">
        <is>
          <t>0</t>
        </is>
      </c>
      <c r="F2" s="3" t="inlineStr">
        <is>
          <t>0</t>
        </is>
      </c>
      <c r="G2" s="3" t="inlineStr">
        <is>
          <t>0</t>
        </is>
      </c>
      <c r="H2" s="3" t="inlineStr">
        <is>
          <t>0</t>
        </is>
      </c>
      <c r="I2" s="3" t="inlineStr">
        <is>
          <t>0</t>
        </is>
      </c>
      <c r="J2" s="3" t="inlineStr">
        <is>
          <t>0</t>
        </is>
      </c>
      <c r="K2" s="3" t="inlineStr">
        <is>
          <t>0</t>
        </is>
      </c>
      <c r="L2" s="3" t="inlineStr">
        <is>
          <t>1</t>
        </is>
      </c>
      <c r="M2" s="3" t="inlineStr">
        <is>
          <t>0</t>
        </is>
      </c>
      <c r="N2" s="3" t="inlineStr">
        <is>
          <t>1</t>
        </is>
      </c>
      <c r="O2" s="4">
        <f>IF(OR($B2="",D2=""),"",--(D2=$B2))</f>
        <v/>
      </c>
      <c r="P2" s="4">
        <f>IF(OR($B2="",D2=""),"",IF($B2=1,--(D2=1),""))</f>
        <v/>
      </c>
      <c r="Q2" s="4">
        <f>IF(OR($B2="",D2=""),"",IF($B2=0,--(D2=0),""))</f>
        <v/>
      </c>
      <c r="R2" s="4">
        <f>IF(D2="","",--(D2=1))</f>
        <v/>
      </c>
      <c r="S2" s="4">
        <f>IF(OR($B2="",E2=""),"",--(E2=$B2))</f>
        <v/>
      </c>
      <c r="T2" s="4">
        <f>IF(OR($B2="",E2=""),"",IF($B2=1,--(E2=1),""))</f>
        <v/>
      </c>
      <c r="U2" s="4">
        <f>IF(OR($B2="",E2=""),"",IF($B2=0,--(E2=0),""))</f>
        <v/>
      </c>
      <c r="V2" s="4">
        <f>IF(E2="","",--(E2=1))</f>
        <v/>
      </c>
      <c r="W2" s="4">
        <f>IF(OR($B2="",F2=""),"",--(F2=$B2))</f>
        <v/>
      </c>
      <c r="X2" s="4">
        <f>IF(OR($B2="",F2=""),"",IF($B2=1,--(F2=1),""))</f>
        <v/>
      </c>
      <c r="Y2" s="4">
        <f>IF(OR($B2="",F2=""),"",IF($B2=0,--(F2=0),""))</f>
        <v/>
      </c>
      <c r="Z2" s="4">
        <f>IF(F2="","",--(F2=1))</f>
        <v/>
      </c>
      <c r="AA2" s="4">
        <f>IF(OR($B2="",G2=""),"",--(G2=$B2))</f>
        <v/>
      </c>
      <c r="AB2" s="4">
        <f>IF(OR($B2="",G2=""),"",IF($B2=1,--(G2=1),""))</f>
        <v/>
      </c>
      <c r="AC2" s="4">
        <f>IF(OR($B2="",G2=""),"",IF($B2=0,--(G2=0),""))</f>
        <v/>
      </c>
      <c r="AD2" s="4">
        <f>IF(G2="","",--(G2=1))</f>
        <v/>
      </c>
      <c r="AE2" s="4">
        <f>IF(OR($B2="",H2=""),"",--(H2=$B2))</f>
        <v/>
      </c>
      <c r="AF2" s="4">
        <f>IF(OR($B2="",H2=""),"",IF($B2=1,--(H2=1),""))</f>
        <v/>
      </c>
      <c r="AG2" s="4">
        <f>IF(OR($B2="",H2=""),"",IF($B2=0,--(H2=0),""))</f>
        <v/>
      </c>
      <c r="AH2" s="4">
        <f>IF(H2="","",--(H2=1))</f>
        <v/>
      </c>
      <c r="AI2" s="4">
        <f>IF(OR($B2="",I2=""),"",--(I2=$B2))</f>
        <v/>
      </c>
      <c r="AJ2" s="4">
        <f>IF(OR($B2="",I2=""),"",IF($B2=1,--(I2=1),""))</f>
        <v/>
      </c>
      <c r="AK2" s="4">
        <f>IF(OR($B2="",I2=""),"",IF($B2=0,--(I2=0),""))</f>
        <v/>
      </c>
      <c r="AL2" s="4">
        <f>IF(I2="","",--(I2=1))</f>
        <v/>
      </c>
      <c r="AM2" s="4">
        <f>IF(OR($B2="",J2=""),"",--(J2=$B2))</f>
        <v/>
      </c>
      <c r="AN2" s="4">
        <f>IF(OR($B2="",J2=""),"",IF($B2=1,--(J2=1),""))</f>
        <v/>
      </c>
      <c r="AO2" s="4">
        <f>IF(OR($B2="",J2=""),"",IF($B2=0,--(J2=0),""))</f>
        <v/>
      </c>
      <c r="AP2" s="4">
        <f>IF(J2="","",--(J2=1))</f>
        <v/>
      </c>
      <c r="AQ2" s="4">
        <f>IF(OR($B2="",K2=""),"",--(K2=$B2))</f>
        <v/>
      </c>
      <c r="AR2" s="4">
        <f>IF(OR($B2="",K2=""),"",IF($B2=1,--(K2=1),""))</f>
        <v/>
      </c>
      <c r="AS2" s="4">
        <f>IF(OR($B2="",K2=""),"",IF($B2=0,--(K2=0),""))</f>
        <v/>
      </c>
      <c r="AT2" s="4">
        <f>IF(K2="","",--(K2=1))</f>
        <v/>
      </c>
      <c r="AU2" s="4">
        <f>IF(OR($B2="",L2=""),"",--(L2=$B2))</f>
        <v/>
      </c>
      <c r="AV2" s="4">
        <f>IF(OR($B2="",L2=""),"",IF($B2=1,--(L2=1),""))</f>
        <v/>
      </c>
      <c r="AW2" s="4">
        <f>IF(OR($B2="",L2=""),"",IF($B2=0,--(L2=0),""))</f>
        <v/>
      </c>
      <c r="AX2" s="4">
        <f>IF(L2="","",--(L2=1))</f>
        <v/>
      </c>
      <c r="AY2" s="4">
        <f>IF(OR($B2="",M2=""),"",--(M2=$B2))</f>
        <v/>
      </c>
      <c r="AZ2" s="4">
        <f>IF(OR($B2="",M2=""),"",IF($B2=1,--(M2=1),""))</f>
        <v/>
      </c>
      <c r="BA2" s="4">
        <f>IF(OR($B2="",M2=""),"",IF($B2=0,--(M2=0),""))</f>
        <v/>
      </c>
      <c r="BB2" s="4">
        <f>IF(M2="","",--(M2=1))</f>
        <v/>
      </c>
      <c r="BC2" s="4">
        <f>IF(OR($B2="",N2=""),"",--(N2=$B2))</f>
        <v/>
      </c>
      <c r="BD2" s="4">
        <f>IF(OR($B2="",N2=""),"",IF($B2=1,--(N2=1),""))</f>
        <v/>
      </c>
      <c r="BE2" s="4">
        <f>IF(OR($B2="",N2=""),"",IF($B2=0,--(N2=0),""))</f>
        <v/>
      </c>
      <c r="BF2" s="4">
        <f>IF(N2="","",--(N2=1))</f>
        <v/>
      </c>
    </row>
    <row r="3">
      <c r="A3" s="3" t="inlineStr">
        <is>
          <t>201611319</t>
        </is>
      </c>
      <c r="B3" s="3" t="inlineStr">
        <is>
          <t>0</t>
        </is>
      </c>
      <c r="C3" s="3" t="inlineStr">
        <is>
          <t>Direct</t>
        </is>
      </c>
      <c r="D3" s="3" t="inlineStr">
        <is>
          <t>1</t>
        </is>
      </c>
      <c r="E3" s="3" t="inlineStr">
        <is>
          <t>0</t>
        </is>
      </c>
      <c r="F3" s="3" t="inlineStr">
        <is>
          <t>0</t>
        </is>
      </c>
      <c r="G3" s="3" t="inlineStr">
        <is>
          <t>0</t>
        </is>
      </c>
      <c r="H3" s="3" t="inlineStr">
        <is>
          <t>0</t>
        </is>
      </c>
      <c r="I3" s="3" t="inlineStr">
        <is>
          <t>0</t>
        </is>
      </c>
      <c r="J3" s="3" t="inlineStr">
        <is>
          <t>1</t>
        </is>
      </c>
      <c r="K3" s="3" t="inlineStr">
        <is>
          <t>0</t>
        </is>
      </c>
      <c r="L3" s="3" t="inlineStr">
        <is>
          <t>0</t>
        </is>
      </c>
      <c r="M3" s="3" t="inlineStr">
        <is>
          <t>1</t>
        </is>
      </c>
      <c r="N3" s="3" t="inlineStr">
        <is>
          <t>1</t>
        </is>
      </c>
      <c r="O3" s="4">
        <f>IF(OR($B3="",D3=""),"",--(D3=$B3))</f>
        <v/>
      </c>
      <c r="P3" s="4">
        <f>IF(OR($B3="",D3=""),"",IF($B3=1,--(D3=1),""))</f>
        <v/>
      </c>
      <c r="Q3" s="4">
        <f>IF(OR($B3="",D3=""),"",IF($B3=0,--(D3=0),""))</f>
        <v/>
      </c>
      <c r="R3" s="4">
        <f>IF(D3="","",--(D3=1))</f>
        <v/>
      </c>
      <c r="S3" s="4">
        <f>IF(OR($B3="",E3=""),"",--(E3=$B3))</f>
        <v/>
      </c>
      <c r="T3" s="4">
        <f>IF(OR($B3="",E3=""),"",IF($B3=1,--(E3=1),""))</f>
        <v/>
      </c>
      <c r="U3" s="4">
        <f>IF(OR($B3="",E3=""),"",IF($B3=0,--(E3=0),""))</f>
        <v/>
      </c>
      <c r="V3" s="4">
        <f>IF(E3="","",--(E3=1))</f>
        <v/>
      </c>
      <c r="W3" s="4">
        <f>IF(OR($B3="",F3=""),"",--(F3=$B3))</f>
        <v/>
      </c>
      <c r="X3" s="4">
        <f>IF(OR($B3="",F3=""),"",IF($B3=1,--(F3=1),""))</f>
        <v/>
      </c>
      <c r="Y3" s="4">
        <f>IF(OR($B3="",F3=""),"",IF($B3=0,--(F3=0),""))</f>
        <v/>
      </c>
      <c r="Z3" s="4">
        <f>IF(F3="","",--(F3=1))</f>
        <v/>
      </c>
      <c r="AA3" s="4">
        <f>IF(OR($B3="",G3=""),"",--(G3=$B3))</f>
        <v/>
      </c>
      <c r="AB3" s="4">
        <f>IF(OR($B3="",G3=""),"",IF($B3=1,--(G3=1),""))</f>
        <v/>
      </c>
      <c r="AC3" s="4">
        <f>IF(OR($B3="",G3=""),"",IF($B3=0,--(G3=0),""))</f>
        <v/>
      </c>
      <c r="AD3" s="4">
        <f>IF(G3="","",--(G3=1))</f>
        <v/>
      </c>
      <c r="AE3" s="4">
        <f>IF(OR($B3="",H3=""),"",--(H3=$B3))</f>
        <v/>
      </c>
      <c r="AF3" s="4">
        <f>IF(OR($B3="",H3=""),"",IF($B3=1,--(H3=1),""))</f>
        <v/>
      </c>
      <c r="AG3" s="4">
        <f>IF(OR($B3="",H3=""),"",IF($B3=0,--(H3=0),""))</f>
        <v/>
      </c>
      <c r="AH3" s="4">
        <f>IF(H3="","",--(H3=1))</f>
        <v/>
      </c>
      <c r="AI3" s="4">
        <f>IF(OR($B3="",I3=""),"",--(I3=$B3))</f>
        <v/>
      </c>
      <c r="AJ3" s="4">
        <f>IF(OR($B3="",I3=""),"",IF($B3=1,--(I3=1),""))</f>
        <v/>
      </c>
      <c r="AK3" s="4">
        <f>IF(OR($B3="",I3=""),"",IF($B3=0,--(I3=0),""))</f>
        <v/>
      </c>
      <c r="AL3" s="4">
        <f>IF(I3="","",--(I3=1))</f>
        <v/>
      </c>
      <c r="AM3" s="4">
        <f>IF(OR($B3="",J3=""),"",--(J3=$B3))</f>
        <v/>
      </c>
      <c r="AN3" s="4">
        <f>IF(OR($B3="",J3=""),"",IF($B3=1,--(J3=1),""))</f>
        <v/>
      </c>
      <c r="AO3" s="4">
        <f>IF(OR($B3="",J3=""),"",IF($B3=0,--(J3=0),""))</f>
        <v/>
      </c>
      <c r="AP3" s="4">
        <f>IF(J3="","",--(J3=1))</f>
        <v/>
      </c>
      <c r="AQ3" s="4">
        <f>IF(OR($B3="",K3=""),"",--(K3=$B3))</f>
        <v/>
      </c>
      <c r="AR3" s="4">
        <f>IF(OR($B3="",K3=""),"",IF($B3=1,--(K3=1),""))</f>
        <v/>
      </c>
      <c r="AS3" s="4">
        <f>IF(OR($B3="",K3=""),"",IF($B3=0,--(K3=0),""))</f>
        <v/>
      </c>
      <c r="AT3" s="4">
        <f>IF(K3="","",--(K3=1))</f>
        <v/>
      </c>
      <c r="AU3" s="4">
        <f>IF(OR($B3="",L3=""),"",--(L3=$B3))</f>
        <v/>
      </c>
      <c r="AV3" s="4">
        <f>IF(OR($B3="",L3=""),"",IF($B3=1,--(L3=1),""))</f>
        <v/>
      </c>
      <c r="AW3" s="4">
        <f>IF(OR($B3="",L3=""),"",IF($B3=0,--(L3=0),""))</f>
        <v/>
      </c>
      <c r="AX3" s="4">
        <f>IF(L3="","",--(L3=1))</f>
        <v/>
      </c>
      <c r="AY3" s="4">
        <f>IF(OR($B3="",M3=""),"",--(M3=$B3))</f>
        <v/>
      </c>
      <c r="AZ3" s="4">
        <f>IF(OR($B3="",M3=""),"",IF($B3=1,--(M3=1),""))</f>
        <v/>
      </c>
      <c r="BA3" s="4">
        <f>IF(OR($B3="",M3=""),"",IF($B3=0,--(M3=0),""))</f>
        <v/>
      </c>
      <c r="BB3" s="4">
        <f>IF(M3="","",--(M3=1))</f>
        <v/>
      </c>
      <c r="BC3" s="4">
        <f>IF(OR($B3="",N3=""),"",--(N3=$B3))</f>
        <v/>
      </c>
      <c r="BD3" s="4">
        <f>IF(OR($B3="",N3=""),"",IF($B3=1,--(N3=1),""))</f>
        <v/>
      </c>
      <c r="BE3" s="4">
        <f>IF(OR($B3="",N3=""),"",IF($B3=0,--(N3=0),""))</f>
        <v/>
      </c>
      <c r="BF3" s="4">
        <f>IF(N3="","",--(N3=1))</f>
        <v/>
      </c>
    </row>
    <row r="4">
      <c r="A4" s="3" t="inlineStr">
        <is>
          <t>201720729</t>
        </is>
      </c>
      <c r="B4" s="3" t="inlineStr">
        <is>
          <t>0</t>
        </is>
      </c>
      <c r="C4" s="3" t="inlineStr">
        <is>
          <t>Direct</t>
        </is>
      </c>
      <c r="D4" s="3" t="inlineStr">
        <is>
          <t>1</t>
        </is>
      </c>
      <c r="E4" s="3" t="inlineStr">
        <is>
          <t>0</t>
        </is>
      </c>
      <c r="F4" s="3" t="inlineStr">
        <is>
          <t>0</t>
        </is>
      </c>
      <c r="G4" s="3" t="inlineStr">
        <is>
          <t>0</t>
        </is>
      </c>
      <c r="H4" s="3" t="inlineStr">
        <is>
          <t>0</t>
        </is>
      </c>
      <c r="I4" s="3" t="inlineStr">
        <is>
          <t>0</t>
        </is>
      </c>
      <c r="J4" s="3" t="inlineStr">
        <is>
          <t>0</t>
        </is>
      </c>
      <c r="K4" s="3" t="inlineStr">
        <is>
          <t>0</t>
        </is>
      </c>
      <c r="L4" s="3" t="inlineStr">
        <is>
          <t>1</t>
        </is>
      </c>
      <c r="M4" s="3" t="inlineStr">
        <is>
          <t>1</t>
        </is>
      </c>
      <c r="N4" s="3" t="inlineStr">
        <is>
          <t>1</t>
        </is>
      </c>
      <c r="O4" s="4">
        <f>IF(OR($B4="",D4=""),"",--(D4=$B4))</f>
        <v/>
      </c>
      <c r="P4" s="4">
        <f>IF(OR($B4="",D4=""),"",IF($B4=1,--(D4=1),""))</f>
        <v/>
      </c>
      <c r="Q4" s="4">
        <f>IF(OR($B4="",D4=""),"",IF($B4=0,--(D4=0),""))</f>
        <v/>
      </c>
      <c r="R4" s="4">
        <f>IF(D4="","",--(D4=1))</f>
        <v/>
      </c>
      <c r="S4" s="4">
        <f>IF(OR($B4="",E4=""),"",--(E4=$B4))</f>
        <v/>
      </c>
      <c r="T4" s="4">
        <f>IF(OR($B4="",E4=""),"",IF($B4=1,--(E4=1),""))</f>
        <v/>
      </c>
      <c r="U4" s="4">
        <f>IF(OR($B4="",E4=""),"",IF($B4=0,--(E4=0),""))</f>
        <v/>
      </c>
      <c r="V4" s="4">
        <f>IF(E4="","",--(E4=1))</f>
        <v/>
      </c>
      <c r="W4" s="4">
        <f>IF(OR($B4="",F4=""),"",--(F4=$B4))</f>
        <v/>
      </c>
      <c r="X4" s="4">
        <f>IF(OR($B4="",F4=""),"",IF($B4=1,--(F4=1),""))</f>
        <v/>
      </c>
      <c r="Y4" s="4">
        <f>IF(OR($B4="",F4=""),"",IF($B4=0,--(F4=0),""))</f>
        <v/>
      </c>
      <c r="Z4" s="4">
        <f>IF(F4="","",--(F4=1))</f>
        <v/>
      </c>
      <c r="AA4" s="4">
        <f>IF(OR($B4="",G4=""),"",--(G4=$B4))</f>
        <v/>
      </c>
      <c r="AB4" s="4">
        <f>IF(OR($B4="",G4=""),"",IF($B4=1,--(G4=1),""))</f>
        <v/>
      </c>
      <c r="AC4" s="4">
        <f>IF(OR($B4="",G4=""),"",IF($B4=0,--(G4=0),""))</f>
        <v/>
      </c>
      <c r="AD4" s="4">
        <f>IF(G4="","",--(G4=1))</f>
        <v/>
      </c>
      <c r="AE4" s="4">
        <f>IF(OR($B4="",H4=""),"",--(H4=$B4))</f>
        <v/>
      </c>
      <c r="AF4" s="4">
        <f>IF(OR($B4="",H4=""),"",IF($B4=1,--(H4=1),""))</f>
        <v/>
      </c>
      <c r="AG4" s="4">
        <f>IF(OR($B4="",H4=""),"",IF($B4=0,--(H4=0),""))</f>
        <v/>
      </c>
      <c r="AH4" s="4">
        <f>IF(H4="","",--(H4=1))</f>
        <v/>
      </c>
      <c r="AI4" s="4">
        <f>IF(OR($B4="",I4=""),"",--(I4=$B4))</f>
        <v/>
      </c>
      <c r="AJ4" s="4">
        <f>IF(OR($B4="",I4=""),"",IF($B4=1,--(I4=1),""))</f>
        <v/>
      </c>
      <c r="AK4" s="4">
        <f>IF(OR($B4="",I4=""),"",IF($B4=0,--(I4=0),""))</f>
        <v/>
      </c>
      <c r="AL4" s="4">
        <f>IF(I4="","",--(I4=1))</f>
        <v/>
      </c>
      <c r="AM4" s="4">
        <f>IF(OR($B4="",J4=""),"",--(J4=$B4))</f>
        <v/>
      </c>
      <c r="AN4" s="4">
        <f>IF(OR($B4="",J4=""),"",IF($B4=1,--(J4=1),""))</f>
        <v/>
      </c>
      <c r="AO4" s="4">
        <f>IF(OR($B4="",J4=""),"",IF($B4=0,--(J4=0),""))</f>
        <v/>
      </c>
      <c r="AP4" s="4">
        <f>IF(J4="","",--(J4=1))</f>
        <v/>
      </c>
      <c r="AQ4" s="4">
        <f>IF(OR($B4="",K4=""),"",--(K4=$B4))</f>
        <v/>
      </c>
      <c r="AR4" s="4">
        <f>IF(OR($B4="",K4=""),"",IF($B4=1,--(K4=1),""))</f>
        <v/>
      </c>
      <c r="AS4" s="4">
        <f>IF(OR($B4="",K4=""),"",IF($B4=0,--(K4=0),""))</f>
        <v/>
      </c>
      <c r="AT4" s="4">
        <f>IF(K4="","",--(K4=1))</f>
        <v/>
      </c>
      <c r="AU4" s="4">
        <f>IF(OR($B4="",L4=""),"",--(L4=$B4))</f>
        <v/>
      </c>
      <c r="AV4" s="4">
        <f>IF(OR($B4="",L4=""),"",IF($B4=1,--(L4=1),""))</f>
        <v/>
      </c>
      <c r="AW4" s="4">
        <f>IF(OR($B4="",L4=""),"",IF($B4=0,--(L4=0),""))</f>
        <v/>
      </c>
      <c r="AX4" s="4">
        <f>IF(L4="","",--(L4=1))</f>
        <v/>
      </c>
      <c r="AY4" s="4">
        <f>IF(OR($B4="",M4=""),"",--(M4=$B4))</f>
        <v/>
      </c>
      <c r="AZ4" s="4">
        <f>IF(OR($B4="",M4=""),"",IF($B4=1,--(M4=1),""))</f>
        <v/>
      </c>
      <c r="BA4" s="4">
        <f>IF(OR($B4="",M4=""),"",IF($B4=0,--(M4=0),""))</f>
        <v/>
      </c>
      <c r="BB4" s="4">
        <f>IF(M4="","",--(M4=1))</f>
        <v/>
      </c>
      <c r="BC4" s="4">
        <f>IF(OR($B4="",N4=""),"",--(N4=$B4))</f>
        <v/>
      </c>
      <c r="BD4" s="4">
        <f>IF(OR($B4="",N4=""),"",IF($B4=1,--(N4=1),""))</f>
        <v/>
      </c>
      <c r="BE4" s="4">
        <f>IF(OR($B4="",N4=""),"",IF($B4=0,--(N4=0),""))</f>
        <v/>
      </c>
      <c r="BF4" s="4">
        <f>IF(N4="","",--(N4=1))</f>
        <v/>
      </c>
    </row>
    <row r="5">
      <c r="A5" s="3" t="inlineStr">
        <is>
          <t>201818910</t>
        </is>
      </c>
      <c r="B5" s="3" t="inlineStr">
        <is>
          <t>1</t>
        </is>
      </c>
      <c r="C5" s="3" t="inlineStr">
        <is>
          <t>RQ</t>
        </is>
      </c>
      <c r="D5" s="3" t="inlineStr">
        <is>
          <t>0</t>
        </is>
      </c>
      <c r="E5" s="3" t="inlineStr">
        <is>
          <t>0</t>
        </is>
      </c>
      <c r="F5" s="3" t="inlineStr">
        <is>
          <t>0</t>
        </is>
      </c>
      <c r="G5" s="3" t="inlineStr">
        <is>
          <t>0</t>
        </is>
      </c>
      <c r="H5" s="3" t="inlineStr">
        <is>
          <t>1</t>
        </is>
      </c>
      <c r="I5" s="3" t="inlineStr">
        <is>
          <t>0</t>
        </is>
      </c>
      <c r="J5" s="3" t="inlineStr">
        <is>
          <t>1</t>
        </is>
      </c>
      <c r="K5" s="3" t="inlineStr">
        <is>
          <t>0</t>
        </is>
      </c>
      <c r="L5" s="3" t="inlineStr">
        <is>
          <t>1</t>
        </is>
      </c>
      <c r="M5" s="3" t="inlineStr">
        <is>
          <t>1</t>
        </is>
      </c>
      <c r="N5" s="3" t="inlineStr">
        <is>
          <t>1</t>
        </is>
      </c>
      <c r="O5" s="4">
        <f>IF(OR($B5="",D5=""),"",--(D5=$B5))</f>
        <v/>
      </c>
      <c r="P5" s="4">
        <f>IF(OR($B5="",D5=""),"",IF($B5=1,--(D5=1),""))</f>
        <v/>
      </c>
      <c r="Q5" s="4">
        <f>IF(OR($B5="",D5=""),"",IF($B5=0,--(D5=0),""))</f>
        <v/>
      </c>
      <c r="R5" s="4">
        <f>IF(D5="","",--(D5=1))</f>
        <v/>
      </c>
      <c r="S5" s="4">
        <f>IF(OR($B5="",E5=""),"",--(E5=$B5))</f>
        <v/>
      </c>
      <c r="T5" s="4">
        <f>IF(OR($B5="",E5=""),"",IF($B5=1,--(E5=1),""))</f>
        <v/>
      </c>
      <c r="U5" s="4">
        <f>IF(OR($B5="",E5=""),"",IF($B5=0,--(E5=0),""))</f>
        <v/>
      </c>
      <c r="V5" s="4">
        <f>IF(E5="","",--(E5=1))</f>
        <v/>
      </c>
      <c r="W5" s="4">
        <f>IF(OR($B5="",F5=""),"",--(F5=$B5))</f>
        <v/>
      </c>
      <c r="X5" s="4">
        <f>IF(OR($B5="",F5=""),"",IF($B5=1,--(F5=1),""))</f>
        <v/>
      </c>
      <c r="Y5" s="4">
        <f>IF(OR($B5="",F5=""),"",IF($B5=0,--(F5=0),""))</f>
        <v/>
      </c>
      <c r="Z5" s="4">
        <f>IF(F5="","",--(F5=1))</f>
        <v/>
      </c>
      <c r="AA5" s="4">
        <f>IF(OR($B5="",G5=""),"",--(G5=$B5))</f>
        <v/>
      </c>
      <c r="AB5" s="4">
        <f>IF(OR($B5="",G5=""),"",IF($B5=1,--(G5=1),""))</f>
        <v/>
      </c>
      <c r="AC5" s="4">
        <f>IF(OR($B5="",G5=""),"",IF($B5=0,--(G5=0),""))</f>
        <v/>
      </c>
      <c r="AD5" s="4">
        <f>IF(G5="","",--(G5=1))</f>
        <v/>
      </c>
      <c r="AE5" s="4">
        <f>IF(OR($B5="",H5=""),"",--(H5=$B5))</f>
        <v/>
      </c>
      <c r="AF5" s="4">
        <f>IF(OR($B5="",H5=""),"",IF($B5=1,--(H5=1),""))</f>
        <v/>
      </c>
      <c r="AG5" s="4">
        <f>IF(OR($B5="",H5=""),"",IF($B5=0,--(H5=0),""))</f>
        <v/>
      </c>
      <c r="AH5" s="4">
        <f>IF(H5="","",--(H5=1))</f>
        <v/>
      </c>
      <c r="AI5" s="4">
        <f>IF(OR($B5="",I5=""),"",--(I5=$B5))</f>
        <v/>
      </c>
      <c r="AJ5" s="4">
        <f>IF(OR($B5="",I5=""),"",IF($B5=1,--(I5=1),""))</f>
        <v/>
      </c>
      <c r="AK5" s="4">
        <f>IF(OR($B5="",I5=""),"",IF($B5=0,--(I5=0),""))</f>
        <v/>
      </c>
      <c r="AL5" s="4">
        <f>IF(I5="","",--(I5=1))</f>
        <v/>
      </c>
      <c r="AM5" s="4">
        <f>IF(OR($B5="",J5=""),"",--(J5=$B5))</f>
        <v/>
      </c>
      <c r="AN5" s="4">
        <f>IF(OR($B5="",J5=""),"",IF($B5=1,--(J5=1),""))</f>
        <v/>
      </c>
      <c r="AO5" s="4">
        <f>IF(OR($B5="",J5=""),"",IF($B5=0,--(J5=0),""))</f>
        <v/>
      </c>
      <c r="AP5" s="4">
        <f>IF(J5="","",--(J5=1))</f>
        <v/>
      </c>
      <c r="AQ5" s="4">
        <f>IF(OR($B5="",K5=""),"",--(K5=$B5))</f>
        <v/>
      </c>
      <c r="AR5" s="4">
        <f>IF(OR($B5="",K5=""),"",IF($B5=1,--(K5=1),""))</f>
        <v/>
      </c>
      <c r="AS5" s="4">
        <f>IF(OR($B5="",K5=""),"",IF($B5=0,--(K5=0),""))</f>
        <v/>
      </c>
      <c r="AT5" s="4">
        <f>IF(K5="","",--(K5=1))</f>
        <v/>
      </c>
      <c r="AU5" s="4">
        <f>IF(OR($B5="",L5=""),"",--(L5=$B5))</f>
        <v/>
      </c>
      <c r="AV5" s="4">
        <f>IF(OR($B5="",L5=""),"",IF($B5=1,--(L5=1),""))</f>
        <v/>
      </c>
      <c r="AW5" s="4">
        <f>IF(OR($B5="",L5=""),"",IF($B5=0,--(L5=0),""))</f>
        <v/>
      </c>
      <c r="AX5" s="4">
        <f>IF(L5="","",--(L5=1))</f>
        <v/>
      </c>
      <c r="AY5" s="4">
        <f>IF(OR($B5="",M5=""),"",--(M5=$B5))</f>
        <v/>
      </c>
      <c r="AZ5" s="4">
        <f>IF(OR($B5="",M5=""),"",IF($B5=1,--(M5=1),""))</f>
        <v/>
      </c>
      <c r="BA5" s="4">
        <f>IF(OR($B5="",M5=""),"",IF($B5=0,--(M5=0),""))</f>
        <v/>
      </c>
      <c r="BB5" s="4">
        <f>IF(M5="","",--(M5=1))</f>
        <v/>
      </c>
      <c r="BC5" s="4">
        <f>IF(OR($B5="",N5=""),"",--(N5=$B5))</f>
        <v/>
      </c>
      <c r="BD5" s="4">
        <f>IF(OR($B5="",N5=""),"",IF($B5=1,--(N5=1),""))</f>
        <v/>
      </c>
      <c r="BE5" s="4">
        <f>IF(OR($B5="",N5=""),"",IF($B5=0,--(N5=0),""))</f>
        <v/>
      </c>
      <c r="BF5" s="4">
        <f>IF(N5="","",--(N5=1))</f>
        <v/>
      </c>
    </row>
    <row r="6">
      <c r="A6" s="3" t="inlineStr">
        <is>
          <t>201823477</t>
        </is>
      </c>
      <c r="B6" s="3" t="inlineStr">
        <is>
          <t>1</t>
        </is>
      </c>
      <c r="C6" s="3" t="inlineStr">
        <is>
          <t>Direct</t>
        </is>
      </c>
      <c r="D6" s="3" t="inlineStr">
        <is>
          <t>1</t>
        </is>
      </c>
      <c r="E6" s="3" t="inlineStr">
        <is>
          <t>1</t>
        </is>
      </c>
      <c r="F6" s="3" t="inlineStr">
        <is>
          <t>0</t>
        </is>
      </c>
      <c r="G6" s="3" t="inlineStr">
        <is>
          <t>0</t>
        </is>
      </c>
      <c r="H6" s="3" t="inlineStr">
        <is>
          <t>0</t>
        </is>
      </c>
      <c r="I6" s="3" t="inlineStr">
        <is>
          <t>1</t>
        </is>
      </c>
      <c r="J6" s="3" t="inlineStr">
        <is>
          <t>0</t>
        </is>
      </c>
      <c r="K6" s="3" t="inlineStr">
        <is>
          <t>1</t>
        </is>
      </c>
      <c r="L6" s="3" t="inlineStr">
        <is>
          <t>0</t>
        </is>
      </c>
      <c r="M6" s="3" t="inlineStr">
        <is>
          <t>0</t>
        </is>
      </c>
      <c r="N6" s="3" t="inlineStr">
        <is>
          <t>1</t>
        </is>
      </c>
      <c r="O6" s="4">
        <f>IF(OR($B6="",D6=""),"",--(D6=$B6))</f>
        <v/>
      </c>
      <c r="P6" s="4">
        <f>IF(OR($B6="",D6=""),"",IF($B6=1,--(D6=1),""))</f>
        <v/>
      </c>
      <c r="Q6" s="4">
        <f>IF(OR($B6="",D6=""),"",IF($B6=0,--(D6=0),""))</f>
        <v/>
      </c>
      <c r="R6" s="4">
        <f>IF(D6="","",--(D6=1))</f>
        <v/>
      </c>
      <c r="S6" s="4">
        <f>IF(OR($B6="",E6=""),"",--(E6=$B6))</f>
        <v/>
      </c>
      <c r="T6" s="4">
        <f>IF(OR($B6="",E6=""),"",IF($B6=1,--(E6=1),""))</f>
        <v/>
      </c>
      <c r="U6" s="4">
        <f>IF(OR($B6="",E6=""),"",IF($B6=0,--(E6=0),""))</f>
        <v/>
      </c>
      <c r="V6" s="4">
        <f>IF(E6="","",--(E6=1))</f>
        <v/>
      </c>
      <c r="W6" s="4">
        <f>IF(OR($B6="",F6=""),"",--(F6=$B6))</f>
        <v/>
      </c>
      <c r="X6" s="4">
        <f>IF(OR($B6="",F6=""),"",IF($B6=1,--(F6=1),""))</f>
        <v/>
      </c>
      <c r="Y6" s="4">
        <f>IF(OR($B6="",F6=""),"",IF($B6=0,--(F6=0),""))</f>
        <v/>
      </c>
      <c r="Z6" s="4">
        <f>IF(F6="","",--(F6=1))</f>
        <v/>
      </c>
      <c r="AA6" s="4">
        <f>IF(OR($B6="",G6=""),"",--(G6=$B6))</f>
        <v/>
      </c>
      <c r="AB6" s="4">
        <f>IF(OR($B6="",G6=""),"",IF($B6=1,--(G6=1),""))</f>
        <v/>
      </c>
      <c r="AC6" s="4">
        <f>IF(OR($B6="",G6=""),"",IF($B6=0,--(G6=0),""))</f>
        <v/>
      </c>
      <c r="AD6" s="4">
        <f>IF(G6="","",--(G6=1))</f>
        <v/>
      </c>
      <c r="AE6" s="4">
        <f>IF(OR($B6="",H6=""),"",--(H6=$B6))</f>
        <v/>
      </c>
      <c r="AF6" s="4">
        <f>IF(OR($B6="",H6=""),"",IF($B6=1,--(H6=1),""))</f>
        <v/>
      </c>
      <c r="AG6" s="4">
        <f>IF(OR($B6="",H6=""),"",IF($B6=0,--(H6=0),""))</f>
        <v/>
      </c>
      <c r="AH6" s="4">
        <f>IF(H6="","",--(H6=1))</f>
        <v/>
      </c>
      <c r="AI6" s="4">
        <f>IF(OR($B6="",I6=""),"",--(I6=$B6))</f>
        <v/>
      </c>
      <c r="AJ6" s="4">
        <f>IF(OR($B6="",I6=""),"",IF($B6=1,--(I6=1),""))</f>
        <v/>
      </c>
      <c r="AK6" s="4">
        <f>IF(OR($B6="",I6=""),"",IF($B6=0,--(I6=0),""))</f>
        <v/>
      </c>
      <c r="AL6" s="4">
        <f>IF(I6="","",--(I6=1))</f>
        <v/>
      </c>
      <c r="AM6" s="4">
        <f>IF(OR($B6="",J6=""),"",--(J6=$B6))</f>
        <v/>
      </c>
      <c r="AN6" s="4">
        <f>IF(OR($B6="",J6=""),"",IF($B6=1,--(J6=1),""))</f>
        <v/>
      </c>
      <c r="AO6" s="4">
        <f>IF(OR($B6="",J6=""),"",IF($B6=0,--(J6=0),""))</f>
        <v/>
      </c>
      <c r="AP6" s="4">
        <f>IF(J6="","",--(J6=1))</f>
        <v/>
      </c>
      <c r="AQ6" s="4">
        <f>IF(OR($B6="",K6=""),"",--(K6=$B6))</f>
        <v/>
      </c>
      <c r="AR6" s="4">
        <f>IF(OR($B6="",K6=""),"",IF($B6=1,--(K6=1),""))</f>
        <v/>
      </c>
      <c r="AS6" s="4">
        <f>IF(OR($B6="",K6=""),"",IF($B6=0,--(K6=0),""))</f>
        <v/>
      </c>
      <c r="AT6" s="4">
        <f>IF(K6="","",--(K6=1))</f>
        <v/>
      </c>
      <c r="AU6" s="4">
        <f>IF(OR($B6="",L6=""),"",--(L6=$B6))</f>
        <v/>
      </c>
      <c r="AV6" s="4">
        <f>IF(OR($B6="",L6=""),"",IF($B6=1,--(L6=1),""))</f>
        <v/>
      </c>
      <c r="AW6" s="4">
        <f>IF(OR($B6="",L6=""),"",IF($B6=0,--(L6=0),""))</f>
        <v/>
      </c>
      <c r="AX6" s="4">
        <f>IF(L6="","",--(L6=1))</f>
        <v/>
      </c>
      <c r="AY6" s="4">
        <f>IF(OR($B6="",M6=""),"",--(M6=$B6))</f>
        <v/>
      </c>
      <c r="AZ6" s="4">
        <f>IF(OR($B6="",M6=""),"",IF($B6=1,--(M6=1),""))</f>
        <v/>
      </c>
      <c r="BA6" s="4">
        <f>IF(OR($B6="",M6=""),"",IF($B6=0,--(M6=0),""))</f>
        <v/>
      </c>
      <c r="BB6" s="4">
        <f>IF(M6="","",--(M6=1))</f>
        <v/>
      </c>
      <c r="BC6" s="4">
        <f>IF(OR($B6="",N6=""),"",--(N6=$B6))</f>
        <v/>
      </c>
      <c r="BD6" s="4">
        <f>IF(OR($B6="",N6=""),"",IF($B6=1,--(N6=1),""))</f>
        <v/>
      </c>
      <c r="BE6" s="4">
        <f>IF(OR($B6="",N6=""),"",IF($B6=0,--(N6=0),""))</f>
        <v/>
      </c>
      <c r="BF6" s="4">
        <f>IF(N6="","",--(N6=1))</f>
        <v/>
      </c>
    </row>
    <row r="7">
      <c r="A7" s="3" t="inlineStr">
        <is>
          <t>201824266</t>
        </is>
      </c>
      <c r="B7" s="3" t="inlineStr">
        <is>
          <t>1</t>
        </is>
      </c>
      <c r="C7" s="3" t="inlineStr">
        <is>
          <t>Direct</t>
        </is>
      </c>
      <c r="D7" s="3" t="inlineStr">
        <is>
          <t>1</t>
        </is>
      </c>
      <c r="E7" s="3" t="inlineStr">
        <is>
          <t>1</t>
        </is>
      </c>
      <c r="F7" s="3" t="inlineStr">
        <is>
          <t>1</t>
        </is>
      </c>
      <c r="G7" s="3" t="inlineStr">
        <is>
          <t>1</t>
        </is>
      </c>
      <c r="H7" s="3" t="inlineStr">
        <is>
          <t>1</t>
        </is>
      </c>
      <c r="I7" s="3" t="inlineStr">
        <is>
          <t>1</t>
        </is>
      </c>
      <c r="J7" s="3" t="inlineStr">
        <is>
          <t>1</t>
        </is>
      </c>
      <c r="K7" s="3" t="inlineStr">
        <is>
          <t>1</t>
        </is>
      </c>
      <c r="L7" s="3" t="inlineStr">
        <is>
          <t>1</t>
        </is>
      </c>
      <c r="M7" s="3" t="inlineStr">
        <is>
          <t>1</t>
        </is>
      </c>
      <c r="N7" s="3" t="inlineStr">
        <is>
          <t>1</t>
        </is>
      </c>
      <c r="O7" s="4">
        <f>IF(OR($B7="",D7=""),"",--(D7=$B7))</f>
        <v/>
      </c>
      <c r="P7" s="4">
        <f>IF(OR($B7="",D7=""),"",IF($B7=1,--(D7=1),""))</f>
        <v/>
      </c>
      <c r="Q7" s="4">
        <f>IF(OR($B7="",D7=""),"",IF($B7=0,--(D7=0),""))</f>
        <v/>
      </c>
      <c r="R7" s="4">
        <f>IF(D7="","",--(D7=1))</f>
        <v/>
      </c>
      <c r="S7" s="4">
        <f>IF(OR($B7="",E7=""),"",--(E7=$B7))</f>
        <v/>
      </c>
      <c r="T7" s="4">
        <f>IF(OR($B7="",E7=""),"",IF($B7=1,--(E7=1),""))</f>
        <v/>
      </c>
      <c r="U7" s="4">
        <f>IF(OR($B7="",E7=""),"",IF($B7=0,--(E7=0),""))</f>
        <v/>
      </c>
      <c r="V7" s="4">
        <f>IF(E7="","",--(E7=1))</f>
        <v/>
      </c>
      <c r="W7" s="4">
        <f>IF(OR($B7="",F7=""),"",--(F7=$B7))</f>
        <v/>
      </c>
      <c r="X7" s="4">
        <f>IF(OR($B7="",F7=""),"",IF($B7=1,--(F7=1),""))</f>
        <v/>
      </c>
      <c r="Y7" s="4">
        <f>IF(OR($B7="",F7=""),"",IF($B7=0,--(F7=0),""))</f>
        <v/>
      </c>
      <c r="Z7" s="4">
        <f>IF(F7="","",--(F7=1))</f>
        <v/>
      </c>
      <c r="AA7" s="4">
        <f>IF(OR($B7="",G7=""),"",--(G7=$B7))</f>
        <v/>
      </c>
      <c r="AB7" s="4">
        <f>IF(OR($B7="",G7=""),"",IF($B7=1,--(G7=1),""))</f>
        <v/>
      </c>
      <c r="AC7" s="4">
        <f>IF(OR($B7="",G7=""),"",IF($B7=0,--(G7=0),""))</f>
        <v/>
      </c>
      <c r="AD7" s="4">
        <f>IF(G7="","",--(G7=1))</f>
        <v/>
      </c>
      <c r="AE7" s="4">
        <f>IF(OR($B7="",H7=""),"",--(H7=$B7))</f>
        <v/>
      </c>
      <c r="AF7" s="4">
        <f>IF(OR($B7="",H7=""),"",IF($B7=1,--(H7=1),""))</f>
        <v/>
      </c>
      <c r="AG7" s="4">
        <f>IF(OR($B7="",H7=""),"",IF($B7=0,--(H7=0),""))</f>
        <v/>
      </c>
      <c r="AH7" s="4">
        <f>IF(H7="","",--(H7=1))</f>
        <v/>
      </c>
      <c r="AI7" s="4">
        <f>IF(OR($B7="",I7=""),"",--(I7=$B7))</f>
        <v/>
      </c>
      <c r="AJ7" s="4">
        <f>IF(OR($B7="",I7=""),"",IF($B7=1,--(I7=1),""))</f>
        <v/>
      </c>
      <c r="AK7" s="4">
        <f>IF(OR($B7="",I7=""),"",IF($B7=0,--(I7=0),""))</f>
        <v/>
      </c>
      <c r="AL7" s="4">
        <f>IF(I7="","",--(I7=1))</f>
        <v/>
      </c>
      <c r="AM7" s="4">
        <f>IF(OR($B7="",J7=""),"",--(J7=$B7))</f>
        <v/>
      </c>
      <c r="AN7" s="4">
        <f>IF(OR($B7="",J7=""),"",IF($B7=1,--(J7=1),""))</f>
        <v/>
      </c>
      <c r="AO7" s="4">
        <f>IF(OR($B7="",J7=""),"",IF($B7=0,--(J7=0),""))</f>
        <v/>
      </c>
      <c r="AP7" s="4">
        <f>IF(J7="","",--(J7=1))</f>
        <v/>
      </c>
      <c r="AQ7" s="4">
        <f>IF(OR($B7="",K7=""),"",--(K7=$B7))</f>
        <v/>
      </c>
      <c r="AR7" s="4">
        <f>IF(OR($B7="",K7=""),"",IF($B7=1,--(K7=1),""))</f>
        <v/>
      </c>
      <c r="AS7" s="4">
        <f>IF(OR($B7="",K7=""),"",IF($B7=0,--(K7=0),""))</f>
        <v/>
      </c>
      <c r="AT7" s="4">
        <f>IF(K7="","",--(K7=1))</f>
        <v/>
      </c>
      <c r="AU7" s="4">
        <f>IF(OR($B7="",L7=""),"",--(L7=$B7))</f>
        <v/>
      </c>
      <c r="AV7" s="4">
        <f>IF(OR($B7="",L7=""),"",IF($B7=1,--(L7=1),""))</f>
        <v/>
      </c>
      <c r="AW7" s="4">
        <f>IF(OR($B7="",L7=""),"",IF($B7=0,--(L7=0),""))</f>
        <v/>
      </c>
      <c r="AX7" s="4">
        <f>IF(L7="","",--(L7=1))</f>
        <v/>
      </c>
      <c r="AY7" s="4">
        <f>IF(OR($B7="",M7=""),"",--(M7=$B7))</f>
        <v/>
      </c>
      <c r="AZ7" s="4">
        <f>IF(OR($B7="",M7=""),"",IF($B7=1,--(M7=1),""))</f>
        <v/>
      </c>
      <c r="BA7" s="4">
        <f>IF(OR($B7="",M7=""),"",IF($B7=0,--(M7=0),""))</f>
        <v/>
      </c>
      <c r="BB7" s="4">
        <f>IF(M7="","",--(M7=1))</f>
        <v/>
      </c>
      <c r="BC7" s="4">
        <f>IF(OR($B7="",N7=""),"",--(N7=$B7))</f>
        <v/>
      </c>
      <c r="BD7" s="4">
        <f>IF(OR($B7="",N7=""),"",IF($B7=1,--(N7=1),""))</f>
        <v/>
      </c>
      <c r="BE7" s="4">
        <f>IF(OR($B7="",N7=""),"",IF($B7=0,--(N7=0),""))</f>
        <v/>
      </c>
      <c r="BF7" s="4">
        <f>IF(N7="","",--(N7=1))</f>
        <v/>
      </c>
    </row>
    <row r="8">
      <c r="A8" s="3" t="inlineStr">
        <is>
          <t>201825425</t>
        </is>
      </c>
      <c r="B8" s="3" t="inlineStr">
        <is>
          <t>1</t>
        </is>
      </c>
      <c r="C8" s="3" t="inlineStr">
        <is>
          <t>Direct</t>
        </is>
      </c>
      <c r="D8" s="3" t="inlineStr">
        <is>
          <t>1</t>
        </is>
      </c>
      <c r="E8" s="3" t="inlineStr">
        <is>
          <t>0</t>
        </is>
      </c>
      <c r="F8" s="3" t="inlineStr">
        <is>
          <t>0</t>
        </is>
      </c>
      <c r="G8" s="3" t="inlineStr">
        <is>
          <t>1</t>
        </is>
      </c>
      <c r="H8" s="3" t="inlineStr">
        <is>
          <t>1</t>
        </is>
      </c>
      <c r="I8" s="3" t="inlineStr">
        <is>
          <t>1</t>
        </is>
      </c>
      <c r="J8" s="3" t="inlineStr">
        <is>
          <t>1</t>
        </is>
      </c>
      <c r="K8" s="3" t="inlineStr">
        <is>
          <t>1</t>
        </is>
      </c>
      <c r="L8" s="3" t="inlineStr">
        <is>
          <t>1</t>
        </is>
      </c>
      <c r="M8" s="3" t="inlineStr">
        <is>
          <t>1</t>
        </is>
      </c>
      <c r="N8" s="3" t="inlineStr">
        <is>
          <t>1</t>
        </is>
      </c>
      <c r="O8" s="4">
        <f>IF(OR($B8="",D8=""),"",--(D8=$B8))</f>
        <v/>
      </c>
      <c r="P8" s="4">
        <f>IF(OR($B8="",D8=""),"",IF($B8=1,--(D8=1),""))</f>
        <v/>
      </c>
      <c r="Q8" s="4">
        <f>IF(OR($B8="",D8=""),"",IF($B8=0,--(D8=0),""))</f>
        <v/>
      </c>
      <c r="R8" s="4">
        <f>IF(D8="","",--(D8=1))</f>
        <v/>
      </c>
      <c r="S8" s="4">
        <f>IF(OR($B8="",E8=""),"",--(E8=$B8))</f>
        <v/>
      </c>
      <c r="T8" s="4">
        <f>IF(OR($B8="",E8=""),"",IF($B8=1,--(E8=1),""))</f>
        <v/>
      </c>
      <c r="U8" s="4">
        <f>IF(OR($B8="",E8=""),"",IF($B8=0,--(E8=0),""))</f>
        <v/>
      </c>
      <c r="V8" s="4">
        <f>IF(E8="","",--(E8=1))</f>
        <v/>
      </c>
      <c r="W8" s="4">
        <f>IF(OR($B8="",F8=""),"",--(F8=$B8))</f>
        <v/>
      </c>
      <c r="X8" s="4">
        <f>IF(OR($B8="",F8=""),"",IF($B8=1,--(F8=1),""))</f>
        <v/>
      </c>
      <c r="Y8" s="4">
        <f>IF(OR($B8="",F8=""),"",IF($B8=0,--(F8=0),""))</f>
        <v/>
      </c>
      <c r="Z8" s="4">
        <f>IF(F8="","",--(F8=1))</f>
        <v/>
      </c>
      <c r="AA8" s="4">
        <f>IF(OR($B8="",G8=""),"",--(G8=$B8))</f>
        <v/>
      </c>
      <c r="AB8" s="4">
        <f>IF(OR($B8="",G8=""),"",IF($B8=1,--(G8=1),""))</f>
        <v/>
      </c>
      <c r="AC8" s="4">
        <f>IF(OR($B8="",G8=""),"",IF($B8=0,--(G8=0),""))</f>
        <v/>
      </c>
      <c r="AD8" s="4">
        <f>IF(G8="","",--(G8=1))</f>
        <v/>
      </c>
      <c r="AE8" s="4">
        <f>IF(OR($B8="",H8=""),"",--(H8=$B8))</f>
        <v/>
      </c>
      <c r="AF8" s="4">
        <f>IF(OR($B8="",H8=""),"",IF($B8=1,--(H8=1),""))</f>
        <v/>
      </c>
      <c r="AG8" s="4">
        <f>IF(OR($B8="",H8=""),"",IF($B8=0,--(H8=0),""))</f>
        <v/>
      </c>
      <c r="AH8" s="4">
        <f>IF(H8="","",--(H8=1))</f>
        <v/>
      </c>
      <c r="AI8" s="4">
        <f>IF(OR($B8="",I8=""),"",--(I8=$B8))</f>
        <v/>
      </c>
      <c r="AJ8" s="4">
        <f>IF(OR($B8="",I8=""),"",IF($B8=1,--(I8=1),""))</f>
        <v/>
      </c>
      <c r="AK8" s="4">
        <f>IF(OR($B8="",I8=""),"",IF($B8=0,--(I8=0),""))</f>
        <v/>
      </c>
      <c r="AL8" s="4">
        <f>IF(I8="","",--(I8=1))</f>
        <v/>
      </c>
      <c r="AM8" s="4">
        <f>IF(OR($B8="",J8=""),"",--(J8=$B8))</f>
        <v/>
      </c>
      <c r="AN8" s="4">
        <f>IF(OR($B8="",J8=""),"",IF($B8=1,--(J8=1),""))</f>
        <v/>
      </c>
      <c r="AO8" s="4">
        <f>IF(OR($B8="",J8=""),"",IF($B8=0,--(J8=0),""))</f>
        <v/>
      </c>
      <c r="AP8" s="4">
        <f>IF(J8="","",--(J8=1))</f>
        <v/>
      </c>
      <c r="AQ8" s="4">
        <f>IF(OR($B8="",K8=""),"",--(K8=$B8))</f>
        <v/>
      </c>
      <c r="AR8" s="4">
        <f>IF(OR($B8="",K8=""),"",IF($B8=1,--(K8=1),""))</f>
        <v/>
      </c>
      <c r="AS8" s="4">
        <f>IF(OR($B8="",K8=""),"",IF($B8=0,--(K8=0),""))</f>
        <v/>
      </c>
      <c r="AT8" s="4">
        <f>IF(K8="","",--(K8=1))</f>
        <v/>
      </c>
      <c r="AU8" s="4">
        <f>IF(OR($B8="",L8=""),"",--(L8=$B8))</f>
        <v/>
      </c>
      <c r="AV8" s="4">
        <f>IF(OR($B8="",L8=""),"",IF($B8=1,--(L8=1),""))</f>
        <v/>
      </c>
      <c r="AW8" s="4">
        <f>IF(OR($B8="",L8=""),"",IF($B8=0,--(L8=0),""))</f>
        <v/>
      </c>
      <c r="AX8" s="4">
        <f>IF(L8="","",--(L8=1))</f>
        <v/>
      </c>
      <c r="AY8" s="4">
        <f>IF(OR($B8="",M8=""),"",--(M8=$B8))</f>
        <v/>
      </c>
      <c r="AZ8" s="4">
        <f>IF(OR($B8="",M8=""),"",IF($B8=1,--(M8=1),""))</f>
        <v/>
      </c>
      <c r="BA8" s="4">
        <f>IF(OR($B8="",M8=""),"",IF($B8=0,--(M8=0),""))</f>
        <v/>
      </c>
      <c r="BB8" s="4">
        <f>IF(M8="","",--(M8=1))</f>
        <v/>
      </c>
      <c r="BC8" s="4">
        <f>IF(OR($B8="",N8=""),"",--(N8=$B8))</f>
        <v/>
      </c>
      <c r="BD8" s="4">
        <f>IF(OR($B8="",N8=""),"",IF($B8=1,--(N8=1),""))</f>
        <v/>
      </c>
      <c r="BE8" s="4">
        <f>IF(OR($B8="",N8=""),"",IF($B8=0,--(N8=0),""))</f>
        <v/>
      </c>
      <c r="BF8" s="4">
        <f>IF(N8="","",--(N8=1))</f>
        <v/>
      </c>
    </row>
    <row r="9">
      <c r="A9" s="3" t="inlineStr">
        <is>
          <t>201827830</t>
        </is>
      </c>
      <c r="B9" s="3" t="inlineStr">
        <is>
          <t>0</t>
        </is>
      </c>
      <c r="C9" s="3" t="inlineStr">
        <is>
          <t>Direct</t>
        </is>
      </c>
      <c r="D9" s="3" t="inlineStr">
        <is>
          <t>0</t>
        </is>
      </c>
      <c r="E9" s="3" t="inlineStr">
        <is>
          <t>1</t>
        </is>
      </c>
      <c r="F9" s="3" t="inlineStr">
        <is>
          <t>0</t>
        </is>
      </c>
      <c r="G9" s="3" t="inlineStr">
        <is>
          <t>0</t>
        </is>
      </c>
      <c r="H9" s="3" t="inlineStr">
        <is>
          <t>0</t>
        </is>
      </c>
      <c r="I9" s="3" t="inlineStr">
        <is>
          <t>1</t>
        </is>
      </c>
      <c r="J9" s="3" t="inlineStr">
        <is>
          <t>1</t>
        </is>
      </c>
      <c r="K9" s="3" t="inlineStr">
        <is>
          <t>1</t>
        </is>
      </c>
      <c r="L9" s="3" t="inlineStr">
        <is>
          <t>1</t>
        </is>
      </c>
      <c r="M9" s="3" t="inlineStr">
        <is>
          <t>1</t>
        </is>
      </c>
      <c r="N9" s="3" t="inlineStr">
        <is>
          <t>1</t>
        </is>
      </c>
      <c r="O9" s="4">
        <f>IF(OR($B9="",D9=""),"",--(D9=$B9))</f>
        <v/>
      </c>
      <c r="P9" s="4">
        <f>IF(OR($B9="",D9=""),"",IF($B9=1,--(D9=1),""))</f>
        <v/>
      </c>
      <c r="Q9" s="4">
        <f>IF(OR($B9="",D9=""),"",IF($B9=0,--(D9=0),""))</f>
        <v/>
      </c>
      <c r="R9" s="4">
        <f>IF(D9="","",--(D9=1))</f>
        <v/>
      </c>
      <c r="S9" s="4">
        <f>IF(OR($B9="",E9=""),"",--(E9=$B9))</f>
        <v/>
      </c>
      <c r="T9" s="4">
        <f>IF(OR($B9="",E9=""),"",IF($B9=1,--(E9=1),""))</f>
        <v/>
      </c>
      <c r="U9" s="4">
        <f>IF(OR($B9="",E9=""),"",IF($B9=0,--(E9=0),""))</f>
        <v/>
      </c>
      <c r="V9" s="4">
        <f>IF(E9="","",--(E9=1))</f>
        <v/>
      </c>
      <c r="W9" s="4">
        <f>IF(OR($B9="",F9=""),"",--(F9=$B9))</f>
        <v/>
      </c>
      <c r="X9" s="4">
        <f>IF(OR($B9="",F9=""),"",IF($B9=1,--(F9=1),""))</f>
        <v/>
      </c>
      <c r="Y9" s="4">
        <f>IF(OR($B9="",F9=""),"",IF($B9=0,--(F9=0),""))</f>
        <v/>
      </c>
      <c r="Z9" s="4">
        <f>IF(F9="","",--(F9=1))</f>
        <v/>
      </c>
      <c r="AA9" s="4">
        <f>IF(OR($B9="",G9=""),"",--(G9=$B9))</f>
        <v/>
      </c>
      <c r="AB9" s="4">
        <f>IF(OR($B9="",G9=""),"",IF($B9=1,--(G9=1),""))</f>
        <v/>
      </c>
      <c r="AC9" s="4">
        <f>IF(OR($B9="",G9=""),"",IF($B9=0,--(G9=0),""))</f>
        <v/>
      </c>
      <c r="AD9" s="4">
        <f>IF(G9="","",--(G9=1))</f>
        <v/>
      </c>
      <c r="AE9" s="4">
        <f>IF(OR($B9="",H9=""),"",--(H9=$B9))</f>
        <v/>
      </c>
      <c r="AF9" s="4">
        <f>IF(OR($B9="",H9=""),"",IF($B9=1,--(H9=1),""))</f>
        <v/>
      </c>
      <c r="AG9" s="4">
        <f>IF(OR($B9="",H9=""),"",IF($B9=0,--(H9=0),""))</f>
        <v/>
      </c>
      <c r="AH9" s="4">
        <f>IF(H9="","",--(H9=1))</f>
        <v/>
      </c>
      <c r="AI9" s="4">
        <f>IF(OR($B9="",I9=""),"",--(I9=$B9))</f>
        <v/>
      </c>
      <c r="AJ9" s="4">
        <f>IF(OR($B9="",I9=""),"",IF($B9=1,--(I9=1),""))</f>
        <v/>
      </c>
      <c r="AK9" s="4">
        <f>IF(OR($B9="",I9=""),"",IF($B9=0,--(I9=0),""))</f>
        <v/>
      </c>
      <c r="AL9" s="4">
        <f>IF(I9="","",--(I9=1))</f>
        <v/>
      </c>
      <c r="AM9" s="4">
        <f>IF(OR($B9="",J9=""),"",--(J9=$B9))</f>
        <v/>
      </c>
      <c r="AN9" s="4">
        <f>IF(OR($B9="",J9=""),"",IF($B9=1,--(J9=1),""))</f>
        <v/>
      </c>
      <c r="AO9" s="4">
        <f>IF(OR($B9="",J9=""),"",IF($B9=0,--(J9=0),""))</f>
        <v/>
      </c>
      <c r="AP9" s="4">
        <f>IF(J9="","",--(J9=1))</f>
        <v/>
      </c>
      <c r="AQ9" s="4">
        <f>IF(OR($B9="",K9=""),"",--(K9=$B9))</f>
        <v/>
      </c>
      <c r="AR9" s="4">
        <f>IF(OR($B9="",K9=""),"",IF($B9=1,--(K9=1),""))</f>
        <v/>
      </c>
      <c r="AS9" s="4">
        <f>IF(OR($B9="",K9=""),"",IF($B9=0,--(K9=0),""))</f>
        <v/>
      </c>
      <c r="AT9" s="4">
        <f>IF(K9="","",--(K9=1))</f>
        <v/>
      </c>
      <c r="AU9" s="4">
        <f>IF(OR($B9="",L9=""),"",--(L9=$B9))</f>
        <v/>
      </c>
      <c r="AV9" s="4">
        <f>IF(OR($B9="",L9=""),"",IF($B9=1,--(L9=1),""))</f>
        <v/>
      </c>
      <c r="AW9" s="4">
        <f>IF(OR($B9="",L9=""),"",IF($B9=0,--(L9=0),""))</f>
        <v/>
      </c>
      <c r="AX9" s="4">
        <f>IF(L9="","",--(L9=1))</f>
        <v/>
      </c>
      <c r="AY9" s="4">
        <f>IF(OR($B9="",M9=""),"",--(M9=$B9))</f>
        <v/>
      </c>
      <c r="AZ9" s="4">
        <f>IF(OR($B9="",M9=""),"",IF($B9=1,--(M9=1),""))</f>
        <v/>
      </c>
      <c r="BA9" s="4">
        <f>IF(OR($B9="",M9=""),"",IF($B9=0,--(M9=0),""))</f>
        <v/>
      </c>
      <c r="BB9" s="4">
        <f>IF(M9="","",--(M9=1))</f>
        <v/>
      </c>
      <c r="BC9" s="4">
        <f>IF(OR($B9="",N9=""),"",--(N9=$B9))</f>
        <v/>
      </c>
      <c r="BD9" s="4">
        <f>IF(OR($B9="",N9=""),"",IF($B9=1,--(N9=1),""))</f>
        <v/>
      </c>
      <c r="BE9" s="4">
        <f>IF(OR($B9="",N9=""),"",IF($B9=0,--(N9=0),""))</f>
        <v/>
      </c>
      <c r="BF9" s="4">
        <f>IF(N9="","",--(N9=1))</f>
        <v/>
      </c>
    </row>
    <row r="10">
      <c r="A10" s="3" t="inlineStr">
        <is>
          <t>201837949</t>
        </is>
      </c>
      <c r="B10" s="3" t="inlineStr">
        <is>
          <t>1</t>
        </is>
      </c>
      <c r="C10" s="3" t="inlineStr">
        <is>
          <t>Direct</t>
        </is>
      </c>
      <c r="D10" s="3" t="inlineStr">
        <is>
          <t>1</t>
        </is>
      </c>
      <c r="E10" s="3" t="inlineStr">
        <is>
          <t>0</t>
        </is>
      </c>
      <c r="F10" s="3" t="inlineStr">
        <is>
          <t>0</t>
        </is>
      </c>
      <c r="G10" s="3" t="inlineStr">
        <is>
          <t>1</t>
        </is>
      </c>
      <c r="H10" s="3" t="inlineStr">
        <is>
          <t>1</t>
        </is>
      </c>
      <c r="I10" s="3" t="inlineStr">
        <is>
          <t>1</t>
        </is>
      </c>
      <c r="J10" s="3" t="inlineStr">
        <is>
          <t>1</t>
        </is>
      </c>
      <c r="K10" s="3" t="inlineStr">
        <is>
          <t>1</t>
        </is>
      </c>
      <c r="L10" s="3" t="inlineStr">
        <is>
          <t>1</t>
        </is>
      </c>
      <c r="M10" s="3" t="inlineStr">
        <is>
          <t>1</t>
        </is>
      </c>
      <c r="N10" s="3" t="inlineStr">
        <is>
          <t>1</t>
        </is>
      </c>
      <c r="O10" s="4">
        <f>IF(OR($B10="",D10=""),"",--(D10=$B10))</f>
        <v/>
      </c>
      <c r="P10" s="4">
        <f>IF(OR($B10="",D10=""),"",IF($B10=1,--(D10=1),""))</f>
        <v/>
      </c>
      <c r="Q10" s="4">
        <f>IF(OR($B10="",D10=""),"",IF($B10=0,--(D10=0),""))</f>
        <v/>
      </c>
      <c r="R10" s="4">
        <f>IF(D10="","",--(D10=1))</f>
        <v/>
      </c>
      <c r="S10" s="4">
        <f>IF(OR($B10="",E10=""),"",--(E10=$B10))</f>
        <v/>
      </c>
      <c r="T10" s="4">
        <f>IF(OR($B10="",E10=""),"",IF($B10=1,--(E10=1),""))</f>
        <v/>
      </c>
      <c r="U10" s="4">
        <f>IF(OR($B10="",E10=""),"",IF($B10=0,--(E10=0),""))</f>
        <v/>
      </c>
      <c r="V10" s="4">
        <f>IF(E10="","",--(E10=1))</f>
        <v/>
      </c>
      <c r="W10" s="4">
        <f>IF(OR($B10="",F10=""),"",--(F10=$B10))</f>
        <v/>
      </c>
      <c r="X10" s="4">
        <f>IF(OR($B10="",F10=""),"",IF($B10=1,--(F10=1),""))</f>
        <v/>
      </c>
      <c r="Y10" s="4">
        <f>IF(OR($B10="",F10=""),"",IF($B10=0,--(F10=0),""))</f>
        <v/>
      </c>
      <c r="Z10" s="4">
        <f>IF(F10="","",--(F10=1))</f>
        <v/>
      </c>
      <c r="AA10" s="4">
        <f>IF(OR($B10="",G10=""),"",--(G10=$B10))</f>
        <v/>
      </c>
      <c r="AB10" s="4">
        <f>IF(OR($B10="",G10=""),"",IF($B10=1,--(G10=1),""))</f>
        <v/>
      </c>
      <c r="AC10" s="4">
        <f>IF(OR($B10="",G10=""),"",IF($B10=0,--(G10=0),""))</f>
        <v/>
      </c>
      <c r="AD10" s="4">
        <f>IF(G10="","",--(G10=1))</f>
        <v/>
      </c>
      <c r="AE10" s="4">
        <f>IF(OR($B10="",H10=""),"",--(H10=$B10))</f>
        <v/>
      </c>
      <c r="AF10" s="4">
        <f>IF(OR($B10="",H10=""),"",IF($B10=1,--(H10=1),""))</f>
        <v/>
      </c>
      <c r="AG10" s="4">
        <f>IF(OR($B10="",H10=""),"",IF($B10=0,--(H10=0),""))</f>
        <v/>
      </c>
      <c r="AH10" s="4">
        <f>IF(H10="","",--(H10=1))</f>
        <v/>
      </c>
      <c r="AI10" s="4">
        <f>IF(OR($B10="",I10=""),"",--(I10=$B10))</f>
        <v/>
      </c>
      <c r="AJ10" s="4">
        <f>IF(OR($B10="",I10=""),"",IF($B10=1,--(I10=1),""))</f>
        <v/>
      </c>
      <c r="AK10" s="4">
        <f>IF(OR($B10="",I10=""),"",IF($B10=0,--(I10=0),""))</f>
        <v/>
      </c>
      <c r="AL10" s="4">
        <f>IF(I10="","",--(I10=1))</f>
        <v/>
      </c>
      <c r="AM10" s="4">
        <f>IF(OR($B10="",J10=""),"",--(J10=$B10))</f>
        <v/>
      </c>
      <c r="AN10" s="4">
        <f>IF(OR($B10="",J10=""),"",IF($B10=1,--(J10=1),""))</f>
        <v/>
      </c>
      <c r="AO10" s="4">
        <f>IF(OR($B10="",J10=""),"",IF($B10=0,--(J10=0),""))</f>
        <v/>
      </c>
      <c r="AP10" s="4">
        <f>IF(J10="","",--(J10=1))</f>
        <v/>
      </c>
      <c r="AQ10" s="4">
        <f>IF(OR($B10="",K10=""),"",--(K10=$B10))</f>
        <v/>
      </c>
      <c r="AR10" s="4">
        <f>IF(OR($B10="",K10=""),"",IF($B10=1,--(K10=1),""))</f>
        <v/>
      </c>
      <c r="AS10" s="4">
        <f>IF(OR($B10="",K10=""),"",IF($B10=0,--(K10=0),""))</f>
        <v/>
      </c>
      <c r="AT10" s="4">
        <f>IF(K10="","",--(K10=1))</f>
        <v/>
      </c>
      <c r="AU10" s="4">
        <f>IF(OR($B10="",L10=""),"",--(L10=$B10))</f>
        <v/>
      </c>
      <c r="AV10" s="4">
        <f>IF(OR($B10="",L10=""),"",IF($B10=1,--(L10=1),""))</f>
        <v/>
      </c>
      <c r="AW10" s="4">
        <f>IF(OR($B10="",L10=""),"",IF($B10=0,--(L10=0),""))</f>
        <v/>
      </c>
      <c r="AX10" s="4">
        <f>IF(L10="","",--(L10=1))</f>
        <v/>
      </c>
      <c r="AY10" s="4">
        <f>IF(OR($B10="",M10=""),"",--(M10=$B10))</f>
        <v/>
      </c>
      <c r="AZ10" s="4">
        <f>IF(OR($B10="",M10=""),"",IF($B10=1,--(M10=1),""))</f>
        <v/>
      </c>
      <c r="BA10" s="4">
        <f>IF(OR($B10="",M10=""),"",IF($B10=0,--(M10=0),""))</f>
        <v/>
      </c>
      <c r="BB10" s="4">
        <f>IF(M10="","",--(M10=1))</f>
        <v/>
      </c>
      <c r="BC10" s="4">
        <f>IF(OR($B10="",N10=""),"",--(N10=$B10))</f>
        <v/>
      </c>
      <c r="BD10" s="4">
        <f>IF(OR($B10="",N10=""),"",IF($B10=1,--(N10=1),""))</f>
        <v/>
      </c>
      <c r="BE10" s="4">
        <f>IF(OR($B10="",N10=""),"",IF($B10=0,--(N10=0),""))</f>
        <v/>
      </c>
      <c r="BF10" s="4">
        <f>IF(N10="","",--(N10=1))</f>
        <v/>
      </c>
    </row>
    <row r="11">
      <c r="A11" s="3" t="inlineStr">
        <is>
          <t>201912951</t>
        </is>
      </c>
      <c r="B11" s="3" t="inlineStr">
        <is>
          <t>0</t>
        </is>
      </c>
      <c r="C11" s="3" t="inlineStr">
        <is>
          <t>Direct</t>
        </is>
      </c>
      <c r="D11" s="3" t="inlineStr">
        <is>
          <t>0</t>
        </is>
      </c>
      <c r="E11" s="3" t="inlineStr">
        <is>
          <t>0</t>
        </is>
      </c>
      <c r="F11" s="3" t="inlineStr">
        <is>
          <t>0</t>
        </is>
      </c>
      <c r="G11" s="3" t="inlineStr">
        <is>
          <t>0</t>
        </is>
      </c>
      <c r="H11" s="3" t="inlineStr">
        <is>
          <t>0</t>
        </is>
      </c>
      <c r="I11" s="3" t="inlineStr">
        <is>
          <t>0</t>
        </is>
      </c>
      <c r="J11" s="3" t="inlineStr">
        <is>
          <t>0</t>
        </is>
      </c>
      <c r="K11" s="3" t="inlineStr">
        <is>
          <t>0</t>
        </is>
      </c>
      <c r="L11" s="3" t="inlineStr">
        <is>
          <t>0</t>
        </is>
      </c>
      <c r="M11" s="3" t="inlineStr">
        <is>
          <t>1</t>
        </is>
      </c>
      <c r="N11" s="3" t="inlineStr">
        <is>
          <t>0</t>
        </is>
      </c>
      <c r="O11" s="4">
        <f>IF(OR($B11="",D11=""),"",--(D11=$B11))</f>
        <v/>
      </c>
      <c r="P11" s="4">
        <f>IF(OR($B11="",D11=""),"",IF($B11=1,--(D11=1),""))</f>
        <v/>
      </c>
      <c r="Q11" s="4">
        <f>IF(OR($B11="",D11=""),"",IF($B11=0,--(D11=0),""))</f>
        <v/>
      </c>
      <c r="R11" s="4">
        <f>IF(D11="","",--(D11=1))</f>
        <v/>
      </c>
      <c r="S11" s="4">
        <f>IF(OR($B11="",E11=""),"",--(E11=$B11))</f>
        <v/>
      </c>
      <c r="T11" s="4">
        <f>IF(OR($B11="",E11=""),"",IF($B11=1,--(E11=1),""))</f>
        <v/>
      </c>
      <c r="U11" s="4">
        <f>IF(OR($B11="",E11=""),"",IF($B11=0,--(E11=0),""))</f>
        <v/>
      </c>
      <c r="V11" s="4">
        <f>IF(E11="","",--(E11=1))</f>
        <v/>
      </c>
      <c r="W11" s="4">
        <f>IF(OR($B11="",F11=""),"",--(F11=$B11))</f>
        <v/>
      </c>
      <c r="X11" s="4">
        <f>IF(OR($B11="",F11=""),"",IF($B11=1,--(F11=1),""))</f>
        <v/>
      </c>
      <c r="Y11" s="4">
        <f>IF(OR($B11="",F11=""),"",IF($B11=0,--(F11=0),""))</f>
        <v/>
      </c>
      <c r="Z11" s="4">
        <f>IF(F11="","",--(F11=1))</f>
        <v/>
      </c>
      <c r="AA11" s="4">
        <f>IF(OR($B11="",G11=""),"",--(G11=$B11))</f>
        <v/>
      </c>
      <c r="AB11" s="4">
        <f>IF(OR($B11="",G11=""),"",IF($B11=1,--(G11=1),""))</f>
        <v/>
      </c>
      <c r="AC11" s="4">
        <f>IF(OR($B11="",G11=""),"",IF($B11=0,--(G11=0),""))</f>
        <v/>
      </c>
      <c r="AD11" s="4">
        <f>IF(G11="","",--(G11=1))</f>
        <v/>
      </c>
      <c r="AE11" s="4">
        <f>IF(OR($B11="",H11=""),"",--(H11=$B11))</f>
        <v/>
      </c>
      <c r="AF11" s="4">
        <f>IF(OR($B11="",H11=""),"",IF($B11=1,--(H11=1),""))</f>
        <v/>
      </c>
      <c r="AG11" s="4">
        <f>IF(OR($B11="",H11=""),"",IF($B11=0,--(H11=0),""))</f>
        <v/>
      </c>
      <c r="AH11" s="4">
        <f>IF(H11="","",--(H11=1))</f>
        <v/>
      </c>
      <c r="AI11" s="4">
        <f>IF(OR($B11="",I11=""),"",--(I11=$B11))</f>
        <v/>
      </c>
      <c r="AJ11" s="4">
        <f>IF(OR($B11="",I11=""),"",IF($B11=1,--(I11=1),""))</f>
        <v/>
      </c>
      <c r="AK11" s="4">
        <f>IF(OR($B11="",I11=""),"",IF($B11=0,--(I11=0),""))</f>
        <v/>
      </c>
      <c r="AL11" s="4">
        <f>IF(I11="","",--(I11=1))</f>
        <v/>
      </c>
      <c r="AM11" s="4">
        <f>IF(OR($B11="",J11=""),"",--(J11=$B11))</f>
        <v/>
      </c>
      <c r="AN11" s="4">
        <f>IF(OR($B11="",J11=""),"",IF($B11=1,--(J11=1),""))</f>
        <v/>
      </c>
      <c r="AO11" s="4">
        <f>IF(OR($B11="",J11=""),"",IF($B11=0,--(J11=0),""))</f>
        <v/>
      </c>
      <c r="AP11" s="4">
        <f>IF(J11="","",--(J11=1))</f>
        <v/>
      </c>
      <c r="AQ11" s="4">
        <f>IF(OR($B11="",K11=""),"",--(K11=$B11))</f>
        <v/>
      </c>
      <c r="AR11" s="4">
        <f>IF(OR($B11="",K11=""),"",IF($B11=1,--(K11=1),""))</f>
        <v/>
      </c>
      <c r="AS11" s="4">
        <f>IF(OR($B11="",K11=""),"",IF($B11=0,--(K11=0),""))</f>
        <v/>
      </c>
      <c r="AT11" s="4">
        <f>IF(K11="","",--(K11=1))</f>
        <v/>
      </c>
      <c r="AU11" s="4">
        <f>IF(OR($B11="",L11=""),"",--(L11=$B11))</f>
        <v/>
      </c>
      <c r="AV11" s="4">
        <f>IF(OR($B11="",L11=""),"",IF($B11=1,--(L11=1),""))</f>
        <v/>
      </c>
      <c r="AW11" s="4">
        <f>IF(OR($B11="",L11=""),"",IF($B11=0,--(L11=0),""))</f>
        <v/>
      </c>
      <c r="AX11" s="4">
        <f>IF(L11="","",--(L11=1))</f>
        <v/>
      </c>
      <c r="AY11" s="4">
        <f>IF(OR($B11="",M11=""),"",--(M11=$B11))</f>
        <v/>
      </c>
      <c r="AZ11" s="4">
        <f>IF(OR($B11="",M11=""),"",IF($B11=1,--(M11=1),""))</f>
        <v/>
      </c>
      <c r="BA11" s="4">
        <f>IF(OR($B11="",M11=""),"",IF($B11=0,--(M11=0),""))</f>
        <v/>
      </c>
      <c r="BB11" s="4">
        <f>IF(M11="","",--(M11=1))</f>
        <v/>
      </c>
      <c r="BC11" s="4">
        <f>IF(OR($B11="",N11=""),"",--(N11=$B11))</f>
        <v/>
      </c>
      <c r="BD11" s="4">
        <f>IF(OR($B11="",N11=""),"",IF($B11=1,--(N11=1),""))</f>
        <v/>
      </c>
      <c r="BE11" s="4">
        <f>IF(OR($B11="",N11=""),"",IF($B11=0,--(N11=0),""))</f>
        <v/>
      </c>
      <c r="BF11" s="4">
        <f>IF(N11="","",--(N11=1))</f>
        <v/>
      </c>
    </row>
    <row r="12">
      <c r="A12" s="3" t="inlineStr">
        <is>
          <t>201913964</t>
        </is>
      </c>
      <c r="B12" s="3" t="inlineStr">
        <is>
          <t>0</t>
        </is>
      </c>
      <c r="C12" s="3" t="inlineStr">
        <is>
          <t>Direct</t>
        </is>
      </c>
      <c r="D12" s="3" t="inlineStr">
        <is>
          <t>1</t>
        </is>
      </c>
      <c r="E12" s="3" t="inlineStr">
        <is>
          <t>1</t>
        </is>
      </c>
      <c r="F12" s="3" t="inlineStr">
        <is>
          <t>0</t>
        </is>
      </c>
      <c r="G12" s="3" t="inlineStr">
        <is>
          <t>0</t>
        </is>
      </c>
      <c r="H12" s="3" t="inlineStr">
        <is>
          <t>0</t>
        </is>
      </c>
      <c r="I12" s="3" t="inlineStr">
        <is>
          <t>0</t>
        </is>
      </c>
      <c r="J12" s="3" t="inlineStr">
        <is>
          <t>1</t>
        </is>
      </c>
      <c r="K12" s="3" t="inlineStr">
        <is>
          <t>1</t>
        </is>
      </c>
      <c r="L12" s="3" t="inlineStr">
        <is>
          <t>1</t>
        </is>
      </c>
      <c r="M12" s="3" t="inlineStr">
        <is>
          <t>1</t>
        </is>
      </c>
      <c r="N12" s="3" t="inlineStr">
        <is>
          <t>1</t>
        </is>
      </c>
      <c r="O12" s="4">
        <f>IF(OR($B12="",D12=""),"",--(D12=$B12))</f>
        <v/>
      </c>
      <c r="P12" s="4">
        <f>IF(OR($B12="",D12=""),"",IF($B12=1,--(D12=1),""))</f>
        <v/>
      </c>
      <c r="Q12" s="4">
        <f>IF(OR($B12="",D12=""),"",IF($B12=0,--(D12=0),""))</f>
        <v/>
      </c>
      <c r="R12" s="4">
        <f>IF(D12="","",--(D12=1))</f>
        <v/>
      </c>
      <c r="S12" s="4">
        <f>IF(OR($B12="",E12=""),"",--(E12=$B12))</f>
        <v/>
      </c>
      <c r="T12" s="4">
        <f>IF(OR($B12="",E12=""),"",IF($B12=1,--(E12=1),""))</f>
        <v/>
      </c>
      <c r="U12" s="4">
        <f>IF(OR($B12="",E12=""),"",IF($B12=0,--(E12=0),""))</f>
        <v/>
      </c>
      <c r="V12" s="4">
        <f>IF(E12="","",--(E12=1))</f>
        <v/>
      </c>
      <c r="W12" s="4">
        <f>IF(OR($B12="",F12=""),"",--(F12=$B12))</f>
        <v/>
      </c>
      <c r="X12" s="4">
        <f>IF(OR($B12="",F12=""),"",IF($B12=1,--(F12=1),""))</f>
        <v/>
      </c>
      <c r="Y12" s="4">
        <f>IF(OR($B12="",F12=""),"",IF($B12=0,--(F12=0),""))</f>
        <v/>
      </c>
      <c r="Z12" s="4">
        <f>IF(F12="","",--(F12=1))</f>
        <v/>
      </c>
      <c r="AA12" s="4">
        <f>IF(OR($B12="",G12=""),"",--(G12=$B12))</f>
        <v/>
      </c>
      <c r="AB12" s="4">
        <f>IF(OR($B12="",G12=""),"",IF($B12=1,--(G12=1),""))</f>
        <v/>
      </c>
      <c r="AC12" s="4">
        <f>IF(OR($B12="",G12=""),"",IF($B12=0,--(G12=0),""))</f>
        <v/>
      </c>
      <c r="AD12" s="4">
        <f>IF(G12="","",--(G12=1))</f>
        <v/>
      </c>
      <c r="AE12" s="4">
        <f>IF(OR($B12="",H12=""),"",--(H12=$B12))</f>
        <v/>
      </c>
      <c r="AF12" s="4">
        <f>IF(OR($B12="",H12=""),"",IF($B12=1,--(H12=1),""))</f>
        <v/>
      </c>
      <c r="AG12" s="4">
        <f>IF(OR($B12="",H12=""),"",IF($B12=0,--(H12=0),""))</f>
        <v/>
      </c>
      <c r="AH12" s="4">
        <f>IF(H12="","",--(H12=1))</f>
        <v/>
      </c>
      <c r="AI12" s="4">
        <f>IF(OR($B12="",I12=""),"",--(I12=$B12))</f>
        <v/>
      </c>
      <c r="AJ12" s="4">
        <f>IF(OR($B12="",I12=""),"",IF($B12=1,--(I12=1),""))</f>
        <v/>
      </c>
      <c r="AK12" s="4">
        <f>IF(OR($B12="",I12=""),"",IF($B12=0,--(I12=0),""))</f>
        <v/>
      </c>
      <c r="AL12" s="4">
        <f>IF(I12="","",--(I12=1))</f>
        <v/>
      </c>
      <c r="AM12" s="4">
        <f>IF(OR($B12="",J12=""),"",--(J12=$B12))</f>
        <v/>
      </c>
      <c r="AN12" s="4">
        <f>IF(OR($B12="",J12=""),"",IF($B12=1,--(J12=1),""))</f>
        <v/>
      </c>
      <c r="AO12" s="4">
        <f>IF(OR($B12="",J12=""),"",IF($B12=0,--(J12=0),""))</f>
        <v/>
      </c>
      <c r="AP12" s="4">
        <f>IF(J12="","",--(J12=1))</f>
        <v/>
      </c>
      <c r="AQ12" s="4">
        <f>IF(OR($B12="",K12=""),"",--(K12=$B12))</f>
        <v/>
      </c>
      <c r="AR12" s="4">
        <f>IF(OR($B12="",K12=""),"",IF($B12=1,--(K12=1),""))</f>
        <v/>
      </c>
      <c r="AS12" s="4">
        <f>IF(OR($B12="",K12=""),"",IF($B12=0,--(K12=0),""))</f>
        <v/>
      </c>
      <c r="AT12" s="4">
        <f>IF(K12="","",--(K12=1))</f>
        <v/>
      </c>
      <c r="AU12" s="4">
        <f>IF(OR($B12="",L12=""),"",--(L12=$B12))</f>
        <v/>
      </c>
      <c r="AV12" s="4">
        <f>IF(OR($B12="",L12=""),"",IF($B12=1,--(L12=1),""))</f>
        <v/>
      </c>
      <c r="AW12" s="4">
        <f>IF(OR($B12="",L12=""),"",IF($B12=0,--(L12=0),""))</f>
        <v/>
      </c>
      <c r="AX12" s="4">
        <f>IF(L12="","",--(L12=1))</f>
        <v/>
      </c>
      <c r="AY12" s="4">
        <f>IF(OR($B12="",M12=""),"",--(M12=$B12))</f>
        <v/>
      </c>
      <c r="AZ12" s="4">
        <f>IF(OR($B12="",M12=""),"",IF($B12=1,--(M12=1),""))</f>
        <v/>
      </c>
      <c r="BA12" s="4">
        <f>IF(OR($B12="",M12=""),"",IF($B12=0,--(M12=0),""))</f>
        <v/>
      </c>
      <c r="BB12" s="4">
        <f>IF(M12="","",--(M12=1))</f>
        <v/>
      </c>
      <c r="BC12" s="4">
        <f>IF(OR($B12="",N12=""),"",--(N12=$B12))</f>
        <v/>
      </c>
      <c r="BD12" s="4">
        <f>IF(OR($B12="",N12=""),"",IF($B12=1,--(N12=1),""))</f>
        <v/>
      </c>
      <c r="BE12" s="4">
        <f>IF(OR($B12="",N12=""),"",IF($B12=0,--(N12=0),""))</f>
        <v/>
      </c>
      <c r="BF12" s="4">
        <f>IF(N12="","",--(N12=1))</f>
        <v/>
      </c>
    </row>
    <row r="13">
      <c r="A13" s="3" t="inlineStr">
        <is>
          <t>201914739</t>
        </is>
      </c>
      <c r="B13" s="3" t="inlineStr">
        <is>
          <t>1</t>
        </is>
      </c>
      <c r="C13" s="3" t="inlineStr">
        <is>
          <t>Direct</t>
        </is>
      </c>
      <c r="D13" s="3" t="inlineStr">
        <is>
          <t>1</t>
        </is>
      </c>
      <c r="E13" s="3" t="inlineStr">
        <is>
          <t>1</t>
        </is>
      </c>
      <c r="F13" s="3" t="inlineStr">
        <is>
          <t>1</t>
        </is>
      </c>
      <c r="G13" s="3" t="inlineStr">
        <is>
          <t>1</t>
        </is>
      </c>
      <c r="H13" s="3" t="inlineStr">
        <is>
          <t>1</t>
        </is>
      </c>
      <c r="I13" s="3" t="inlineStr">
        <is>
          <t>1</t>
        </is>
      </c>
      <c r="J13" s="3" t="inlineStr">
        <is>
          <t>0</t>
        </is>
      </c>
      <c r="K13" s="3" t="inlineStr">
        <is>
          <t>1</t>
        </is>
      </c>
      <c r="L13" s="3" t="inlineStr">
        <is>
          <t>1</t>
        </is>
      </c>
      <c r="M13" s="3" t="inlineStr">
        <is>
          <t>1</t>
        </is>
      </c>
      <c r="N13" s="3" t="inlineStr">
        <is>
          <t>1</t>
        </is>
      </c>
      <c r="O13" s="4">
        <f>IF(OR($B13="",D13=""),"",--(D13=$B13))</f>
        <v/>
      </c>
      <c r="P13" s="4">
        <f>IF(OR($B13="",D13=""),"",IF($B13=1,--(D13=1),""))</f>
        <v/>
      </c>
      <c r="Q13" s="4">
        <f>IF(OR($B13="",D13=""),"",IF($B13=0,--(D13=0),""))</f>
        <v/>
      </c>
      <c r="R13" s="4">
        <f>IF(D13="","",--(D13=1))</f>
        <v/>
      </c>
      <c r="S13" s="4">
        <f>IF(OR($B13="",E13=""),"",--(E13=$B13))</f>
        <v/>
      </c>
      <c r="T13" s="4">
        <f>IF(OR($B13="",E13=""),"",IF($B13=1,--(E13=1),""))</f>
        <v/>
      </c>
      <c r="U13" s="4">
        <f>IF(OR($B13="",E13=""),"",IF($B13=0,--(E13=0),""))</f>
        <v/>
      </c>
      <c r="V13" s="4">
        <f>IF(E13="","",--(E13=1))</f>
        <v/>
      </c>
      <c r="W13" s="4">
        <f>IF(OR($B13="",F13=""),"",--(F13=$B13))</f>
        <v/>
      </c>
      <c r="X13" s="4">
        <f>IF(OR($B13="",F13=""),"",IF($B13=1,--(F13=1),""))</f>
        <v/>
      </c>
      <c r="Y13" s="4">
        <f>IF(OR($B13="",F13=""),"",IF($B13=0,--(F13=0),""))</f>
        <v/>
      </c>
      <c r="Z13" s="4">
        <f>IF(F13="","",--(F13=1))</f>
        <v/>
      </c>
      <c r="AA13" s="4">
        <f>IF(OR($B13="",G13=""),"",--(G13=$B13))</f>
        <v/>
      </c>
      <c r="AB13" s="4">
        <f>IF(OR($B13="",G13=""),"",IF($B13=1,--(G13=1),""))</f>
        <v/>
      </c>
      <c r="AC13" s="4">
        <f>IF(OR($B13="",G13=""),"",IF($B13=0,--(G13=0),""))</f>
        <v/>
      </c>
      <c r="AD13" s="4">
        <f>IF(G13="","",--(G13=1))</f>
        <v/>
      </c>
      <c r="AE13" s="4">
        <f>IF(OR($B13="",H13=""),"",--(H13=$B13))</f>
        <v/>
      </c>
      <c r="AF13" s="4">
        <f>IF(OR($B13="",H13=""),"",IF($B13=1,--(H13=1),""))</f>
        <v/>
      </c>
      <c r="AG13" s="4">
        <f>IF(OR($B13="",H13=""),"",IF($B13=0,--(H13=0),""))</f>
        <v/>
      </c>
      <c r="AH13" s="4">
        <f>IF(H13="","",--(H13=1))</f>
        <v/>
      </c>
      <c r="AI13" s="4">
        <f>IF(OR($B13="",I13=""),"",--(I13=$B13))</f>
        <v/>
      </c>
      <c r="AJ13" s="4">
        <f>IF(OR($B13="",I13=""),"",IF($B13=1,--(I13=1),""))</f>
        <v/>
      </c>
      <c r="AK13" s="4">
        <f>IF(OR($B13="",I13=""),"",IF($B13=0,--(I13=0),""))</f>
        <v/>
      </c>
      <c r="AL13" s="4">
        <f>IF(I13="","",--(I13=1))</f>
        <v/>
      </c>
      <c r="AM13" s="4">
        <f>IF(OR($B13="",J13=""),"",--(J13=$B13))</f>
        <v/>
      </c>
      <c r="AN13" s="4">
        <f>IF(OR($B13="",J13=""),"",IF($B13=1,--(J13=1),""))</f>
        <v/>
      </c>
      <c r="AO13" s="4">
        <f>IF(OR($B13="",J13=""),"",IF($B13=0,--(J13=0),""))</f>
        <v/>
      </c>
      <c r="AP13" s="4">
        <f>IF(J13="","",--(J13=1))</f>
        <v/>
      </c>
      <c r="AQ13" s="4">
        <f>IF(OR($B13="",K13=""),"",--(K13=$B13))</f>
        <v/>
      </c>
      <c r="AR13" s="4">
        <f>IF(OR($B13="",K13=""),"",IF($B13=1,--(K13=1),""))</f>
        <v/>
      </c>
      <c r="AS13" s="4">
        <f>IF(OR($B13="",K13=""),"",IF($B13=0,--(K13=0),""))</f>
        <v/>
      </c>
      <c r="AT13" s="4">
        <f>IF(K13="","",--(K13=1))</f>
        <v/>
      </c>
      <c r="AU13" s="4">
        <f>IF(OR($B13="",L13=""),"",--(L13=$B13))</f>
        <v/>
      </c>
      <c r="AV13" s="4">
        <f>IF(OR($B13="",L13=""),"",IF($B13=1,--(L13=1),""))</f>
        <v/>
      </c>
      <c r="AW13" s="4">
        <f>IF(OR($B13="",L13=""),"",IF($B13=0,--(L13=0),""))</f>
        <v/>
      </c>
      <c r="AX13" s="4">
        <f>IF(L13="","",--(L13=1))</f>
        <v/>
      </c>
      <c r="AY13" s="4">
        <f>IF(OR($B13="",M13=""),"",--(M13=$B13))</f>
        <v/>
      </c>
      <c r="AZ13" s="4">
        <f>IF(OR($B13="",M13=""),"",IF($B13=1,--(M13=1),""))</f>
        <v/>
      </c>
      <c r="BA13" s="4">
        <f>IF(OR($B13="",M13=""),"",IF($B13=0,--(M13=0),""))</f>
        <v/>
      </c>
      <c r="BB13" s="4">
        <f>IF(M13="","",--(M13=1))</f>
        <v/>
      </c>
      <c r="BC13" s="4">
        <f>IF(OR($B13="",N13=""),"",--(N13=$B13))</f>
        <v/>
      </c>
      <c r="BD13" s="4">
        <f>IF(OR($B13="",N13=""),"",IF($B13=1,--(N13=1),""))</f>
        <v/>
      </c>
      <c r="BE13" s="4">
        <f>IF(OR($B13="",N13=""),"",IF($B13=0,--(N13=0),""))</f>
        <v/>
      </c>
      <c r="BF13" s="4">
        <f>IF(N13="","",--(N13=1))</f>
        <v/>
      </c>
    </row>
    <row r="14">
      <c r="A14" s="3" t="inlineStr">
        <is>
          <t>201915394</t>
        </is>
      </c>
      <c r="B14" s="3" t="inlineStr">
        <is>
          <t>0</t>
        </is>
      </c>
      <c r="C14" s="3" t="inlineStr">
        <is>
          <t>Direct</t>
        </is>
      </c>
      <c r="D14" s="3" t="inlineStr">
        <is>
          <t>1</t>
        </is>
      </c>
      <c r="E14" s="3" t="inlineStr">
        <is>
          <t>0</t>
        </is>
      </c>
      <c r="F14" s="3" t="inlineStr">
        <is>
          <t>0</t>
        </is>
      </c>
      <c r="G14" s="3" t="inlineStr">
        <is>
          <t>1</t>
        </is>
      </c>
      <c r="H14" s="3" t="inlineStr">
        <is>
          <t>1</t>
        </is>
      </c>
      <c r="I14" s="3" t="inlineStr">
        <is>
          <t>1</t>
        </is>
      </c>
      <c r="J14" s="3" t="inlineStr">
        <is>
          <t>1</t>
        </is>
      </c>
      <c r="K14" s="3" t="inlineStr">
        <is>
          <t>1</t>
        </is>
      </c>
      <c r="L14" s="3" t="inlineStr">
        <is>
          <t>0</t>
        </is>
      </c>
      <c r="M14" s="3" t="inlineStr">
        <is>
          <t>1</t>
        </is>
      </c>
      <c r="N14" s="3" t="inlineStr">
        <is>
          <t>1</t>
        </is>
      </c>
      <c r="O14" s="4">
        <f>IF(OR($B14="",D14=""),"",--(D14=$B14))</f>
        <v/>
      </c>
      <c r="P14" s="4">
        <f>IF(OR($B14="",D14=""),"",IF($B14=1,--(D14=1),""))</f>
        <v/>
      </c>
      <c r="Q14" s="4">
        <f>IF(OR($B14="",D14=""),"",IF($B14=0,--(D14=0),""))</f>
        <v/>
      </c>
      <c r="R14" s="4">
        <f>IF(D14="","",--(D14=1))</f>
        <v/>
      </c>
      <c r="S14" s="4">
        <f>IF(OR($B14="",E14=""),"",--(E14=$B14))</f>
        <v/>
      </c>
      <c r="T14" s="4">
        <f>IF(OR($B14="",E14=""),"",IF($B14=1,--(E14=1),""))</f>
        <v/>
      </c>
      <c r="U14" s="4">
        <f>IF(OR($B14="",E14=""),"",IF($B14=0,--(E14=0),""))</f>
        <v/>
      </c>
      <c r="V14" s="4">
        <f>IF(E14="","",--(E14=1))</f>
        <v/>
      </c>
      <c r="W14" s="4">
        <f>IF(OR($B14="",F14=""),"",--(F14=$B14))</f>
        <v/>
      </c>
      <c r="X14" s="4">
        <f>IF(OR($B14="",F14=""),"",IF($B14=1,--(F14=1),""))</f>
        <v/>
      </c>
      <c r="Y14" s="4">
        <f>IF(OR($B14="",F14=""),"",IF($B14=0,--(F14=0),""))</f>
        <v/>
      </c>
      <c r="Z14" s="4">
        <f>IF(F14="","",--(F14=1))</f>
        <v/>
      </c>
      <c r="AA14" s="4">
        <f>IF(OR($B14="",G14=""),"",--(G14=$B14))</f>
        <v/>
      </c>
      <c r="AB14" s="4">
        <f>IF(OR($B14="",G14=""),"",IF($B14=1,--(G14=1),""))</f>
        <v/>
      </c>
      <c r="AC14" s="4">
        <f>IF(OR($B14="",G14=""),"",IF($B14=0,--(G14=0),""))</f>
        <v/>
      </c>
      <c r="AD14" s="4">
        <f>IF(G14="","",--(G14=1))</f>
        <v/>
      </c>
      <c r="AE14" s="4">
        <f>IF(OR($B14="",H14=""),"",--(H14=$B14))</f>
        <v/>
      </c>
      <c r="AF14" s="4">
        <f>IF(OR($B14="",H14=""),"",IF($B14=1,--(H14=1),""))</f>
        <v/>
      </c>
      <c r="AG14" s="4">
        <f>IF(OR($B14="",H14=""),"",IF($B14=0,--(H14=0),""))</f>
        <v/>
      </c>
      <c r="AH14" s="4">
        <f>IF(H14="","",--(H14=1))</f>
        <v/>
      </c>
      <c r="AI14" s="4">
        <f>IF(OR($B14="",I14=""),"",--(I14=$B14))</f>
        <v/>
      </c>
      <c r="AJ14" s="4">
        <f>IF(OR($B14="",I14=""),"",IF($B14=1,--(I14=1),""))</f>
        <v/>
      </c>
      <c r="AK14" s="4">
        <f>IF(OR($B14="",I14=""),"",IF($B14=0,--(I14=0),""))</f>
        <v/>
      </c>
      <c r="AL14" s="4">
        <f>IF(I14="","",--(I14=1))</f>
        <v/>
      </c>
      <c r="AM14" s="4">
        <f>IF(OR($B14="",J14=""),"",--(J14=$B14))</f>
        <v/>
      </c>
      <c r="AN14" s="4">
        <f>IF(OR($B14="",J14=""),"",IF($B14=1,--(J14=1),""))</f>
        <v/>
      </c>
      <c r="AO14" s="4">
        <f>IF(OR($B14="",J14=""),"",IF($B14=0,--(J14=0),""))</f>
        <v/>
      </c>
      <c r="AP14" s="4">
        <f>IF(J14="","",--(J14=1))</f>
        <v/>
      </c>
      <c r="AQ14" s="4">
        <f>IF(OR($B14="",K14=""),"",--(K14=$B14))</f>
        <v/>
      </c>
      <c r="AR14" s="4">
        <f>IF(OR($B14="",K14=""),"",IF($B14=1,--(K14=1),""))</f>
        <v/>
      </c>
      <c r="AS14" s="4">
        <f>IF(OR($B14="",K14=""),"",IF($B14=0,--(K14=0),""))</f>
        <v/>
      </c>
      <c r="AT14" s="4">
        <f>IF(K14="","",--(K14=1))</f>
        <v/>
      </c>
      <c r="AU14" s="4">
        <f>IF(OR($B14="",L14=""),"",--(L14=$B14))</f>
        <v/>
      </c>
      <c r="AV14" s="4">
        <f>IF(OR($B14="",L14=""),"",IF($B14=1,--(L14=1),""))</f>
        <v/>
      </c>
      <c r="AW14" s="4">
        <f>IF(OR($B14="",L14=""),"",IF($B14=0,--(L14=0),""))</f>
        <v/>
      </c>
      <c r="AX14" s="4">
        <f>IF(L14="","",--(L14=1))</f>
        <v/>
      </c>
      <c r="AY14" s="4">
        <f>IF(OR($B14="",M14=""),"",--(M14=$B14))</f>
        <v/>
      </c>
      <c r="AZ14" s="4">
        <f>IF(OR($B14="",M14=""),"",IF($B14=1,--(M14=1),""))</f>
        <v/>
      </c>
      <c r="BA14" s="4">
        <f>IF(OR($B14="",M14=""),"",IF($B14=0,--(M14=0),""))</f>
        <v/>
      </c>
      <c r="BB14" s="4">
        <f>IF(M14="","",--(M14=1))</f>
        <v/>
      </c>
      <c r="BC14" s="4">
        <f>IF(OR($B14="",N14=""),"",--(N14=$B14))</f>
        <v/>
      </c>
      <c r="BD14" s="4">
        <f>IF(OR($B14="",N14=""),"",IF($B14=1,--(N14=1),""))</f>
        <v/>
      </c>
      <c r="BE14" s="4">
        <f>IF(OR($B14="",N14=""),"",IF($B14=0,--(N14=0),""))</f>
        <v/>
      </c>
      <c r="BF14" s="4">
        <f>IF(N14="","",--(N14=1))</f>
        <v/>
      </c>
    </row>
    <row r="15">
      <c r="A15" s="3" t="inlineStr">
        <is>
          <t>201915444</t>
        </is>
      </c>
      <c r="B15" s="3" t="inlineStr">
        <is>
          <t>0</t>
        </is>
      </c>
      <c r="C15" s="3" t="inlineStr">
        <is>
          <t>Direct</t>
        </is>
      </c>
      <c r="D15" s="3" t="inlineStr">
        <is>
          <t>0</t>
        </is>
      </c>
      <c r="E15" s="3" t="inlineStr">
        <is>
          <t>0</t>
        </is>
      </c>
      <c r="F15" s="3" t="inlineStr">
        <is>
          <t>0</t>
        </is>
      </c>
      <c r="G15" s="3" t="inlineStr">
        <is>
          <t>0</t>
        </is>
      </c>
      <c r="H15" s="3" t="inlineStr">
        <is>
          <t>0</t>
        </is>
      </c>
      <c r="I15" s="3" t="inlineStr">
        <is>
          <t>1</t>
        </is>
      </c>
      <c r="J15" s="3" t="inlineStr">
        <is>
          <t>0</t>
        </is>
      </c>
      <c r="K15" s="3" t="inlineStr">
        <is>
          <t>1</t>
        </is>
      </c>
      <c r="L15" s="3" t="inlineStr">
        <is>
          <t>1</t>
        </is>
      </c>
      <c r="M15" s="3" t="inlineStr">
        <is>
          <t>1</t>
        </is>
      </c>
      <c r="N15" s="3" t="inlineStr">
        <is>
          <t>1</t>
        </is>
      </c>
      <c r="O15" s="4">
        <f>IF(OR($B15="",D15=""),"",--(D15=$B15))</f>
        <v/>
      </c>
      <c r="P15" s="4">
        <f>IF(OR($B15="",D15=""),"",IF($B15=1,--(D15=1),""))</f>
        <v/>
      </c>
      <c r="Q15" s="4">
        <f>IF(OR($B15="",D15=""),"",IF($B15=0,--(D15=0),""))</f>
        <v/>
      </c>
      <c r="R15" s="4">
        <f>IF(D15="","",--(D15=1))</f>
        <v/>
      </c>
      <c r="S15" s="4">
        <f>IF(OR($B15="",E15=""),"",--(E15=$B15))</f>
        <v/>
      </c>
      <c r="T15" s="4">
        <f>IF(OR($B15="",E15=""),"",IF($B15=1,--(E15=1),""))</f>
        <v/>
      </c>
      <c r="U15" s="4">
        <f>IF(OR($B15="",E15=""),"",IF($B15=0,--(E15=0),""))</f>
        <v/>
      </c>
      <c r="V15" s="4">
        <f>IF(E15="","",--(E15=1))</f>
        <v/>
      </c>
      <c r="W15" s="4">
        <f>IF(OR($B15="",F15=""),"",--(F15=$B15))</f>
        <v/>
      </c>
      <c r="X15" s="4">
        <f>IF(OR($B15="",F15=""),"",IF($B15=1,--(F15=1),""))</f>
        <v/>
      </c>
      <c r="Y15" s="4">
        <f>IF(OR($B15="",F15=""),"",IF($B15=0,--(F15=0),""))</f>
        <v/>
      </c>
      <c r="Z15" s="4">
        <f>IF(F15="","",--(F15=1))</f>
        <v/>
      </c>
      <c r="AA15" s="4">
        <f>IF(OR($B15="",G15=""),"",--(G15=$B15))</f>
        <v/>
      </c>
      <c r="AB15" s="4">
        <f>IF(OR($B15="",G15=""),"",IF($B15=1,--(G15=1),""))</f>
        <v/>
      </c>
      <c r="AC15" s="4">
        <f>IF(OR($B15="",G15=""),"",IF($B15=0,--(G15=0),""))</f>
        <v/>
      </c>
      <c r="AD15" s="4">
        <f>IF(G15="","",--(G15=1))</f>
        <v/>
      </c>
      <c r="AE15" s="4">
        <f>IF(OR($B15="",H15=""),"",--(H15=$B15))</f>
        <v/>
      </c>
      <c r="AF15" s="4">
        <f>IF(OR($B15="",H15=""),"",IF($B15=1,--(H15=1),""))</f>
        <v/>
      </c>
      <c r="AG15" s="4">
        <f>IF(OR($B15="",H15=""),"",IF($B15=0,--(H15=0),""))</f>
        <v/>
      </c>
      <c r="AH15" s="4">
        <f>IF(H15="","",--(H15=1))</f>
        <v/>
      </c>
      <c r="AI15" s="4">
        <f>IF(OR($B15="",I15=""),"",--(I15=$B15))</f>
        <v/>
      </c>
      <c r="AJ15" s="4">
        <f>IF(OR($B15="",I15=""),"",IF($B15=1,--(I15=1),""))</f>
        <v/>
      </c>
      <c r="AK15" s="4">
        <f>IF(OR($B15="",I15=""),"",IF($B15=0,--(I15=0),""))</f>
        <v/>
      </c>
      <c r="AL15" s="4">
        <f>IF(I15="","",--(I15=1))</f>
        <v/>
      </c>
      <c r="AM15" s="4">
        <f>IF(OR($B15="",J15=""),"",--(J15=$B15))</f>
        <v/>
      </c>
      <c r="AN15" s="4">
        <f>IF(OR($B15="",J15=""),"",IF($B15=1,--(J15=1),""))</f>
        <v/>
      </c>
      <c r="AO15" s="4">
        <f>IF(OR($B15="",J15=""),"",IF($B15=0,--(J15=0),""))</f>
        <v/>
      </c>
      <c r="AP15" s="4">
        <f>IF(J15="","",--(J15=1))</f>
        <v/>
      </c>
      <c r="AQ15" s="4">
        <f>IF(OR($B15="",K15=""),"",--(K15=$B15))</f>
        <v/>
      </c>
      <c r="AR15" s="4">
        <f>IF(OR($B15="",K15=""),"",IF($B15=1,--(K15=1),""))</f>
        <v/>
      </c>
      <c r="AS15" s="4">
        <f>IF(OR($B15="",K15=""),"",IF($B15=0,--(K15=0),""))</f>
        <v/>
      </c>
      <c r="AT15" s="4">
        <f>IF(K15="","",--(K15=1))</f>
        <v/>
      </c>
      <c r="AU15" s="4">
        <f>IF(OR($B15="",L15=""),"",--(L15=$B15))</f>
        <v/>
      </c>
      <c r="AV15" s="4">
        <f>IF(OR($B15="",L15=""),"",IF($B15=1,--(L15=1),""))</f>
        <v/>
      </c>
      <c r="AW15" s="4">
        <f>IF(OR($B15="",L15=""),"",IF($B15=0,--(L15=0),""))</f>
        <v/>
      </c>
      <c r="AX15" s="4">
        <f>IF(L15="","",--(L15=1))</f>
        <v/>
      </c>
      <c r="AY15" s="4">
        <f>IF(OR($B15="",M15=""),"",--(M15=$B15))</f>
        <v/>
      </c>
      <c r="AZ15" s="4">
        <f>IF(OR($B15="",M15=""),"",IF($B15=1,--(M15=1),""))</f>
        <v/>
      </c>
      <c r="BA15" s="4">
        <f>IF(OR($B15="",M15=""),"",IF($B15=0,--(M15=0),""))</f>
        <v/>
      </c>
      <c r="BB15" s="4">
        <f>IF(M15="","",--(M15=1))</f>
        <v/>
      </c>
      <c r="BC15" s="4">
        <f>IF(OR($B15="",N15=""),"",--(N15=$B15))</f>
        <v/>
      </c>
      <c r="BD15" s="4">
        <f>IF(OR($B15="",N15=""),"",IF($B15=1,--(N15=1),""))</f>
        <v/>
      </c>
      <c r="BE15" s="4">
        <f>IF(OR($B15="",N15=""),"",IF($B15=0,--(N15=0),""))</f>
        <v/>
      </c>
      <c r="BF15" s="4">
        <f>IF(N15="","",--(N15=1))</f>
        <v/>
      </c>
    </row>
    <row r="16">
      <c r="A16" s="3" t="inlineStr">
        <is>
          <t>20191579</t>
        </is>
      </c>
      <c r="B16" s="3" t="inlineStr">
        <is>
          <t>1</t>
        </is>
      </c>
      <c r="C16" s="3" t="inlineStr">
        <is>
          <t>Direct</t>
        </is>
      </c>
      <c r="D16" s="3" t="inlineStr">
        <is>
          <t>1</t>
        </is>
      </c>
      <c r="E16" s="3" t="inlineStr">
        <is>
          <t>1</t>
        </is>
      </c>
      <c r="F16" s="3" t="inlineStr">
        <is>
          <t>1</t>
        </is>
      </c>
      <c r="G16" s="3" t="inlineStr">
        <is>
          <t>0</t>
        </is>
      </c>
      <c r="H16" s="3" t="inlineStr">
        <is>
          <t>1</t>
        </is>
      </c>
      <c r="I16" s="3" t="inlineStr">
        <is>
          <t>1</t>
        </is>
      </c>
      <c r="J16" s="3" t="inlineStr">
        <is>
          <t>1</t>
        </is>
      </c>
      <c r="K16" s="3" t="inlineStr">
        <is>
          <t>1</t>
        </is>
      </c>
      <c r="L16" s="3" t="inlineStr">
        <is>
          <t>1</t>
        </is>
      </c>
      <c r="M16" s="3" t="inlineStr">
        <is>
          <t>1</t>
        </is>
      </c>
      <c r="N16" s="3" t="inlineStr">
        <is>
          <t>1</t>
        </is>
      </c>
      <c r="O16" s="4">
        <f>IF(OR($B16="",D16=""),"",--(D16=$B16))</f>
        <v/>
      </c>
      <c r="P16" s="4">
        <f>IF(OR($B16="",D16=""),"",IF($B16=1,--(D16=1),""))</f>
        <v/>
      </c>
      <c r="Q16" s="4">
        <f>IF(OR($B16="",D16=""),"",IF($B16=0,--(D16=0),""))</f>
        <v/>
      </c>
      <c r="R16" s="4">
        <f>IF(D16="","",--(D16=1))</f>
        <v/>
      </c>
      <c r="S16" s="4">
        <f>IF(OR($B16="",E16=""),"",--(E16=$B16))</f>
        <v/>
      </c>
      <c r="T16" s="4">
        <f>IF(OR($B16="",E16=""),"",IF($B16=1,--(E16=1),""))</f>
        <v/>
      </c>
      <c r="U16" s="4">
        <f>IF(OR($B16="",E16=""),"",IF($B16=0,--(E16=0),""))</f>
        <v/>
      </c>
      <c r="V16" s="4">
        <f>IF(E16="","",--(E16=1))</f>
        <v/>
      </c>
      <c r="W16" s="4">
        <f>IF(OR($B16="",F16=""),"",--(F16=$B16))</f>
        <v/>
      </c>
      <c r="X16" s="4">
        <f>IF(OR($B16="",F16=""),"",IF($B16=1,--(F16=1),""))</f>
        <v/>
      </c>
      <c r="Y16" s="4">
        <f>IF(OR($B16="",F16=""),"",IF($B16=0,--(F16=0),""))</f>
        <v/>
      </c>
      <c r="Z16" s="4">
        <f>IF(F16="","",--(F16=1))</f>
        <v/>
      </c>
      <c r="AA16" s="4">
        <f>IF(OR($B16="",G16=""),"",--(G16=$B16))</f>
        <v/>
      </c>
      <c r="AB16" s="4">
        <f>IF(OR($B16="",G16=""),"",IF($B16=1,--(G16=1),""))</f>
        <v/>
      </c>
      <c r="AC16" s="4">
        <f>IF(OR($B16="",G16=""),"",IF($B16=0,--(G16=0),""))</f>
        <v/>
      </c>
      <c r="AD16" s="4">
        <f>IF(G16="","",--(G16=1))</f>
        <v/>
      </c>
      <c r="AE16" s="4">
        <f>IF(OR($B16="",H16=""),"",--(H16=$B16))</f>
        <v/>
      </c>
      <c r="AF16" s="4">
        <f>IF(OR($B16="",H16=""),"",IF($B16=1,--(H16=1),""))</f>
        <v/>
      </c>
      <c r="AG16" s="4">
        <f>IF(OR($B16="",H16=""),"",IF($B16=0,--(H16=0),""))</f>
        <v/>
      </c>
      <c r="AH16" s="4">
        <f>IF(H16="","",--(H16=1))</f>
        <v/>
      </c>
      <c r="AI16" s="4">
        <f>IF(OR($B16="",I16=""),"",--(I16=$B16))</f>
        <v/>
      </c>
      <c r="AJ16" s="4">
        <f>IF(OR($B16="",I16=""),"",IF($B16=1,--(I16=1),""))</f>
        <v/>
      </c>
      <c r="AK16" s="4">
        <f>IF(OR($B16="",I16=""),"",IF($B16=0,--(I16=0),""))</f>
        <v/>
      </c>
      <c r="AL16" s="4">
        <f>IF(I16="","",--(I16=1))</f>
        <v/>
      </c>
      <c r="AM16" s="4">
        <f>IF(OR($B16="",J16=""),"",--(J16=$B16))</f>
        <v/>
      </c>
      <c r="AN16" s="4">
        <f>IF(OR($B16="",J16=""),"",IF($B16=1,--(J16=1),""))</f>
        <v/>
      </c>
      <c r="AO16" s="4">
        <f>IF(OR($B16="",J16=""),"",IF($B16=0,--(J16=0),""))</f>
        <v/>
      </c>
      <c r="AP16" s="4">
        <f>IF(J16="","",--(J16=1))</f>
        <v/>
      </c>
      <c r="AQ16" s="4">
        <f>IF(OR($B16="",K16=""),"",--(K16=$B16))</f>
        <v/>
      </c>
      <c r="AR16" s="4">
        <f>IF(OR($B16="",K16=""),"",IF($B16=1,--(K16=1),""))</f>
        <v/>
      </c>
      <c r="AS16" s="4">
        <f>IF(OR($B16="",K16=""),"",IF($B16=0,--(K16=0),""))</f>
        <v/>
      </c>
      <c r="AT16" s="4">
        <f>IF(K16="","",--(K16=1))</f>
        <v/>
      </c>
      <c r="AU16" s="4">
        <f>IF(OR($B16="",L16=""),"",--(L16=$B16))</f>
        <v/>
      </c>
      <c r="AV16" s="4">
        <f>IF(OR($B16="",L16=""),"",IF($B16=1,--(L16=1),""))</f>
        <v/>
      </c>
      <c r="AW16" s="4">
        <f>IF(OR($B16="",L16=""),"",IF($B16=0,--(L16=0),""))</f>
        <v/>
      </c>
      <c r="AX16" s="4">
        <f>IF(L16="","",--(L16=1))</f>
        <v/>
      </c>
      <c r="AY16" s="4">
        <f>IF(OR($B16="",M16=""),"",--(M16=$B16))</f>
        <v/>
      </c>
      <c r="AZ16" s="4">
        <f>IF(OR($B16="",M16=""),"",IF($B16=1,--(M16=1),""))</f>
        <v/>
      </c>
      <c r="BA16" s="4">
        <f>IF(OR($B16="",M16=""),"",IF($B16=0,--(M16=0),""))</f>
        <v/>
      </c>
      <c r="BB16" s="4">
        <f>IF(M16="","",--(M16=1))</f>
        <v/>
      </c>
      <c r="BC16" s="4">
        <f>IF(OR($B16="",N16=""),"",--(N16=$B16))</f>
        <v/>
      </c>
      <c r="BD16" s="4">
        <f>IF(OR($B16="",N16=""),"",IF($B16=1,--(N16=1),""))</f>
        <v/>
      </c>
      <c r="BE16" s="4">
        <f>IF(OR($B16="",N16=""),"",IF($B16=0,--(N16=0),""))</f>
        <v/>
      </c>
      <c r="BF16" s="4">
        <f>IF(N16="","",--(N16=1))</f>
        <v/>
      </c>
    </row>
    <row r="17">
      <c r="A17" s="3" t="inlineStr">
        <is>
          <t>201916399</t>
        </is>
      </c>
      <c r="B17" s="3" t="inlineStr">
        <is>
          <t>1</t>
        </is>
      </c>
      <c r="C17" s="3" t="inlineStr">
        <is>
          <t>Direct</t>
        </is>
      </c>
      <c r="D17" s="3" t="inlineStr">
        <is>
          <t>1</t>
        </is>
      </c>
      <c r="E17" s="3" t="inlineStr">
        <is>
          <t>1</t>
        </is>
      </c>
      <c r="F17" s="3" t="inlineStr">
        <is>
          <t>1</t>
        </is>
      </c>
      <c r="G17" s="3" t="inlineStr">
        <is>
          <t>1</t>
        </is>
      </c>
      <c r="H17" s="3" t="inlineStr">
        <is>
          <t>1</t>
        </is>
      </c>
      <c r="I17" s="3" t="inlineStr">
        <is>
          <t>1</t>
        </is>
      </c>
      <c r="J17" s="3" t="inlineStr">
        <is>
          <t>1</t>
        </is>
      </c>
      <c r="K17" s="3" t="inlineStr">
        <is>
          <t>1</t>
        </is>
      </c>
      <c r="L17" s="3" t="inlineStr">
        <is>
          <t>1</t>
        </is>
      </c>
      <c r="M17" s="3" t="inlineStr">
        <is>
          <t>1</t>
        </is>
      </c>
      <c r="N17" s="3" t="inlineStr">
        <is>
          <t>1</t>
        </is>
      </c>
      <c r="O17" s="4">
        <f>IF(OR($B17="",D17=""),"",--(D17=$B17))</f>
        <v/>
      </c>
      <c r="P17" s="4">
        <f>IF(OR($B17="",D17=""),"",IF($B17=1,--(D17=1),""))</f>
        <v/>
      </c>
      <c r="Q17" s="4">
        <f>IF(OR($B17="",D17=""),"",IF($B17=0,--(D17=0),""))</f>
        <v/>
      </c>
      <c r="R17" s="4">
        <f>IF(D17="","",--(D17=1))</f>
        <v/>
      </c>
      <c r="S17" s="4">
        <f>IF(OR($B17="",E17=""),"",--(E17=$B17))</f>
        <v/>
      </c>
      <c r="T17" s="4">
        <f>IF(OR($B17="",E17=""),"",IF($B17=1,--(E17=1),""))</f>
        <v/>
      </c>
      <c r="U17" s="4">
        <f>IF(OR($B17="",E17=""),"",IF($B17=0,--(E17=0),""))</f>
        <v/>
      </c>
      <c r="V17" s="4">
        <f>IF(E17="","",--(E17=1))</f>
        <v/>
      </c>
      <c r="W17" s="4">
        <f>IF(OR($B17="",F17=""),"",--(F17=$B17))</f>
        <v/>
      </c>
      <c r="X17" s="4">
        <f>IF(OR($B17="",F17=""),"",IF($B17=1,--(F17=1),""))</f>
        <v/>
      </c>
      <c r="Y17" s="4">
        <f>IF(OR($B17="",F17=""),"",IF($B17=0,--(F17=0),""))</f>
        <v/>
      </c>
      <c r="Z17" s="4">
        <f>IF(F17="","",--(F17=1))</f>
        <v/>
      </c>
      <c r="AA17" s="4">
        <f>IF(OR($B17="",G17=""),"",--(G17=$B17))</f>
        <v/>
      </c>
      <c r="AB17" s="4">
        <f>IF(OR($B17="",G17=""),"",IF($B17=1,--(G17=1),""))</f>
        <v/>
      </c>
      <c r="AC17" s="4">
        <f>IF(OR($B17="",G17=""),"",IF($B17=0,--(G17=0),""))</f>
        <v/>
      </c>
      <c r="AD17" s="4">
        <f>IF(G17="","",--(G17=1))</f>
        <v/>
      </c>
      <c r="AE17" s="4">
        <f>IF(OR($B17="",H17=""),"",--(H17=$B17))</f>
        <v/>
      </c>
      <c r="AF17" s="4">
        <f>IF(OR($B17="",H17=""),"",IF($B17=1,--(H17=1),""))</f>
        <v/>
      </c>
      <c r="AG17" s="4">
        <f>IF(OR($B17="",H17=""),"",IF($B17=0,--(H17=0),""))</f>
        <v/>
      </c>
      <c r="AH17" s="4">
        <f>IF(H17="","",--(H17=1))</f>
        <v/>
      </c>
      <c r="AI17" s="4">
        <f>IF(OR($B17="",I17=""),"",--(I17=$B17))</f>
        <v/>
      </c>
      <c r="AJ17" s="4">
        <f>IF(OR($B17="",I17=""),"",IF($B17=1,--(I17=1),""))</f>
        <v/>
      </c>
      <c r="AK17" s="4">
        <f>IF(OR($B17="",I17=""),"",IF($B17=0,--(I17=0),""))</f>
        <v/>
      </c>
      <c r="AL17" s="4">
        <f>IF(I17="","",--(I17=1))</f>
        <v/>
      </c>
      <c r="AM17" s="4">
        <f>IF(OR($B17="",J17=""),"",--(J17=$B17))</f>
        <v/>
      </c>
      <c r="AN17" s="4">
        <f>IF(OR($B17="",J17=""),"",IF($B17=1,--(J17=1),""))</f>
        <v/>
      </c>
      <c r="AO17" s="4">
        <f>IF(OR($B17="",J17=""),"",IF($B17=0,--(J17=0),""))</f>
        <v/>
      </c>
      <c r="AP17" s="4">
        <f>IF(J17="","",--(J17=1))</f>
        <v/>
      </c>
      <c r="AQ17" s="4">
        <f>IF(OR($B17="",K17=""),"",--(K17=$B17))</f>
        <v/>
      </c>
      <c r="AR17" s="4">
        <f>IF(OR($B17="",K17=""),"",IF($B17=1,--(K17=1),""))</f>
        <v/>
      </c>
      <c r="AS17" s="4">
        <f>IF(OR($B17="",K17=""),"",IF($B17=0,--(K17=0),""))</f>
        <v/>
      </c>
      <c r="AT17" s="4">
        <f>IF(K17="","",--(K17=1))</f>
        <v/>
      </c>
      <c r="AU17" s="4">
        <f>IF(OR($B17="",L17=""),"",--(L17=$B17))</f>
        <v/>
      </c>
      <c r="AV17" s="4">
        <f>IF(OR($B17="",L17=""),"",IF($B17=1,--(L17=1),""))</f>
        <v/>
      </c>
      <c r="AW17" s="4">
        <f>IF(OR($B17="",L17=""),"",IF($B17=0,--(L17=0),""))</f>
        <v/>
      </c>
      <c r="AX17" s="4">
        <f>IF(L17="","",--(L17=1))</f>
        <v/>
      </c>
      <c r="AY17" s="4">
        <f>IF(OR($B17="",M17=""),"",--(M17=$B17))</f>
        <v/>
      </c>
      <c r="AZ17" s="4">
        <f>IF(OR($B17="",M17=""),"",IF($B17=1,--(M17=1),""))</f>
        <v/>
      </c>
      <c r="BA17" s="4">
        <f>IF(OR($B17="",M17=""),"",IF($B17=0,--(M17=0),""))</f>
        <v/>
      </c>
      <c r="BB17" s="4">
        <f>IF(M17="","",--(M17=1))</f>
        <v/>
      </c>
      <c r="BC17" s="4">
        <f>IF(OR($B17="",N17=""),"",--(N17=$B17))</f>
        <v/>
      </c>
      <c r="BD17" s="4">
        <f>IF(OR($B17="",N17=""),"",IF($B17=1,--(N17=1),""))</f>
        <v/>
      </c>
      <c r="BE17" s="4">
        <f>IF(OR($B17="",N17=""),"",IF($B17=0,--(N17=0),""))</f>
        <v/>
      </c>
      <c r="BF17" s="4">
        <f>IF(N17="","",--(N17=1))</f>
        <v/>
      </c>
    </row>
    <row r="18">
      <c r="A18" s="3" t="inlineStr">
        <is>
          <t>201918372</t>
        </is>
      </c>
      <c r="B18" s="3" t="inlineStr">
        <is>
          <t>0</t>
        </is>
      </c>
      <c r="C18" s="3" t="inlineStr">
        <is>
          <t>Direct</t>
        </is>
      </c>
      <c r="D18" s="3" t="inlineStr">
        <is>
          <t>1</t>
        </is>
      </c>
      <c r="E18" s="3" t="inlineStr">
        <is>
          <t>0</t>
        </is>
      </c>
      <c r="F18" s="3" t="inlineStr">
        <is>
          <t>0</t>
        </is>
      </c>
      <c r="G18" s="3" t="inlineStr">
        <is>
          <t>0</t>
        </is>
      </c>
      <c r="H18" s="3" t="inlineStr">
        <is>
          <t>1</t>
        </is>
      </c>
      <c r="I18" s="3" t="inlineStr">
        <is>
          <t>1</t>
        </is>
      </c>
      <c r="J18" s="3" t="inlineStr">
        <is>
          <t>1</t>
        </is>
      </c>
      <c r="K18" s="3" t="inlineStr">
        <is>
          <t>1</t>
        </is>
      </c>
      <c r="L18" s="3" t="inlineStr">
        <is>
          <t>0</t>
        </is>
      </c>
      <c r="M18" s="3" t="inlineStr">
        <is>
          <t>1</t>
        </is>
      </c>
      <c r="N18" s="3" t="inlineStr">
        <is>
          <t>1</t>
        </is>
      </c>
      <c r="O18" s="4">
        <f>IF(OR($B18="",D18=""),"",--(D18=$B18))</f>
        <v/>
      </c>
      <c r="P18" s="4">
        <f>IF(OR($B18="",D18=""),"",IF($B18=1,--(D18=1),""))</f>
        <v/>
      </c>
      <c r="Q18" s="4">
        <f>IF(OR($B18="",D18=""),"",IF($B18=0,--(D18=0),""))</f>
        <v/>
      </c>
      <c r="R18" s="4">
        <f>IF(D18="","",--(D18=1))</f>
        <v/>
      </c>
      <c r="S18" s="4">
        <f>IF(OR($B18="",E18=""),"",--(E18=$B18))</f>
        <v/>
      </c>
      <c r="T18" s="4">
        <f>IF(OR($B18="",E18=""),"",IF($B18=1,--(E18=1),""))</f>
        <v/>
      </c>
      <c r="U18" s="4">
        <f>IF(OR($B18="",E18=""),"",IF($B18=0,--(E18=0),""))</f>
        <v/>
      </c>
      <c r="V18" s="4">
        <f>IF(E18="","",--(E18=1))</f>
        <v/>
      </c>
      <c r="W18" s="4">
        <f>IF(OR($B18="",F18=""),"",--(F18=$B18))</f>
        <v/>
      </c>
      <c r="X18" s="4">
        <f>IF(OR($B18="",F18=""),"",IF($B18=1,--(F18=1),""))</f>
        <v/>
      </c>
      <c r="Y18" s="4">
        <f>IF(OR($B18="",F18=""),"",IF($B18=0,--(F18=0),""))</f>
        <v/>
      </c>
      <c r="Z18" s="4">
        <f>IF(F18="","",--(F18=1))</f>
        <v/>
      </c>
      <c r="AA18" s="4">
        <f>IF(OR($B18="",G18=""),"",--(G18=$B18))</f>
        <v/>
      </c>
      <c r="AB18" s="4">
        <f>IF(OR($B18="",G18=""),"",IF($B18=1,--(G18=1),""))</f>
        <v/>
      </c>
      <c r="AC18" s="4">
        <f>IF(OR($B18="",G18=""),"",IF($B18=0,--(G18=0),""))</f>
        <v/>
      </c>
      <c r="AD18" s="4">
        <f>IF(G18="","",--(G18=1))</f>
        <v/>
      </c>
      <c r="AE18" s="4">
        <f>IF(OR($B18="",H18=""),"",--(H18=$B18))</f>
        <v/>
      </c>
      <c r="AF18" s="4">
        <f>IF(OR($B18="",H18=""),"",IF($B18=1,--(H18=1),""))</f>
        <v/>
      </c>
      <c r="AG18" s="4">
        <f>IF(OR($B18="",H18=""),"",IF($B18=0,--(H18=0),""))</f>
        <v/>
      </c>
      <c r="AH18" s="4">
        <f>IF(H18="","",--(H18=1))</f>
        <v/>
      </c>
      <c r="AI18" s="4">
        <f>IF(OR($B18="",I18=""),"",--(I18=$B18))</f>
        <v/>
      </c>
      <c r="AJ18" s="4">
        <f>IF(OR($B18="",I18=""),"",IF($B18=1,--(I18=1),""))</f>
        <v/>
      </c>
      <c r="AK18" s="4">
        <f>IF(OR($B18="",I18=""),"",IF($B18=0,--(I18=0),""))</f>
        <v/>
      </c>
      <c r="AL18" s="4">
        <f>IF(I18="","",--(I18=1))</f>
        <v/>
      </c>
      <c r="AM18" s="4">
        <f>IF(OR($B18="",J18=""),"",--(J18=$B18))</f>
        <v/>
      </c>
      <c r="AN18" s="4">
        <f>IF(OR($B18="",J18=""),"",IF($B18=1,--(J18=1),""))</f>
        <v/>
      </c>
      <c r="AO18" s="4">
        <f>IF(OR($B18="",J18=""),"",IF($B18=0,--(J18=0),""))</f>
        <v/>
      </c>
      <c r="AP18" s="4">
        <f>IF(J18="","",--(J18=1))</f>
        <v/>
      </c>
      <c r="AQ18" s="4">
        <f>IF(OR($B18="",K18=""),"",--(K18=$B18))</f>
        <v/>
      </c>
      <c r="AR18" s="4">
        <f>IF(OR($B18="",K18=""),"",IF($B18=1,--(K18=1),""))</f>
        <v/>
      </c>
      <c r="AS18" s="4">
        <f>IF(OR($B18="",K18=""),"",IF($B18=0,--(K18=0),""))</f>
        <v/>
      </c>
      <c r="AT18" s="4">
        <f>IF(K18="","",--(K18=1))</f>
        <v/>
      </c>
      <c r="AU18" s="4">
        <f>IF(OR($B18="",L18=""),"",--(L18=$B18))</f>
        <v/>
      </c>
      <c r="AV18" s="4">
        <f>IF(OR($B18="",L18=""),"",IF($B18=1,--(L18=1),""))</f>
        <v/>
      </c>
      <c r="AW18" s="4">
        <f>IF(OR($B18="",L18=""),"",IF($B18=0,--(L18=0),""))</f>
        <v/>
      </c>
      <c r="AX18" s="4">
        <f>IF(L18="","",--(L18=1))</f>
        <v/>
      </c>
      <c r="AY18" s="4">
        <f>IF(OR($B18="",M18=""),"",--(M18=$B18))</f>
        <v/>
      </c>
      <c r="AZ18" s="4">
        <f>IF(OR($B18="",M18=""),"",IF($B18=1,--(M18=1),""))</f>
        <v/>
      </c>
      <c r="BA18" s="4">
        <f>IF(OR($B18="",M18=""),"",IF($B18=0,--(M18=0),""))</f>
        <v/>
      </c>
      <c r="BB18" s="4">
        <f>IF(M18="","",--(M18=1))</f>
        <v/>
      </c>
      <c r="BC18" s="4">
        <f>IF(OR($B18="",N18=""),"",--(N18=$B18))</f>
        <v/>
      </c>
      <c r="BD18" s="4">
        <f>IF(OR($B18="",N18=""),"",IF($B18=1,--(N18=1),""))</f>
        <v/>
      </c>
      <c r="BE18" s="4">
        <f>IF(OR($B18="",N18=""),"",IF($B18=0,--(N18=0),""))</f>
        <v/>
      </c>
      <c r="BF18" s="4">
        <f>IF(N18="","",--(N18=1))</f>
        <v/>
      </c>
    </row>
    <row r="19">
      <c r="A19" s="3" t="inlineStr">
        <is>
          <t>201921409</t>
        </is>
      </c>
      <c r="B19" s="3" t="inlineStr">
        <is>
          <t>0</t>
        </is>
      </c>
      <c r="C19" s="3" t="inlineStr">
        <is>
          <t>Direct</t>
        </is>
      </c>
      <c r="D19" s="3" t="inlineStr">
        <is>
          <t>1</t>
        </is>
      </c>
      <c r="E19" s="3" t="inlineStr">
        <is>
          <t>1</t>
        </is>
      </c>
      <c r="F19" s="3" t="inlineStr">
        <is>
          <t>0</t>
        </is>
      </c>
      <c r="G19" s="3" t="inlineStr">
        <is>
          <t>0</t>
        </is>
      </c>
      <c r="H19" s="3" t="inlineStr">
        <is>
          <t>0</t>
        </is>
      </c>
      <c r="I19" s="3" t="inlineStr">
        <is>
          <t>1</t>
        </is>
      </c>
      <c r="J19" s="3" t="inlineStr">
        <is>
          <t>1</t>
        </is>
      </c>
      <c r="K19" s="3" t="inlineStr">
        <is>
          <t>1</t>
        </is>
      </c>
      <c r="L19" s="3" t="inlineStr">
        <is>
          <t>1</t>
        </is>
      </c>
      <c r="M19" s="3" t="inlineStr">
        <is>
          <t>1</t>
        </is>
      </c>
      <c r="N19" s="3" t="inlineStr">
        <is>
          <t>1</t>
        </is>
      </c>
      <c r="O19" s="4">
        <f>IF(OR($B19="",D19=""),"",--(D19=$B19))</f>
        <v/>
      </c>
      <c r="P19" s="4">
        <f>IF(OR($B19="",D19=""),"",IF($B19=1,--(D19=1),""))</f>
        <v/>
      </c>
      <c r="Q19" s="4">
        <f>IF(OR($B19="",D19=""),"",IF($B19=0,--(D19=0),""))</f>
        <v/>
      </c>
      <c r="R19" s="4">
        <f>IF(D19="","",--(D19=1))</f>
        <v/>
      </c>
      <c r="S19" s="4">
        <f>IF(OR($B19="",E19=""),"",--(E19=$B19))</f>
        <v/>
      </c>
      <c r="T19" s="4">
        <f>IF(OR($B19="",E19=""),"",IF($B19=1,--(E19=1),""))</f>
        <v/>
      </c>
      <c r="U19" s="4">
        <f>IF(OR($B19="",E19=""),"",IF($B19=0,--(E19=0),""))</f>
        <v/>
      </c>
      <c r="V19" s="4">
        <f>IF(E19="","",--(E19=1))</f>
        <v/>
      </c>
      <c r="W19" s="4">
        <f>IF(OR($B19="",F19=""),"",--(F19=$B19))</f>
        <v/>
      </c>
      <c r="X19" s="4">
        <f>IF(OR($B19="",F19=""),"",IF($B19=1,--(F19=1),""))</f>
        <v/>
      </c>
      <c r="Y19" s="4">
        <f>IF(OR($B19="",F19=""),"",IF($B19=0,--(F19=0),""))</f>
        <v/>
      </c>
      <c r="Z19" s="4">
        <f>IF(F19="","",--(F19=1))</f>
        <v/>
      </c>
      <c r="AA19" s="4">
        <f>IF(OR($B19="",G19=""),"",--(G19=$B19))</f>
        <v/>
      </c>
      <c r="AB19" s="4">
        <f>IF(OR($B19="",G19=""),"",IF($B19=1,--(G19=1),""))</f>
        <v/>
      </c>
      <c r="AC19" s="4">
        <f>IF(OR($B19="",G19=""),"",IF($B19=0,--(G19=0),""))</f>
        <v/>
      </c>
      <c r="AD19" s="4">
        <f>IF(G19="","",--(G19=1))</f>
        <v/>
      </c>
      <c r="AE19" s="4">
        <f>IF(OR($B19="",H19=""),"",--(H19=$B19))</f>
        <v/>
      </c>
      <c r="AF19" s="4">
        <f>IF(OR($B19="",H19=""),"",IF($B19=1,--(H19=1),""))</f>
        <v/>
      </c>
      <c r="AG19" s="4">
        <f>IF(OR($B19="",H19=""),"",IF($B19=0,--(H19=0),""))</f>
        <v/>
      </c>
      <c r="AH19" s="4">
        <f>IF(H19="","",--(H19=1))</f>
        <v/>
      </c>
      <c r="AI19" s="4">
        <f>IF(OR($B19="",I19=""),"",--(I19=$B19))</f>
        <v/>
      </c>
      <c r="AJ19" s="4">
        <f>IF(OR($B19="",I19=""),"",IF($B19=1,--(I19=1),""))</f>
        <v/>
      </c>
      <c r="AK19" s="4">
        <f>IF(OR($B19="",I19=""),"",IF($B19=0,--(I19=0),""))</f>
        <v/>
      </c>
      <c r="AL19" s="4">
        <f>IF(I19="","",--(I19=1))</f>
        <v/>
      </c>
      <c r="AM19" s="4">
        <f>IF(OR($B19="",J19=""),"",--(J19=$B19))</f>
        <v/>
      </c>
      <c r="AN19" s="4">
        <f>IF(OR($B19="",J19=""),"",IF($B19=1,--(J19=1),""))</f>
        <v/>
      </c>
      <c r="AO19" s="4">
        <f>IF(OR($B19="",J19=""),"",IF($B19=0,--(J19=0),""))</f>
        <v/>
      </c>
      <c r="AP19" s="4">
        <f>IF(J19="","",--(J19=1))</f>
        <v/>
      </c>
      <c r="AQ19" s="4">
        <f>IF(OR($B19="",K19=""),"",--(K19=$B19))</f>
        <v/>
      </c>
      <c r="AR19" s="4">
        <f>IF(OR($B19="",K19=""),"",IF($B19=1,--(K19=1),""))</f>
        <v/>
      </c>
      <c r="AS19" s="4">
        <f>IF(OR($B19="",K19=""),"",IF($B19=0,--(K19=0),""))</f>
        <v/>
      </c>
      <c r="AT19" s="4">
        <f>IF(K19="","",--(K19=1))</f>
        <v/>
      </c>
      <c r="AU19" s="4">
        <f>IF(OR($B19="",L19=""),"",--(L19=$B19))</f>
        <v/>
      </c>
      <c r="AV19" s="4">
        <f>IF(OR($B19="",L19=""),"",IF($B19=1,--(L19=1),""))</f>
        <v/>
      </c>
      <c r="AW19" s="4">
        <f>IF(OR($B19="",L19=""),"",IF($B19=0,--(L19=0),""))</f>
        <v/>
      </c>
      <c r="AX19" s="4">
        <f>IF(L19="","",--(L19=1))</f>
        <v/>
      </c>
      <c r="AY19" s="4">
        <f>IF(OR($B19="",M19=""),"",--(M19=$B19))</f>
        <v/>
      </c>
      <c r="AZ19" s="4">
        <f>IF(OR($B19="",M19=""),"",IF($B19=1,--(M19=1),""))</f>
        <v/>
      </c>
      <c r="BA19" s="4">
        <f>IF(OR($B19="",M19=""),"",IF($B19=0,--(M19=0),""))</f>
        <v/>
      </c>
      <c r="BB19" s="4">
        <f>IF(M19="","",--(M19=1))</f>
        <v/>
      </c>
      <c r="BC19" s="4">
        <f>IF(OR($B19="",N19=""),"",--(N19=$B19))</f>
        <v/>
      </c>
      <c r="BD19" s="4">
        <f>IF(OR($B19="",N19=""),"",IF($B19=1,--(N19=1),""))</f>
        <v/>
      </c>
      <c r="BE19" s="4">
        <f>IF(OR($B19="",N19=""),"",IF($B19=0,--(N19=0),""))</f>
        <v/>
      </c>
      <c r="BF19" s="4">
        <f>IF(N19="","",--(N19=1))</f>
        <v/>
      </c>
    </row>
    <row r="20">
      <c r="A20" s="3" t="inlineStr">
        <is>
          <t>201922718</t>
        </is>
      </c>
      <c r="B20" s="3" t="inlineStr">
        <is>
          <t>1</t>
        </is>
      </c>
      <c r="C20" s="3" t="inlineStr">
        <is>
          <t>Direct</t>
        </is>
      </c>
      <c r="D20" s="3" t="inlineStr">
        <is>
          <t>1</t>
        </is>
      </c>
      <c r="E20" s="3" t="inlineStr">
        <is>
          <t>1</t>
        </is>
      </c>
      <c r="F20" s="3" t="inlineStr">
        <is>
          <t>1</t>
        </is>
      </c>
      <c r="G20" s="3" t="inlineStr">
        <is>
          <t>1</t>
        </is>
      </c>
      <c r="H20" s="3" t="inlineStr">
        <is>
          <t>1</t>
        </is>
      </c>
      <c r="I20" s="3" t="inlineStr">
        <is>
          <t>1</t>
        </is>
      </c>
      <c r="J20" s="3" t="inlineStr">
        <is>
          <t>1</t>
        </is>
      </c>
      <c r="K20" s="3" t="inlineStr">
        <is>
          <t>1</t>
        </is>
      </c>
      <c r="L20" s="3" t="inlineStr">
        <is>
          <t>1</t>
        </is>
      </c>
      <c r="M20" s="3" t="inlineStr">
        <is>
          <t>1</t>
        </is>
      </c>
      <c r="N20" s="3" t="inlineStr">
        <is>
          <t>1</t>
        </is>
      </c>
      <c r="O20" s="4">
        <f>IF(OR($B20="",D20=""),"",--(D20=$B20))</f>
        <v/>
      </c>
      <c r="P20" s="4">
        <f>IF(OR($B20="",D20=""),"",IF($B20=1,--(D20=1),""))</f>
        <v/>
      </c>
      <c r="Q20" s="4">
        <f>IF(OR($B20="",D20=""),"",IF($B20=0,--(D20=0),""))</f>
        <v/>
      </c>
      <c r="R20" s="4">
        <f>IF(D20="","",--(D20=1))</f>
        <v/>
      </c>
      <c r="S20" s="4">
        <f>IF(OR($B20="",E20=""),"",--(E20=$B20))</f>
        <v/>
      </c>
      <c r="T20" s="4">
        <f>IF(OR($B20="",E20=""),"",IF($B20=1,--(E20=1),""))</f>
        <v/>
      </c>
      <c r="U20" s="4">
        <f>IF(OR($B20="",E20=""),"",IF($B20=0,--(E20=0),""))</f>
        <v/>
      </c>
      <c r="V20" s="4">
        <f>IF(E20="","",--(E20=1))</f>
        <v/>
      </c>
      <c r="W20" s="4">
        <f>IF(OR($B20="",F20=""),"",--(F20=$B20))</f>
        <v/>
      </c>
      <c r="X20" s="4">
        <f>IF(OR($B20="",F20=""),"",IF($B20=1,--(F20=1),""))</f>
        <v/>
      </c>
      <c r="Y20" s="4">
        <f>IF(OR($B20="",F20=""),"",IF($B20=0,--(F20=0),""))</f>
        <v/>
      </c>
      <c r="Z20" s="4">
        <f>IF(F20="","",--(F20=1))</f>
        <v/>
      </c>
      <c r="AA20" s="4">
        <f>IF(OR($B20="",G20=""),"",--(G20=$B20))</f>
        <v/>
      </c>
      <c r="AB20" s="4">
        <f>IF(OR($B20="",G20=""),"",IF($B20=1,--(G20=1),""))</f>
        <v/>
      </c>
      <c r="AC20" s="4">
        <f>IF(OR($B20="",G20=""),"",IF($B20=0,--(G20=0),""))</f>
        <v/>
      </c>
      <c r="AD20" s="4">
        <f>IF(G20="","",--(G20=1))</f>
        <v/>
      </c>
      <c r="AE20" s="4">
        <f>IF(OR($B20="",H20=""),"",--(H20=$B20))</f>
        <v/>
      </c>
      <c r="AF20" s="4">
        <f>IF(OR($B20="",H20=""),"",IF($B20=1,--(H20=1),""))</f>
        <v/>
      </c>
      <c r="AG20" s="4">
        <f>IF(OR($B20="",H20=""),"",IF($B20=0,--(H20=0),""))</f>
        <v/>
      </c>
      <c r="AH20" s="4">
        <f>IF(H20="","",--(H20=1))</f>
        <v/>
      </c>
      <c r="AI20" s="4">
        <f>IF(OR($B20="",I20=""),"",--(I20=$B20))</f>
        <v/>
      </c>
      <c r="AJ20" s="4">
        <f>IF(OR($B20="",I20=""),"",IF($B20=1,--(I20=1),""))</f>
        <v/>
      </c>
      <c r="AK20" s="4">
        <f>IF(OR($B20="",I20=""),"",IF($B20=0,--(I20=0),""))</f>
        <v/>
      </c>
      <c r="AL20" s="4">
        <f>IF(I20="","",--(I20=1))</f>
        <v/>
      </c>
      <c r="AM20" s="4">
        <f>IF(OR($B20="",J20=""),"",--(J20=$B20))</f>
        <v/>
      </c>
      <c r="AN20" s="4">
        <f>IF(OR($B20="",J20=""),"",IF($B20=1,--(J20=1),""))</f>
        <v/>
      </c>
      <c r="AO20" s="4">
        <f>IF(OR($B20="",J20=""),"",IF($B20=0,--(J20=0),""))</f>
        <v/>
      </c>
      <c r="AP20" s="4">
        <f>IF(J20="","",--(J20=1))</f>
        <v/>
      </c>
      <c r="AQ20" s="4">
        <f>IF(OR($B20="",K20=""),"",--(K20=$B20))</f>
        <v/>
      </c>
      <c r="AR20" s="4">
        <f>IF(OR($B20="",K20=""),"",IF($B20=1,--(K20=1),""))</f>
        <v/>
      </c>
      <c r="AS20" s="4">
        <f>IF(OR($B20="",K20=""),"",IF($B20=0,--(K20=0),""))</f>
        <v/>
      </c>
      <c r="AT20" s="4">
        <f>IF(K20="","",--(K20=1))</f>
        <v/>
      </c>
      <c r="AU20" s="4">
        <f>IF(OR($B20="",L20=""),"",--(L20=$B20))</f>
        <v/>
      </c>
      <c r="AV20" s="4">
        <f>IF(OR($B20="",L20=""),"",IF($B20=1,--(L20=1),""))</f>
        <v/>
      </c>
      <c r="AW20" s="4">
        <f>IF(OR($B20="",L20=""),"",IF($B20=0,--(L20=0),""))</f>
        <v/>
      </c>
      <c r="AX20" s="4">
        <f>IF(L20="","",--(L20=1))</f>
        <v/>
      </c>
      <c r="AY20" s="4">
        <f>IF(OR($B20="",M20=""),"",--(M20=$B20))</f>
        <v/>
      </c>
      <c r="AZ20" s="4">
        <f>IF(OR($B20="",M20=""),"",IF($B20=1,--(M20=1),""))</f>
        <v/>
      </c>
      <c r="BA20" s="4">
        <f>IF(OR($B20="",M20=""),"",IF($B20=0,--(M20=0),""))</f>
        <v/>
      </c>
      <c r="BB20" s="4">
        <f>IF(M20="","",--(M20=1))</f>
        <v/>
      </c>
      <c r="BC20" s="4">
        <f>IF(OR($B20="",N20=""),"",--(N20=$B20))</f>
        <v/>
      </c>
      <c r="BD20" s="4">
        <f>IF(OR($B20="",N20=""),"",IF($B20=1,--(N20=1),""))</f>
        <v/>
      </c>
      <c r="BE20" s="4">
        <f>IF(OR($B20="",N20=""),"",IF($B20=0,--(N20=0),""))</f>
        <v/>
      </c>
      <c r="BF20" s="4">
        <f>IF(N20="","",--(N20=1))</f>
        <v/>
      </c>
    </row>
    <row r="21">
      <c r="A21" s="3" t="inlineStr">
        <is>
          <t>201922729</t>
        </is>
      </c>
      <c r="B21" s="3" t="inlineStr">
        <is>
          <t>1</t>
        </is>
      </c>
      <c r="C21" s="3" t="inlineStr">
        <is>
          <t>Direct</t>
        </is>
      </c>
      <c r="D21" s="3" t="inlineStr">
        <is>
          <t>1</t>
        </is>
      </c>
      <c r="E21" s="3" t="inlineStr">
        <is>
          <t>1</t>
        </is>
      </c>
      <c r="F21" s="3" t="inlineStr">
        <is>
          <t>0</t>
        </is>
      </c>
      <c r="G21" s="3" t="inlineStr">
        <is>
          <t>0</t>
        </is>
      </c>
      <c r="H21" s="3" t="inlineStr">
        <is>
          <t>0</t>
        </is>
      </c>
      <c r="I21" s="3" t="inlineStr">
        <is>
          <t>1</t>
        </is>
      </c>
      <c r="J21" s="3" t="inlineStr">
        <is>
          <t>1</t>
        </is>
      </c>
      <c r="K21" s="3" t="inlineStr">
        <is>
          <t>1</t>
        </is>
      </c>
      <c r="L21" s="3" t="inlineStr">
        <is>
          <t>1</t>
        </is>
      </c>
      <c r="M21" s="3" t="inlineStr">
        <is>
          <t>1</t>
        </is>
      </c>
      <c r="N21" s="3" t="inlineStr">
        <is>
          <t>1</t>
        </is>
      </c>
      <c r="O21" s="4">
        <f>IF(OR($B21="",D21=""),"",--(D21=$B21))</f>
        <v/>
      </c>
      <c r="P21" s="4">
        <f>IF(OR($B21="",D21=""),"",IF($B21=1,--(D21=1),""))</f>
        <v/>
      </c>
      <c r="Q21" s="4">
        <f>IF(OR($B21="",D21=""),"",IF($B21=0,--(D21=0),""))</f>
        <v/>
      </c>
      <c r="R21" s="4">
        <f>IF(D21="","",--(D21=1))</f>
        <v/>
      </c>
      <c r="S21" s="4">
        <f>IF(OR($B21="",E21=""),"",--(E21=$B21))</f>
        <v/>
      </c>
      <c r="T21" s="4">
        <f>IF(OR($B21="",E21=""),"",IF($B21=1,--(E21=1),""))</f>
        <v/>
      </c>
      <c r="U21" s="4">
        <f>IF(OR($B21="",E21=""),"",IF($B21=0,--(E21=0),""))</f>
        <v/>
      </c>
      <c r="V21" s="4">
        <f>IF(E21="","",--(E21=1))</f>
        <v/>
      </c>
      <c r="W21" s="4">
        <f>IF(OR($B21="",F21=""),"",--(F21=$B21))</f>
        <v/>
      </c>
      <c r="X21" s="4">
        <f>IF(OR($B21="",F21=""),"",IF($B21=1,--(F21=1),""))</f>
        <v/>
      </c>
      <c r="Y21" s="4">
        <f>IF(OR($B21="",F21=""),"",IF($B21=0,--(F21=0),""))</f>
        <v/>
      </c>
      <c r="Z21" s="4">
        <f>IF(F21="","",--(F21=1))</f>
        <v/>
      </c>
      <c r="AA21" s="4">
        <f>IF(OR($B21="",G21=""),"",--(G21=$B21))</f>
        <v/>
      </c>
      <c r="AB21" s="4">
        <f>IF(OR($B21="",G21=""),"",IF($B21=1,--(G21=1),""))</f>
        <v/>
      </c>
      <c r="AC21" s="4">
        <f>IF(OR($B21="",G21=""),"",IF($B21=0,--(G21=0),""))</f>
        <v/>
      </c>
      <c r="AD21" s="4">
        <f>IF(G21="","",--(G21=1))</f>
        <v/>
      </c>
      <c r="AE21" s="4">
        <f>IF(OR($B21="",H21=""),"",--(H21=$B21))</f>
        <v/>
      </c>
      <c r="AF21" s="4">
        <f>IF(OR($B21="",H21=""),"",IF($B21=1,--(H21=1),""))</f>
        <v/>
      </c>
      <c r="AG21" s="4">
        <f>IF(OR($B21="",H21=""),"",IF($B21=0,--(H21=0),""))</f>
        <v/>
      </c>
      <c r="AH21" s="4">
        <f>IF(H21="","",--(H21=1))</f>
        <v/>
      </c>
      <c r="AI21" s="4">
        <f>IF(OR($B21="",I21=""),"",--(I21=$B21))</f>
        <v/>
      </c>
      <c r="AJ21" s="4">
        <f>IF(OR($B21="",I21=""),"",IF($B21=1,--(I21=1),""))</f>
        <v/>
      </c>
      <c r="AK21" s="4">
        <f>IF(OR($B21="",I21=""),"",IF($B21=0,--(I21=0),""))</f>
        <v/>
      </c>
      <c r="AL21" s="4">
        <f>IF(I21="","",--(I21=1))</f>
        <v/>
      </c>
      <c r="AM21" s="4">
        <f>IF(OR($B21="",J21=""),"",--(J21=$B21))</f>
        <v/>
      </c>
      <c r="AN21" s="4">
        <f>IF(OR($B21="",J21=""),"",IF($B21=1,--(J21=1),""))</f>
        <v/>
      </c>
      <c r="AO21" s="4">
        <f>IF(OR($B21="",J21=""),"",IF($B21=0,--(J21=0),""))</f>
        <v/>
      </c>
      <c r="AP21" s="4">
        <f>IF(J21="","",--(J21=1))</f>
        <v/>
      </c>
      <c r="AQ21" s="4">
        <f>IF(OR($B21="",K21=""),"",--(K21=$B21))</f>
        <v/>
      </c>
      <c r="AR21" s="4">
        <f>IF(OR($B21="",K21=""),"",IF($B21=1,--(K21=1),""))</f>
        <v/>
      </c>
      <c r="AS21" s="4">
        <f>IF(OR($B21="",K21=""),"",IF($B21=0,--(K21=0),""))</f>
        <v/>
      </c>
      <c r="AT21" s="4">
        <f>IF(K21="","",--(K21=1))</f>
        <v/>
      </c>
      <c r="AU21" s="4">
        <f>IF(OR($B21="",L21=""),"",--(L21=$B21))</f>
        <v/>
      </c>
      <c r="AV21" s="4">
        <f>IF(OR($B21="",L21=""),"",IF($B21=1,--(L21=1),""))</f>
        <v/>
      </c>
      <c r="AW21" s="4">
        <f>IF(OR($B21="",L21=""),"",IF($B21=0,--(L21=0),""))</f>
        <v/>
      </c>
      <c r="AX21" s="4">
        <f>IF(L21="","",--(L21=1))</f>
        <v/>
      </c>
      <c r="AY21" s="4">
        <f>IF(OR($B21="",M21=""),"",--(M21=$B21))</f>
        <v/>
      </c>
      <c r="AZ21" s="4">
        <f>IF(OR($B21="",M21=""),"",IF($B21=1,--(M21=1),""))</f>
        <v/>
      </c>
      <c r="BA21" s="4">
        <f>IF(OR($B21="",M21=""),"",IF($B21=0,--(M21=0),""))</f>
        <v/>
      </c>
      <c r="BB21" s="4">
        <f>IF(M21="","",--(M21=1))</f>
        <v/>
      </c>
      <c r="BC21" s="4">
        <f>IF(OR($B21="",N21=""),"",--(N21=$B21))</f>
        <v/>
      </c>
      <c r="BD21" s="4">
        <f>IF(OR($B21="",N21=""),"",IF($B21=1,--(N21=1),""))</f>
        <v/>
      </c>
      <c r="BE21" s="4">
        <f>IF(OR($B21="",N21=""),"",IF($B21=0,--(N21=0),""))</f>
        <v/>
      </c>
      <c r="BF21" s="4">
        <f>IF(N21="","",--(N21=1))</f>
        <v/>
      </c>
    </row>
    <row r="22">
      <c r="A22" s="3" t="inlineStr">
        <is>
          <t>201923084</t>
        </is>
      </c>
      <c r="B22" s="3" t="inlineStr">
        <is>
          <t>1</t>
        </is>
      </c>
      <c r="C22" s="3" t="inlineStr">
        <is>
          <t>Direct</t>
        </is>
      </c>
      <c r="D22" s="3" t="inlineStr">
        <is>
          <t>1</t>
        </is>
      </c>
      <c r="E22" s="3" t="inlineStr">
        <is>
          <t>1</t>
        </is>
      </c>
      <c r="F22" s="3" t="inlineStr">
        <is>
          <t>1</t>
        </is>
      </c>
      <c r="G22" s="3" t="inlineStr">
        <is>
          <t>1</t>
        </is>
      </c>
      <c r="H22" s="3" t="inlineStr">
        <is>
          <t>1</t>
        </is>
      </c>
      <c r="I22" s="3" t="inlineStr">
        <is>
          <t>1</t>
        </is>
      </c>
      <c r="J22" s="3" t="inlineStr">
        <is>
          <t>1</t>
        </is>
      </c>
      <c r="K22" s="3" t="inlineStr">
        <is>
          <t>1</t>
        </is>
      </c>
      <c r="L22" s="3" t="inlineStr">
        <is>
          <t>1</t>
        </is>
      </c>
      <c r="M22" s="3" t="inlineStr">
        <is>
          <t>1</t>
        </is>
      </c>
      <c r="N22" s="3" t="inlineStr">
        <is>
          <t>1</t>
        </is>
      </c>
      <c r="O22" s="4">
        <f>IF(OR($B22="",D22=""),"",--(D22=$B22))</f>
        <v/>
      </c>
      <c r="P22" s="4">
        <f>IF(OR($B22="",D22=""),"",IF($B22=1,--(D22=1),""))</f>
        <v/>
      </c>
      <c r="Q22" s="4">
        <f>IF(OR($B22="",D22=""),"",IF($B22=0,--(D22=0),""))</f>
        <v/>
      </c>
      <c r="R22" s="4">
        <f>IF(D22="","",--(D22=1))</f>
        <v/>
      </c>
      <c r="S22" s="4">
        <f>IF(OR($B22="",E22=""),"",--(E22=$B22))</f>
        <v/>
      </c>
      <c r="T22" s="4">
        <f>IF(OR($B22="",E22=""),"",IF($B22=1,--(E22=1),""))</f>
        <v/>
      </c>
      <c r="U22" s="4">
        <f>IF(OR($B22="",E22=""),"",IF($B22=0,--(E22=0),""))</f>
        <v/>
      </c>
      <c r="V22" s="4">
        <f>IF(E22="","",--(E22=1))</f>
        <v/>
      </c>
      <c r="W22" s="4">
        <f>IF(OR($B22="",F22=""),"",--(F22=$B22))</f>
        <v/>
      </c>
      <c r="X22" s="4">
        <f>IF(OR($B22="",F22=""),"",IF($B22=1,--(F22=1),""))</f>
        <v/>
      </c>
      <c r="Y22" s="4">
        <f>IF(OR($B22="",F22=""),"",IF($B22=0,--(F22=0),""))</f>
        <v/>
      </c>
      <c r="Z22" s="4">
        <f>IF(F22="","",--(F22=1))</f>
        <v/>
      </c>
      <c r="AA22" s="4">
        <f>IF(OR($B22="",G22=""),"",--(G22=$B22))</f>
        <v/>
      </c>
      <c r="AB22" s="4">
        <f>IF(OR($B22="",G22=""),"",IF($B22=1,--(G22=1),""))</f>
        <v/>
      </c>
      <c r="AC22" s="4">
        <f>IF(OR($B22="",G22=""),"",IF($B22=0,--(G22=0),""))</f>
        <v/>
      </c>
      <c r="AD22" s="4">
        <f>IF(G22="","",--(G22=1))</f>
        <v/>
      </c>
      <c r="AE22" s="4">
        <f>IF(OR($B22="",H22=""),"",--(H22=$B22))</f>
        <v/>
      </c>
      <c r="AF22" s="4">
        <f>IF(OR($B22="",H22=""),"",IF($B22=1,--(H22=1),""))</f>
        <v/>
      </c>
      <c r="AG22" s="4">
        <f>IF(OR($B22="",H22=""),"",IF($B22=0,--(H22=0),""))</f>
        <v/>
      </c>
      <c r="AH22" s="4">
        <f>IF(H22="","",--(H22=1))</f>
        <v/>
      </c>
      <c r="AI22" s="4">
        <f>IF(OR($B22="",I22=""),"",--(I22=$B22))</f>
        <v/>
      </c>
      <c r="AJ22" s="4">
        <f>IF(OR($B22="",I22=""),"",IF($B22=1,--(I22=1),""))</f>
        <v/>
      </c>
      <c r="AK22" s="4">
        <f>IF(OR($B22="",I22=""),"",IF($B22=0,--(I22=0),""))</f>
        <v/>
      </c>
      <c r="AL22" s="4">
        <f>IF(I22="","",--(I22=1))</f>
        <v/>
      </c>
      <c r="AM22" s="4">
        <f>IF(OR($B22="",J22=""),"",--(J22=$B22))</f>
        <v/>
      </c>
      <c r="AN22" s="4">
        <f>IF(OR($B22="",J22=""),"",IF($B22=1,--(J22=1),""))</f>
        <v/>
      </c>
      <c r="AO22" s="4">
        <f>IF(OR($B22="",J22=""),"",IF($B22=0,--(J22=0),""))</f>
        <v/>
      </c>
      <c r="AP22" s="4">
        <f>IF(J22="","",--(J22=1))</f>
        <v/>
      </c>
      <c r="AQ22" s="4">
        <f>IF(OR($B22="",K22=""),"",--(K22=$B22))</f>
        <v/>
      </c>
      <c r="AR22" s="4">
        <f>IF(OR($B22="",K22=""),"",IF($B22=1,--(K22=1),""))</f>
        <v/>
      </c>
      <c r="AS22" s="4">
        <f>IF(OR($B22="",K22=""),"",IF($B22=0,--(K22=0),""))</f>
        <v/>
      </c>
      <c r="AT22" s="4">
        <f>IF(K22="","",--(K22=1))</f>
        <v/>
      </c>
      <c r="AU22" s="4">
        <f>IF(OR($B22="",L22=""),"",--(L22=$B22))</f>
        <v/>
      </c>
      <c r="AV22" s="4">
        <f>IF(OR($B22="",L22=""),"",IF($B22=1,--(L22=1),""))</f>
        <v/>
      </c>
      <c r="AW22" s="4">
        <f>IF(OR($B22="",L22=""),"",IF($B22=0,--(L22=0),""))</f>
        <v/>
      </c>
      <c r="AX22" s="4">
        <f>IF(L22="","",--(L22=1))</f>
        <v/>
      </c>
      <c r="AY22" s="4">
        <f>IF(OR($B22="",M22=""),"",--(M22=$B22))</f>
        <v/>
      </c>
      <c r="AZ22" s="4">
        <f>IF(OR($B22="",M22=""),"",IF($B22=1,--(M22=1),""))</f>
        <v/>
      </c>
      <c r="BA22" s="4">
        <f>IF(OR($B22="",M22=""),"",IF($B22=0,--(M22=0),""))</f>
        <v/>
      </c>
      <c r="BB22" s="4">
        <f>IF(M22="","",--(M22=1))</f>
        <v/>
      </c>
      <c r="BC22" s="4">
        <f>IF(OR($B22="",N22=""),"",--(N22=$B22))</f>
        <v/>
      </c>
      <c r="BD22" s="4">
        <f>IF(OR($B22="",N22=""),"",IF($B22=1,--(N22=1),""))</f>
        <v/>
      </c>
      <c r="BE22" s="4">
        <f>IF(OR($B22="",N22=""),"",IF($B22=0,--(N22=0),""))</f>
        <v/>
      </c>
      <c r="BF22" s="4">
        <f>IF(N22="","",--(N22=1))</f>
        <v/>
      </c>
    </row>
    <row r="23">
      <c r="A23" s="3" t="inlineStr">
        <is>
          <t>201923814</t>
        </is>
      </c>
      <c r="B23" s="3" t="inlineStr">
        <is>
          <t>0</t>
        </is>
      </c>
      <c r="C23" s="3" t="inlineStr">
        <is>
          <t>Direct</t>
        </is>
      </c>
      <c r="D23" s="3" t="inlineStr">
        <is>
          <t>1</t>
        </is>
      </c>
      <c r="E23" s="3" t="inlineStr">
        <is>
          <t>0</t>
        </is>
      </c>
      <c r="F23" s="3" t="inlineStr">
        <is>
          <t>1</t>
        </is>
      </c>
      <c r="G23" s="3" t="inlineStr">
        <is>
          <t>1</t>
        </is>
      </c>
      <c r="H23" s="3" t="inlineStr">
        <is>
          <t>1</t>
        </is>
      </c>
      <c r="I23" s="3" t="inlineStr">
        <is>
          <t>1</t>
        </is>
      </c>
      <c r="J23" s="3" t="inlineStr">
        <is>
          <t>1</t>
        </is>
      </c>
      <c r="K23" s="3" t="inlineStr">
        <is>
          <t>1</t>
        </is>
      </c>
      <c r="L23" s="3" t="inlineStr">
        <is>
          <t>1</t>
        </is>
      </c>
      <c r="M23" s="3" t="inlineStr">
        <is>
          <t>1</t>
        </is>
      </c>
      <c r="N23" s="3" t="inlineStr">
        <is>
          <t>1</t>
        </is>
      </c>
      <c r="O23" s="4">
        <f>IF(OR($B23="",D23=""),"",--(D23=$B23))</f>
        <v/>
      </c>
      <c r="P23" s="4">
        <f>IF(OR($B23="",D23=""),"",IF($B23=1,--(D23=1),""))</f>
        <v/>
      </c>
      <c r="Q23" s="4">
        <f>IF(OR($B23="",D23=""),"",IF($B23=0,--(D23=0),""))</f>
        <v/>
      </c>
      <c r="R23" s="4">
        <f>IF(D23="","",--(D23=1))</f>
        <v/>
      </c>
      <c r="S23" s="4">
        <f>IF(OR($B23="",E23=""),"",--(E23=$B23))</f>
        <v/>
      </c>
      <c r="T23" s="4">
        <f>IF(OR($B23="",E23=""),"",IF($B23=1,--(E23=1),""))</f>
        <v/>
      </c>
      <c r="U23" s="4">
        <f>IF(OR($B23="",E23=""),"",IF($B23=0,--(E23=0),""))</f>
        <v/>
      </c>
      <c r="V23" s="4">
        <f>IF(E23="","",--(E23=1))</f>
        <v/>
      </c>
      <c r="W23" s="4">
        <f>IF(OR($B23="",F23=""),"",--(F23=$B23))</f>
        <v/>
      </c>
      <c r="X23" s="4">
        <f>IF(OR($B23="",F23=""),"",IF($B23=1,--(F23=1),""))</f>
        <v/>
      </c>
      <c r="Y23" s="4">
        <f>IF(OR($B23="",F23=""),"",IF($B23=0,--(F23=0),""))</f>
        <v/>
      </c>
      <c r="Z23" s="4">
        <f>IF(F23="","",--(F23=1))</f>
        <v/>
      </c>
      <c r="AA23" s="4">
        <f>IF(OR($B23="",G23=""),"",--(G23=$B23))</f>
        <v/>
      </c>
      <c r="AB23" s="4">
        <f>IF(OR($B23="",G23=""),"",IF($B23=1,--(G23=1),""))</f>
        <v/>
      </c>
      <c r="AC23" s="4">
        <f>IF(OR($B23="",G23=""),"",IF($B23=0,--(G23=0),""))</f>
        <v/>
      </c>
      <c r="AD23" s="4">
        <f>IF(G23="","",--(G23=1))</f>
        <v/>
      </c>
      <c r="AE23" s="4">
        <f>IF(OR($B23="",H23=""),"",--(H23=$B23))</f>
        <v/>
      </c>
      <c r="AF23" s="4">
        <f>IF(OR($B23="",H23=""),"",IF($B23=1,--(H23=1),""))</f>
        <v/>
      </c>
      <c r="AG23" s="4">
        <f>IF(OR($B23="",H23=""),"",IF($B23=0,--(H23=0),""))</f>
        <v/>
      </c>
      <c r="AH23" s="4">
        <f>IF(H23="","",--(H23=1))</f>
        <v/>
      </c>
      <c r="AI23" s="4">
        <f>IF(OR($B23="",I23=""),"",--(I23=$B23))</f>
        <v/>
      </c>
      <c r="AJ23" s="4">
        <f>IF(OR($B23="",I23=""),"",IF($B23=1,--(I23=1),""))</f>
        <v/>
      </c>
      <c r="AK23" s="4">
        <f>IF(OR($B23="",I23=""),"",IF($B23=0,--(I23=0),""))</f>
        <v/>
      </c>
      <c r="AL23" s="4">
        <f>IF(I23="","",--(I23=1))</f>
        <v/>
      </c>
      <c r="AM23" s="4">
        <f>IF(OR($B23="",J23=""),"",--(J23=$B23))</f>
        <v/>
      </c>
      <c r="AN23" s="4">
        <f>IF(OR($B23="",J23=""),"",IF($B23=1,--(J23=1),""))</f>
        <v/>
      </c>
      <c r="AO23" s="4">
        <f>IF(OR($B23="",J23=""),"",IF($B23=0,--(J23=0),""))</f>
        <v/>
      </c>
      <c r="AP23" s="4">
        <f>IF(J23="","",--(J23=1))</f>
        <v/>
      </c>
      <c r="AQ23" s="4">
        <f>IF(OR($B23="",K23=""),"",--(K23=$B23))</f>
        <v/>
      </c>
      <c r="AR23" s="4">
        <f>IF(OR($B23="",K23=""),"",IF($B23=1,--(K23=1),""))</f>
        <v/>
      </c>
      <c r="AS23" s="4">
        <f>IF(OR($B23="",K23=""),"",IF($B23=0,--(K23=0),""))</f>
        <v/>
      </c>
      <c r="AT23" s="4">
        <f>IF(K23="","",--(K23=1))</f>
        <v/>
      </c>
      <c r="AU23" s="4">
        <f>IF(OR($B23="",L23=""),"",--(L23=$B23))</f>
        <v/>
      </c>
      <c r="AV23" s="4">
        <f>IF(OR($B23="",L23=""),"",IF($B23=1,--(L23=1),""))</f>
        <v/>
      </c>
      <c r="AW23" s="4">
        <f>IF(OR($B23="",L23=""),"",IF($B23=0,--(L23=0),""))</f>
        <v/>
      </c>
      <c r="AX23" s="4">
        <f>IF(L23="","",--(L23=1))</f>
        <v/>
      </c>
      <c r="AY23" s="4">
        <f>IF(OR($B23="",M23=""),"",--(M23=$B23))</f>
        <v/>
      </c>
      <c r="AZ23" s="4">
        <f>IF(OR($B23="",M23=""),"",IF($B23=1,--(M23=1),""))</f>
        <v/>
      </c>
      <c r="BA23" s="4">
        <f>IF(OR($B23="",M23=""),"",IF($B23=0,--(M23=0),""))</f>
        <v/>
      </c>
      <c r="BB23" s="4">
        <f>IF(M23="","",--(M23=1))</f>
        <v/>
      </c>
      <c r="BC23" s="4">
        <f>IF(OR($B23="",N23=""),"",--(N23=$B23))</f>
        <v/>
      </c>
      <c r="BD23" s="4">
        <f>IF(OR($B23="",N23=""),"",IF($B23=1,--(N23=1),""))</f>
        <v/>
      </c>
      <c r="BE23" s="4">
        <f>IF(OR($B23="",N23=""),"",IF($B23=0,--(N23=0),""))</f>
        <v/>
      </c>
      <c r="BF23" s="4">
        <f>IF(N23="","",--(N23=1))</f>
        <v/>
      </c>
    </row>
    <row r="24">
      <c r="A24" s="3" t="inlineStr">
        <is>
          <t>201923998</t>
        </is>
      </c>
      <c r="B24" s="3" t="inlineStr">
        <is>
          <t>1</t>
        </is>
      </c>
      <c r="C24" s="3" t="inlineStr">
        <is>
          <t>Direct</t>
        </is>
      </c>
      <c r="D24" s="3" t="inlineStr">
        <is>
          <t>1</t>
        </is>
      </c>
      <c r="E24" s="3" t="inlineStr">
        <is>
          <t>1</t>
        </is>
      </c>
      <c r="F24" s="3" t="inlineStr">
        <is>
          <t>1</t>
        </is>
      </c>
      <c r="G24" s="3" t="inlineStr">
        <is>
          <t>1</t>
        </is>
      </c>
      <c r="H24" s="3" t="inlineStr">
        <is>
          <t>1</t>
        </is>
      </c>
      <c r="I24" s="3" t="inlineStr">
        <is>
          <t>1</t>
        </is>
      </c>
      <c r="J24" s="3" t="inlineStr">
        <is>
          <t>1</t>
        </is>
      </c>
      <c r="K24" s="3" t="inlineStr">
        <is>
          <t>1</t>
        </is>
      </c>
      <c r="L24" s="3" t="inlineStr">
        <is>
          <t>1</t>
        </is>
      </c>
      <c r="M24" s="3" t="inlineStr">
        <is>
          <t>1</t>
        </is>
      </c>
      <c r="N24" s="3" t="inlineStr">
        <is>
          <t>1</t>
        </is>
      </c>
      <c r="O24" s="4">
        <f>IF(OR($B24="",D24=""),"",--(D24=$B24))</f>
        <v/>
      </c>
      <c r="P24" s="4">
        <f>IF(OR($B24="",D24=""),"",IF($B24=1,--(D24=1),""))</f>
        <v/>
      </c>
      <c r="Q24" s="4">
        <f>IF(OR($B24="",D24=""),"",IF($B24=0,--(D24=0),""))</f>
        <v/>
      </c>
      <c r="R24" s="4">
        <f>IF(D24="","",--(D24=1))</f>
        <v/>
      </c>
      <c r="S24" s="4">
        <f>IF(OR($B24="",E24=""),"",--(E24=$B24))</f>
        <v/>
      </c>
      <c r="T24" s="4">
        <f>IF(OR($B24="",E24=""),"",IF($B24=1,--(E24=1),""))</f>
        <v/>
      </c>
      <c r="U24" s="4">
        <f>IF(OR($B24="",E24=""),"",IF($B24=0,--(E24=0),""))</f>
        <v/>
      </c>
      <c r="V24" s="4">
        <f>IF(E24="","",--(E24=1))</f>
        <v/>
      </c>
      <c r="W24" s="4">
        <f>IF(OR($B24="",F24=""),"",--(F24=$B24))</f>
        <v/>
      </c>
      <c r="X24" s="4">
        <f>IF(OR($B24="",F24=""),"",IF($B24=1,--(F24=1),""))</f>
        <v/>
      </c>
      <c r="Y24" s="4">
        <f>IF(OR($B24="",F24=""),"",IF($B24=0,--(F24=0),""))</f>
        <v/>
      </c>
      <c r="Z24" s="4">
        <f>IF(F24="","",--(F24=1))</f>
        <v/>
      </c>
      <c r="AA24" s="4">
        <f>IF(OR($B24="",G24=""),"",--(G24=$B24))</f>
        <v/>
      </c>
      <c r="AB24" s="4">
        <f>IF(OR($B24="",G24=""),"",IF($B24=1,--(G24=1),""))</f>
        <v/>
      </c>
      <c r="AC24" s="4">
        <f>IF(OR($B24="",G24=""),"",IF($B24=0,--(G24=0),""))</f>
        <v/>
      </c>
      <c r="AD24" s="4">
        <f>IF(G24="","",--(G24=1))</f>
        <v/>
      </c>
      <c r="AE24" s="4">
        <f>IF(OR($B24="",H24=""),"",--(H24=$B24))</f>
        <v/>
      </c>
      <c r="AF24" s="4">
        <f>IF(OR($B24="",H24=""),"",IF($B24=1,--(H24=1),""))</f>
        <v/>
      </c>
      <c r="AG24" s="4">
        <f>IF(OR($B24="",H24=""),"",IF($B24=0,--(H24=0),""))</f>
        <v/>
      </c>
      <c r="AH24" s="4">
        <f>IF(H24="","",--(H24=1))</f>
        <v/>
      </c>
      <c r="AI24" s="4">
        <f>IF(OR($B24="",I24=""),"",--(I24=$B24))</f>
        <v/>
      </c>
      <c r="AJ24" s="4">
        <f>IF(OR($B24="",I24=""),"",IF($B24=1,--(I24=1),""))</f>
        <v/>
      </c>
      <c r="AK24" s="4">
        <f>IF(OR($B24="",I24=""),"",IF($B24=0,--(I24=0),""))</f>
        <v/>
      </c>
      <c r="AL24" s="4">
        <f>IF(I24="","",--(I24=1))</f>
        <v/>
      </c>
      <c r="AM24" s="4">
        <f>IF(OR($B24="",J24=""),"",--(J24=$B24))</f>
        <v/>
      </c>
      <c r="AN24" s="4">
        <f>IF(OR($B24="",J24=""),"",IF($B24=1,--(J24=1),""))</f>
        <v/>
      </c>
      <c r="AO24" s="4">
        <f>IF(OR($B24="",J24=""),"",IF($B24=0,--(J24=0),""))</f>
        <v/>
      </c>
      <c r="AP24" s="4">
        <f>IF(J24="","",--(J24=1))</f>
        <v/>
      </c>
      <c r="AQ24" s="4">
        <f>IF(OR($B24="",K24=""),"",--(K24=$B24))</f>
        <v/>
      </c>
      <c r="AR24" s="4">
        <f>IF(OR($B24="",K24=""),"",IF($B24=1,--(K24=1),""))</f>
        <v/>
      </c>
      <c r="AS24" s="4">
        <f>IF(OR($B24="",K24=""),"",IF($B24=0,--(K24=0),""))</f>
        <v/>
      </c>
      <c r="AT24" s="4">
        <f>IF(K24="","",--(K24=1))</f>
        <v/>
      </c>
      <c r="AU24" s="4">
        <f>IF(OR($B24="",L24=""),"",--(L24=$B24))</f>
        <v/>
      </c>
      <c r="AV24" s="4">
        <f>IF(OR($B24="",L24=""),"",IF($B24=1,--(L24=1),""))</f>
        <v/>
      </c>
      <c r="AW24" s="4">
        <f>IF(OR($B24="",L24=""),"",IF($B24=0,--(L24=0),""))</f>
        <v/>
      </c>
      <c r="AX24" s="4">
        <f>IF(L24="","",--(L24=1))</f>
        <v/>
      </c>
      <c r="AY24" s="4">
        <f>IF(OR($B24="",M24=""),"",--(M24=$B24))</f>
        <v/>
      </c>
      <c r="AZ24" s="4">
        <f>IF(OR($B24="",M24=""),"",IF($B24=1,--(M24=1),""))</f>
        <v/>
      </c>
      <c r="BA24" s="4">
        <f>IF(OR($B24="",M24=""),"",IF($B24=0,--(M24=0),""))</f>
        <v/>
      </c>
      <c r="BB24" s="4">
        <f>IF(M24="","",--(M24=1))</f>
        <v/>
      </c>
      <c r="BC24" s="4">
        <f>IF(OR($B24="",N24=""),"",--(N24=$B24))</f>
        <v/>
      </c>
      <c r="BD24" s="4">
        <f>IF(OR($B24="",N24=""),"",IF($B24=1,--(N24=1),""))</f>
        <v/>
      </c>
      <c r="BE24" s="4">
        <f>IF(OR($B24="",N24=""),"",IF($B24=0,--(N24=0),""))</f>
        <v/>
      </c>
      <c r="BF24" s="4">
        <f>IF(N24="","",--(N24=1))</f>
        <v/>
      </c>
    </row>
    <row r="25">
      <c r="A25" s="3" t="inlineStr">
        <is>
          <t>201924622</t>
        </is>
      </c>
      <c r="B25" s="3" t="inlineStr">
        <is>
          <t>0</t>
        </is>
      </c>
      <c r="C25" s="3" t="inlineStr">
        <is>
          <t>Direct</t>
        </is>
      </c>
      <c r="D25" s="3" t="inlineStr">
        <is>
          <t>1</t>
        </is>
      </c>
      <c r="E25" s="3" t="inlineStr">
        <is>
          <t>0</t>
        </is>
      </c>
      <c r="F25" s="3" t="inlineStr">
        <is>
          <t>0</t>
        </is>
      </c>
      <c r="G25" s="3" t="inlineStr">
        <is>
          <t>0</t>
        </is>
      </c>
      <c r="H25" s="3" t="inlineStr">
        <is>
          <t>1</t>
        </is>
      </c>
      <c r="I25" s="3" t="inlineStr">
        <is>
          <t>1</t>
        </is>
      </c>
      <c r="J25" s="3" t="inlineStr">
        <is>
          <t>1</t>
        </is>
      </c>
      <c r="K25" s="3" t="inlineStr">
        <is>
          <t>1</t>
        </is>
      </c>
      <c r="L25" s="3" t="inlineStr">
        <is>
          <t>1</t>
        </is>
      </c>
      <c r="M25" s="3" t="inlineStr">
        <is>
          <t>1</t>
        </is>
      </c>
      <c r="N25" s="3" t="inlineStr">
        <is>
          <t>1</t>
        </is>
      </c>
      <c r="O25" s="4">
        <f>IF(OR($B25="",D25=""),"",--(D25=$B25))</f>
        <v/>
      </c>
      <c r="P25" s="4">
        <f>IF(OR($B25="",D25=""),"",IF($B25=1,--(D25=1),""))</f>
        <v/>
      </c>
      <c r="Q25" s="4">
        <f>IF(OR($B25="",D25=""),"",IF($B25=0,--(D25=0),""))</f>
        <v/>
      </c>
      <c r="R25" s="4">
        <f>IF(D25="","",--(D25=1))</f>
        <v/>
      </c>
      <c r="S25" s="4">
        <f>IF(OR($B25="",E25=""),"",--(E25=$B25))</f>
        <v/>
      </c>
      <c r="T25" s="4">
        <f>IF(OR($B25="",E25=""),"",IF($B25=1,--(E25=1),""))</f>
        <v/>
      </c>
      <c r="U25" s="4">
        <f>IF(OR($B25="",E25=""),"",IF($B25=0,--(E25=0),""))</f>
        <v/>
      </c>
      <c r="V25" s="4">
        <f>IF(E25="","",--(E25=1))</f>
        <v/>
      </c>
      <c r="W25" s="4">
        <f>IF(OR($B25="",F25=""),"",--(F25=$B25))</f>
        <v/>
      </c>
      <c r="X25" s="4">
        <f>IF(OR($B25="",F25=""),"",IF($B25=1,--(F25=1),""))</f>
        <v/>
      </c>
      <c r="Y25" s="4">
        <f>IF(OR($B25="",F25=""),"",IF($B25=0,--(F25=0),""))</f>
        <v/>
      </c>
      <c r="Z25" s="4">
        <f>IF(F25="","",--(F25=1))</f>
        <v/>
      </c>
      <c r="AA25" s="4">
        <f>IF(OR($B25="",G25=""),"",--(G25=$B25))</f>
        <v/>
      </c>
      <c r="AB25" s="4">
        <f>IF(OR($B25="",G25=""),"",IF($B25=1,--(G25=1),""))</f>
        <v/>
      </c>
      <c r="AC25" s="4">
        <f>IF(OR($B25="",G25=""),"",IF($B25=0,--(G25=0),""))</f>
        <v/>
      </c>
      <c r="AD25" s="4">
        <f>IF(G25="","",--(G25=1))</f>
        <v/>
      </c>
      <c r="AE25" s="4">
        <f>IF(OR($B25="",H25=""),"",--(H25=$B25))</f>
        <v/>
      </c>
      <c r="AF25" s="4">
        <f>IF(OR($B25="",H25=""),"",IF($B25=1,--(H25=1),""))</f>
        <v/>
      </c>
      <c r="AG25" s="4">
        <f>IF(OR($B25="",H25=""),"",IF($B25=0,--(H25=0),""))</f>
        <v/>
      </c>
      <c r="AH25" s="4">
        <f>IF(H25="","",--(H25=1))</f>
        <v/>
      </c>
      <c r="AI25" s="4">
        <f>IF(OR($B25="",I25=""),"",--(I25=$B25))</f>
        <v/>
      </c>
      <c r="AJ25" s="4">
        <f>IF(OR($B25="",I25=""),"",IF($B25=1,--(I25=1),""))</f>
        <v/>
      </c>
      <c r="AK25" s="4">
        <f>IF(OR($B25="",I25=""),"",IF($B25=0,--(I25=0),""))</f>
        <v/>
      </c>
      <c r="AL25" s="4">
        <f>IF(I25="","",--(I25=1))</f>
        <v/>
      </c>
      <c r="AM25" s="4">
        <f>IF(OR($B25="",J25=""),"",--(J25=$B25))</f>
        <v/>
      </c>
      <c r="AN25" s="4">
        <f>IF(OR($B25="",J25=""),"",IF($B25=1,--(J25=1),""))</f>
        <v/>
      </c>
      <c r="AO25" s="4">
        <f>IF(OR($B25="",J25=""),"",IF($B25=0,--(J25=0),""))</f>
        <v/>
      </c>
      <c r="AP25" s="4">
        <f>IF(J25="","",--(J25=1))</f>
        <v/>
      </c>
      <c r="AQ25" s="4">
        <f>IF(OR($B25="",K25=""),"",--(K25=$B25))</f>
        <v/>
      </c>
      <c r="AR25" s="4">
        <f>IF(OR($B25="",K25=""),"",IF($B25=1,--(K25=1),""))</f>
        <v/>
      </c>
      <c r="AS25" s="4">
        <f>IF(OR($B25="",K25=""),"",IF($B25=0,--(K25=0),""))</f>
        <v/>
      </c>
      <c r="AT25" s="4">
        <f>IF(K25="","",--(K25=1))</f>
        <v/>
      </c>
      <c r="AU25" s="4">
        <f>IF(OR($B25="",L25=""),"",--(L25=$B25))</f>
        <v/>
      </c>
      <c r="AV25" s="4">
        <f>IF(OR($B25="",L25=""),"",IF($B25=1,--(L25=1),""))</f>
        <v/>
      </c>
      <c r="AW25" s="4">
        <f>IF(OR($B25="",L25=""),"",IF($B25=0,--(L25=0),""))</f>
        <v/>
      </c>
      <c r="AX25" s="4">
        <f>IF(L25="","",--(L25=1))</f>
        <v/>
      </c>
      <c r="AY25" s="4">
        <f>IF(OR($B25="",M25=""),"",--(M25=$B25))</f>
        <v/>
      </c>
      <c r="AZ25" s="4">
        <f>IF(OR($B25="",M25=""),"",IF($B25=1,--(M25=1),""))</f>
        <v/>
      </c>
      <c r="BA25" s="4">
        <f>IF(OR($B25="",M25=""),"",IF($B25=0,--(M25=0),""))</f>
        <v/>
      </c>
      <c r="BB25" s="4">
        <f>IF(M25="","",--(M25=1))</f>
        <v/>
      </c>
      <c r="BC25" s="4">
        <f>IF(OR($B25="",N25=""),"",--(N25=$B25))</f>
        <v/>
      </c>
      <c r="BD25" s="4">
        <f>IF(OR($B25="",N25=""),"",IF($B25=1,--(N25=1),""))</f>
        <v/>
      </c>
      <c r="BE25" s="4">
        <f>IF(OR($B25="",N25=""),"",IF($B25=0,--(N25=0),""))</f>
        <v/>
      </c>
      <c r="BF25" s="4">
        <f>IF(N25="","",--(N25=1))</f>
        <v/>
      </c>
    </row>
    <row r="26">
      <c r="A26" s="3" t="inlineStr">
        <is>
          <t>201924942</t>
        </is>
      </c>
      <c r="B26" s="3" t="inlineStr">
        <is>
          <t>1</t>
        </is>
      </c>
      <c r="C26" s="3" t="inlineStr">
        <is>
          <t>Direct</t>
        </is>
      </c>
      <c r="D26" s="3" t="inlineStr">
        <is>
          <t>0</t>
        </is>
      </c>
      <c r="E26" s="3" t="inlineStr">
        <is>
          <t>0</t>
        </is>
      </c>
      <c r="F26" s="3" t="inlineStr">
        <is>
          <t>1</t>
        </is>
      </c>
      <c r="G26" s="3" t="inlineStr">
        <is>
          <t>0</t>
        </is>
      </c>
      <c r="H26" s="3" t="inlineStr">
        <is>
          <t>0</t>
        </is>
      </c>
      <c r="I26" s="3" t="inlineStr">
        <is>
          <t>0</t>
        </is>
      </c>
      <c r="J26" s="3" t="inlineStr">
        <is>
          <t>1</t>
        </is>
      </c>
      <c r="K26" s="3" t="inlineStr">
        <is>
          <t>1</t>
        </is>
      </c>
      <c r="L26" s="3" t="inlineStr">
        <is>
          <t>1</t>
        </is>
      </c>
      <c r="M26" s="3" t="inlineStr">
        <is>
          <t>0</t>
        </is>
      </c>
      <c r="N26" s="3" t="inlineStr">
        <is>
          <t>1</t>
        </is>
      </c>
      <c r="O26" s="4">
        <f>IF(OR($B26="",D26=""),"",--(D26=$B26))</f>
        <v/>
      </c>
      <c r="P26" s="4">
        <f>IF(OR($B26="",D26=""),"",IF($B26=1,--(D26=1),""))</f>
        <v/>
      </c>
      <c r="Q26" s="4">
        <f>IF(OR($B26="",D26=""),"",IF($B26=0,--(D26=0),""))</f>
        <v/>
      </c>
      <c r="R26" s="4">
        <f>IF(D26="","",--(D26=1))</f>
        <v/>
      </c>
      <c r="S26" s="4">
        <f>IF(OR($B26="",E26=""),"",--(E26=$B26))</f>
        <v/>
      </c>
      <c r="T26" s="4">
        <f>IF(OR($B26="",E26=""),"",IF($B26=1,--(E26=1),""))</f>
        <v/>
      </c>
      <c r="U26" s="4">
        <f>IF(OR($B26="",E26=""),"",IF($B26=0,--(E26=0),""))</f>
        <v/>
      </c>
      <c r="V26" s="4">
        <f>IF(E26="","",--(E26=1))</f>
        <v/>
      </c>
      <c r="W26" s="4">
        <f>IF(OR($B26="",F26=""),"",--(F26=$B26))</f>
        <v/>
      </c>
      <c r="X26" s="4">
        <f>IF(OR($B26="",F26=""),"",IF($B26=1,--(F26=1),""))</f>
        <v/>
      </c>
      <c r="Y26" s="4">
        <f>IF(OR($B26="",F26=""),"",IF($B26=0,--(F26=0),""))</f>
        <v/>
      </c>
      <c r="Z26" s="4">
        <f>IF(F26="","",--(F26=1))</f>
        <v/>
      </c>
      <c r="AA26" s="4">
        <f>IF(OR($B26="",G26=""),"",--(G26=$B26))</f>
        <v/>
      </c>
      <c r="AB26" s="4">
        <f>IF(OR($B26="",G26=""),"",IF($B26=1,--(G26=1),""))</f>
        <v/>
      </c>
      <c r="AC26" s="4">
        <f>IF(OR($B26="",G26=""),"",IF($B26=0,--(G26=0),""))</f>
        <v/>
      </c>
      <c r="AD26" s="4">
        <f>IF(G26="","",--(G26=1))</f>
        <v/>
      </c>
      <c r="AE26" s="4">
        <f>IF(OR($B26="",H26=""),"",--(H26=$B26))</f>
        <v/>
      </c>
      <c r="AF26" s="4">
        <f>IF(OR($B26="",H26=""),"",IF($B26=1,--(H26=1),""))</f>
        <v/>
      </c>
      <c r="AG26" s="4">
        <f>IF(OR($B26="",H26=""),"",IF($B26=0,--(H26=0),""))</f>
        <v/>
      </c>
      <c r="AH26" s="4">
        <f>IF(H26="","",--(H26=1))</f>
        <v/>
      </c>
      <c r="AI26" s="4">
        <f>IF(OR($B26="",I26=""),"",--(I26=$B26))</f>
        <v/>
      </c>
      <c r="AJ26" s="4">
        <f>IF(OR($B26="",I26=""),"",IF($B26=1,--(I26=1),""))</f>
        <v/>
      </c>
      <c r="AK26" s="4">
        <f>IF(OR($B26="",I26=""),"",IF($B26=0,--(I26=0),""))</f>
        <v/>
      </c>
      <c r="AL26" s="4">
        <f>IF(I26="","",--(I26=1))</f>
        <v/>
      </c>
      <c r="AM26" s="4">
        <f>IF(OR($B26="",J26=""),"",--(J26=$B26))</f>
        <v/>
      </c>
      <c r="AN26" s="4">
        <f>IF(OR($B26="",J26=""),"",IF($B26=1,--(J26=1),""))</f>
        <v/>
      </c>
      <c r="AO26" s="4">
        <f>IF(OR($B26="",J26=""),"",IF($B26=0,--(J26=0),""))</f>
        <v/>
      </c>
      <c r="AP26" s="4">
        <f>IF(J26="","",--(J26=1))</f>
        <v/>
      </c>
      <c r="AQ26" s="4">
        <f>IF(OR($B26="",K26=""),"",--(K26=$B26))</f>
        <v/>
      </c>
      <c r="AR26" s="4">
        <f>IF(OR($B26="",K26=""),"",IF($B26=1,--(K26=1),""))</f>
        <v/>
      </c>
      <c r="AS26" s="4">
        <f>IF(OR($B26="",K26=""),"",IF($B26=0,--(K26=0),""))</f>
        <v/>
      </c>
      <c r="AT26" s="4">
        <f>IF(K26="","",--(K26=1))</f>
        <v/>
      </c>
      <c r="AU26" s="4">
        <f>IF(OR($B26="",L26=""),"",--(L26=$B26))</f>
        <v/>
      </c>
      <c r="AV26" s="4">
        <f>IF(OR($B26="",L26=""),"",IF($B26=1,--(L26=1),""))</f>
        <v/>
      </c>
      <c r="AW26" s="4">
        <f>IF(OR($B26="",L26=""),"",IF($B26=0,--(L26=0),""))</f>
        <v/>
      </c>
      <c r="AX26" s="4">
        <f>IF(L26="","",--(L26=1))</f>
        <v/>
      </c>
      <c r="AY26" s="4">
        <f>IF(OR($B26="",M26=""),"",--(M26=$B26))</f>
        <v/>
      </c>
      <c r="AZ26" s="4">
        <f>IF(OR($B26="",M26=""),"",IF($B26=1,--(M26=1),""))</f>
        <v/>
      </c>
      <c r="BA26" s="4">
        <f>IF(OR($B26="",M26=""),"",IF($B26=0,--(M26=0),""))</f>
        <v/>
      </c>
      <c r="BB26" s="4">
        <f>IF(M26="","",--(M26=1))</f>
        <v/>
      </c>
      <c r="BC26" s="4">
        <f>IF(OR($B26="",N26=""),"",--(N26=$B26))</f>
        <v/>
      </c>
      <c r="BD26" s="4">
        <f>IF(OR($B26="",N26=""),"",IF($B26=1,--(N26=1),""))</f>
        <v/>
      </c>
      <c r="BE26" s="4">
        <f>IF(OR($B26="",N26=""),"",IF($B26=0,--(N26=0),""))</f>
        <v/>
      </c>
      <c r="BF26" s="4">
        <f>IF(N26="","",--(N26=1))</f>
        <v/>
      </c>
    </row>
    <row r="27">
      <c r="A27" s="3" t="inlineStr">
        <is>
          <t>201926743</t>
        </is>
      </c>
      <c r="B27" s="3" t="inlineStr">
        <is>
          <t>0</t>
        </is>
      </c>
      <c r="C27" s="3" t="inlineStr">
        <is>
          <t>Direct</t>
        </is>
      </c>
      <c r="D27" s="3" t="inlineStr">
        <is>
          <t>1</t>
        </is>
      </c>
      <c r="E27" s="3" t="inlineStr">
        <is>
          <t>1</t>
        </is>
      </c>
      <c r="F27" s="3" t="inlineStr">
        <is>
          <t>1</t>
        </is>
      </c>
      <c r="G27" s="3" t="inlineStr">
        <is>
          <t>1</t>
        </is>
      </c>
      <c r="H27" s="3" t="inlineStr">
        <is>
          <t>1</t>
        </is>
      </c>
      <c r="I27" s="3" t="inlineStr">
        <is>
          <t>1</t>
        </is>
      </c>
      <c r="J27" s="3" t="inlineStr">
        <is>
          <t>1</t>
        </is>
      </c>
      <c r="K27" s="3" t="inlineStr">
        <is>
          <t>1</t>
        </is>
      </c>
      <c r="L27" s="3" t="inlineStr">
        <is>
          <t>1</t>
        </is>
      </c>
      <c r="M27" s="3" t="inlineStr">
        <is>
          <t>1</t>
        </is>
      </c>
      <c r="N27" s="3" t="inlineStr">
        <is>
          <t>1</t>
        </is>
      </c>
      <c r="O27" s="4">
        <f>IF(OR($B27="",D27=""),"",--(D27=$B27))</f>
        <v/>
      </c>
      <c r="P27" s="4">
        <f>IF(OR($B27="",D27=""),"",IF($B27=1,--(D27=1),""))</f>
        <v/>
      </c>
      <c r="Q27" s="4">
        <f>IF(OR($B27="",D27=""),"",IF($B27=0,--(D27=0),""))</f>
        <v/>
      </c>
      <c r="R27" s="4">
        <f>IF(D27="","",--(D27=1))</f>
        <v/>
      </c>
      <c r="S27" s="4">
        <f>IF(OR($B27="",E27=""),"",--(E27=$B27))</f>
        <v/>
      </c>
      <c r="T27" s="4">
        <f>IF(OR($B27="",E27=""),"",IF($B27=1,--(E27=1),""))</f>
        <v/>
      </c>
      <c r="U27" s="4">
        <f>IF(OR($B27="",E27=""),"",IF($B27=0,--(E27=0),""))</f>
        <v/>
      </c>
      <c r="V27" s="4">
        <f>IF(E27="","",--(E27=1))</f>
        <v/>
      </c>
      <c r="W27" s="4">
        <f>IF(OR($B27="",F27=""),"",--(F27=$B27))</f>
        <v/>
      </c>
      <c r="X27" s="4">
        <f>IF(OR($B27="",F27=""),"",IF($B27=1,--(F27=1),""))</f>
        <v/>
      </c>
      <c r="Y27" s="4">
        <f>IF(OR($B27="",F27=""),"",IF($B27=0,--(F27=0),""))</f>
        <v/>
      </c>
      <c r="Z27" s="4">
        <f>IF(F27="","",--(F27=1))</f>
        <v/>
      </c>
      <c r="AA27" s="4">
        <f>IF(OR($B27="",G27=""),"",--(G27=$B27))</f>
        <v/>
      </c>
      <c r="AB27" s="4">
        <f>IF(OR($B27="",G27=""),"",IF($B27=1,--(G27=1),""))</f>
        <v/>
      </c>
      <c r="AC27" s="4">
        <f>IF(OR($B27="",G27=""),"",IF($B27=0,--(G27=0),""))</f>
        <v/>
      </c>
      <c r="AD27" s="4">
        <f>IF(G27="","",--(G27=1))</f>
        <v/>
      </c>
      <c r="AE27" s="4">
        <f>IF(OR($B27="",H27=""),"",--(H27=$B27))</f>
        <v/>
      </c>
      <c r="AF27" s="4">
        <f>IF(OR($B27="",H27=""),"",IF($B27=1,--(H27=1),""))</f>
        <v/>
      </c>
      <c r="AG27" s="4">
        <f>IF(OR($B27="",H27=""),"",IF($B27=0,--(H27=0),""))</f>
        <v/>
      </c>
      <c r="AH27" s="4">
        <f>IF(H27="","",--(H27=1))</f>
        <v/>
      </c>
      <c r="AI27" s="4">
        <f>IF(OR($B27="",I27=""),"",--(I27=$B27))</f>
        <v/>
      </c>
      <c r="AJ27" s="4">
        <f>IF(OR($B27="",I27=""),"",IF($B27=1,--(I27=1),""))</f>
        <v/>
      </c>
      <c r="AK27" s="4">
        <f>IF(OR($B27="",I27=""),"",IF($B27=0,--(I27=0),""))</f>
        <v/>
      </c>
      <c r="AL27" s="4">
        <f>IF(I27="","",--(I27=1))</f>
        <v/>
      </c>
      <c r="AM27" s="4">
        <f>IF(OR($B27="",J27=""),"",--(J27=$B27))</f>
        <v/>
      </c>
      <c r="AN27" s="4">
        <f>IF(OR($B27="",J27=""),"",IF($B27=1,--(J27=1),""))</f>
        <v/>
      </c>
      <c r="AO27" s="4">
        <f>IF(OR($B27="",J27=""),"",IF($B27=0,--(J27=0),""))</f>
        <v/>
      </c>
      <c r="AP27" s="4">
        <f>IF(J27="","",--(J27=1))</f>
        <v/>
      </c>
      <c r="AQ27" s="4">
        <f>IF(OR($B27="",K27=""),"",--(K27=$B27))</f>
        <v/>
      </c>
      <c r="AR27" s="4">
        <f>IF(OR($B27="",K27=""),"",IF($B27=1,--(K27=1),""))</f>
        <v/>
      </c>
      <c r="AS27" s="4">
        <f>IF(OR($B27="",K27=""),"",IF($B27=0,--(K27=0),""))</f>
        <v/>
      </c>
      <c r="AT27" s="4">
        <f>IF(K27="","",--(K27=1))</f>
        <v/>
      </c>
      <c r="AU27" s="4">
        <f>IF(OR($B27="",L27=""),"",--(L27=$B27))</f>
        <v/>
      </c>
      <c r="AV27" s="4">
        <f>IF(OR($B27="",L27=""),"",IF($B27=1,--(L27=1),""))</f>
        <v/>
      </c>
      <c r="AW27" s="4">
        <f>IF(OR($B27="",L27=""),"",IF($B27=0,--(L27=0),""))</f>
        <v/>
      </c>
      <c r="AX27" s="4">
        <f>IF(L27="","",--(L27=1))</f>
        <v/>
      </c>
      <c r="AY27" s="4">
        <f>IF(OR($B27="",M27=""),"",--(M27=$B27))</f>
        <v/>
      </c>
      <c r="AZ27" s="4">
        <f>IF(OR($B27="",M27=""),"",IF($B27=1,--(M27=1),""))</f>
        <v/>
      </c>
      <c r="BA27" s="4">
        <f>IF(OR($B27="",M27=""),"",IF($B27=0,--(M27=0),""))</f>
        <v/>
      </c>
      <c r="BB27" s="4">
        <f>IF(M27="","",--(M27=1))</f>
        <v/>
      </c>
      <c r="BC27" s="4">
        <f>IF(OR($B27="",N27=""),"",--(N27=$B27))</f>
        <v/>
      </c>
      <c r="BD27" s="4">
        <f>IF(OR($B27="",N27=""),"",IF($B27=1,--(N27=1),""))</f>
        <v/>
      </c>
      <c r="BE27" s="4">
        <f>IF(OR($B27="",N27=""),"",IF($B27=0,--(N27=0),""))</f>
        <v/>
      </c>
      <c r="BF27" s="4">
        <f>IF(N27="","",--(N27=1))</f>
        <v/>
      </c>
    </row>
    <row r="28">
      <c r="A28" s="3" t="inlineStr">
        <is>
          <t>20192781</t>
        </is>
      </c>
      <c r="B28" s="3" t="inlineStr">
        <is>
          <t>0</t>
        </is>
      </c>
      <c r="C28" s="3" t="inlineStr">
        <is>
          <t>Direct</t>
        </is>
      </c>
      <c r="D28" s="3" t="inlineStr">
        <is>
          <t>1</t>
        </is>
      </c>
      <c r="E28" s="3" t="inlineStr">
        <is>
          <t>0</t>
        </is>
      </c>
      <c r="F28" s="3" t="inlineStr">
        <is>
          <t>0</t>
        </is>
      </c>
      <c r="G28" s="3" t="inlineStr">
        <is>
          <t>0</t>
        </is>
      </c>
      <c r="H28" s="3" t="inlineStr">
        <is>
          <t>0</t>
        </is>
      </c>
      <c r="I28" s="3" t="inlineStr">
        <is>
          <t>0</t>
        </is>
      </c>
      <c r="J28" s="3" t="inlineStr">
        <is>
          <t>0</t>
        </is>
      </c>
      <c r="K28" s="3" t="inlineStr">
        <is>
          <t>0</t>
        </is>
      </c>
      <c r="L28" s="3" t="inlineStr">
        <is>
          <t>0</t>
        </is>
      </c>
      <c r="M28" s="3" t="inlineStr">
        <is>
          <t>1</t>
        </is>
      </c>
      <c r="N28" s="3" t="inlineStr">
        <is>
          <t>1</t>
        </is>
      </c>
      <c r="O28" s="4">
        <f>IF(OR($B28="",D28=""),"",--(D28=$B28))</f>
        <v/>
      </c>
      <c r="P28" s="4">
        <f>IF(OR($B28="",D28=""),"",IF($B28=1,--(D28=1),""))</f>
        <v/>
      </c>
      <c r="Q28" s="4">
        <f>IF(OR($B28="",D28=""),"",IF($B28=0,--(D28=0),""))</f>
        <v/>
      </c>
      <c r="R28" s="4">
        <f>IF(D28="","",--(D28=1))</f>
        <v/>
      </c>
      <c r="S28" s="4">
        <f>IF(OR($B28="",E28=""),"",--(E28=$B28))</f>
        <v/>
      </c>
      <c r="T28" s="4">
        <f>IF(OR($B28="",E28=""),"",IF($B28=1,--(E28=1),""))</f>
        <v/>
      </c>
      <c r="U28" s="4">
        <f>IF(OR($B28="",E28=""),"",IF($B28=0,--(E28=0),""))</f>
        <v/>
      </c>
      <c r="V28" s="4">
        <f>IF(E28="","",--(E28=1))</f>
        <v/>
      </c>
      <c r="W28" s="4">
        <f>IF(OR($B28="",F28=""),"",--(F28=$B28))</f>
        <v/>
      </c>
      <c r="X28" s="4">
        <f>IF(OR($B28="",F28=""),"",IF($B28=1,--(F28=1),""))</f>
        <v/>
      </c>
      <c r="Y28" s="4">
        <f>IF(OR($B28="",F28=""),"",IF($B28=0,--(F28=0),""))</f>
        <v/>
      </c>
      <c r="Z28" s="4">
        <f>IF(F28="","",--(F28=1))</f>
        <v/>
      </c>
      <c r="AA28" s="4">
        <f>IF(OR($B28="",G28=""),"",--(G28=$B28))</f>
        <v/>
      </c>
      <c r="AB28" s="4">
        <f>IF(OR($B28="",G28=""),"",IF($B28=1,--(G28=1),""))</f>
        <v/>
      </c>
      <c r="AC28" s="4">
        <f>IF(OR($B28="",G28=""),"",IF($B28=0,--(G28=0),""))</f>
        <v/>
      </c>
      <c r="AD28" s="4">
        <f>IF(G28="","",--(G28=1))</f>
        <v/>
      </c>
      <c r="AE28" s="4">
        <f>IF(OR($B28="",H28=""),"",--(H28=$B28))</f>
        <v/>
      </c>
      <c r="AF28" s="4">
        <f>IF(OR($B28="",H28=""),"",IF($B28=1,--(H28=1),""))</f>
        <v/>
      </c>
      <c r="AG28" s="4">
        <f>IF(OR($B28="",H28=""),"",IF($B28=0,--(H28=0),""))</f>
        <v/>
      </c>
      <c r="AH28" s="4">
        <f>IF(H28="","",--(H28=1))</f>
        <v/>
      </c>
      <c r="AI28" s="4">
        <f>IF(OR($B28="",I28=""),"",--(I28=$B28))</f>
        <v/>
      </c>
      <c r="AJ28" s="4">
        <f>IF(OR($B28="",I28=""),"",IF($B28=1,--(I28=1),""))</f>
        <v/>
      </c>
      <c r="AK28" s="4">
        <f>IF(OR($B28="",I28=""),"",IF($B28=0,--(I28=0),""))</f>
        <v/>
      </c>
      <c r="AL28" s="4">
        <f>IF(I28="","",--(I28=1))</f>
        <v/>
      </c>
      <c r="AM28" s="4">
        <f>IF(OR($B28="",J28=""),"",--(J28=$B28))</f>
        <v/>
      </c>
      <c r="AN28" s="4">
        <f>IF(OR($B28="",J28=""),"",IF($B28=1,--(J28=1),""))</f>
        <v/>
      </c>
      <c r="AO28" s="4">
        <f>IF(OR($B28="",J28=""),"",IF($B28=0,--(J28=0),""))</f>
        <v/>
      </c>
      <c r="AP28" s="4">
        <f>IF(J28="","",--(J28=1))</f>
        <v/>
      </c>
      <c r="AQ28" s="4">
        <f>IF(OR($B28="",K28=""),"",--(K28=$B28))</f>
        <v/>
      </c>
      <c r="AR28" s="4">
        <f>IF(OR($B28="",K28=""),"",IF($B28=1,--(K28=1),""))</f>
        <v/>
      </c>
      <c r="AS28" s="4">
        <f>IF(OR($B28="",K28=""),"",IF($B28=0,--(K28=0),""))</f>
        <v/>
      </c>
      <c r="AT28" s="4">
        <f>IF(K28="","",--(K28=1))</f>
        <v/>
      </c>
      <c r="AU28" s="4">
        <f>IF(OR($B28="",L28=""),"",--(L28=$B28))</f>
        <v/>
      </c>
      <c r="AV28" s="4">
        <f>IF(OR($B28="",L28=""),"",IF($B28=1,--(L28=1),""))</f>
        <v/>
      </c>
      <c r="AW28" s="4">
        <f>IF(OR($B28="",L28=""),"",IF($B28=0,--(L28=0),""))</f>
        <v/>
      </c>
      <c r="AX28" s="4">
        <f>IF(L28="","",--(L28=1))</f>
        <v/>
      </c>
      <c r="AY28" s="4">
        <f>IF(OR($B28="",M28=""),"",--(M28=$B28))</f>
        <v/>
      </c>
      <c r="AZ28" s="4">
        <f>IF(OR($B28="",M28=""),"",IF($B28=1,--(M28=1),""))</f>
        <v/>
      </c>
      <c r="BA28" s="4">
        <f>IF(OR($B28="",M28=""),"",IF($B28=0,--(M28=0),""))</f>
        <v/>
      </c>
      <c r="BB28" s="4">
        <f>IF(M28="","",--(M28=1))</f>
        <v/>
      </c>
      <c r="BC28" s="4">
        <f>IF(OR($B28="",N28=""),"",--(N28=$B28))</f>
        <v/>
      </c>
      <c r="BD28" s="4">
        <f>IF(OR($B28="",N28=""),"",IF($B28=1,--(N28=1),""))</f>
        <v/>
      </c>
      <c r="BE28" s="4">
        <f>IF(OR($B28="",N28=""),"",IF($B28=0,--(N28=0),""))</f>
        <v/>
      </c>
      <c r="BF28" s="4">
        <f>IF(N28="","",--(N28=1))</f>
        <v/>
      </c>
    </row>
    <row r="29">
      <c r="A29" s="3" t="inlineStr">
        <is>
          <t>201928058</t>
        </is>
      </c>
      <c r="B29" s="3" t="inlineStr">
        <is>
          <t>1</t>
        </is>
      </c>
      <c r="C29" s="3" t="inlineStr">
        <is>
          <t>Direct</t>
        </is>
      </c>
      <c r="D29" s="3" t="inlineStr">
        <is>
          <t>1</t>
        </is>
      </c>
      <c r="E29" s="3" t="inlineStr">
        <is>
          <t>1</t>
        </is>
      </c>
      <c r="F29" s="3" t="inlineStr">
        <is>
          <t>1</t>
        </is>
      </c>
      <c r="G29" s="3" t="inlineStr">
        <is>
          <t>1</t>
        </is>
      </c>
      <c r="H29" s="3" t="inlineStr">
        <is>
          <t>1</t>
        </is>
      </c>
      <c r="I29" s="3" t="inlineStr">
        <is>
          <t>1</t>
        </is>
      </c>
      <c r="J29" s="3" t="inlineStr">
        <is>
          <t>1</t>
        </is>
      </c>
      <c r="K29" s="3" t="inlineStr">
        <is>
          <t>1</t>
        </is>
      </c>
      <c r="L29" s="3" t="inlineStr">
        <is>
          <t>1</t>
        </is>
      </c>
      <c r="M29" s="3" t="inlineStr">
        <is>
          <t>1</t>
        </is>
      </c>
      <c r="N29" s="3" t="inlineStr">
        <is>
          <t>1</t>
        </is>
      </c>
      <c r="O29" s="4">
        <f>IF(OR($B29="",D29=""),"",--(D29=$B29))</f>
        <v/>
      </c>
      <c r="P29" s="4">
        <f>IF(OR($B29="",D29=""),"",IF($B29=1,--(D29=1),""))</f>
        <v/>
      </c>
      <c r="Q29" s="4">
        <f>IF(OR($B29="",D29=""),"",IF($B29=0,--(D29=0),""))</f>
        <v/>
      </c>
      <c r="R29" s="4">
        <f>IF(D29="","",--(D29=1))</f>
        <v/>
      </c>
      <c r="S29" s="4">
        <f>IF(OR($B29="",E29=""),"",--(E29=$B29))</f>
        <v/>
      </c>
      <c r="T29" s="4">
        <f>IF(OR($B29="",E29=""),"",IF($B29=1,--(E29=1),""))</f>
        <v/>
      </c>
      <c r="U29" s="4">
        <f>IF(OR($B29="",E29=""),"",IF($B29=0,--(E29=0),""))</f>
        <v/>
      </c>
      <c r="V29" s="4">
        <f>IF(E29="","",--(E29=1))</f>
        <v/>
      </c>
      <c r="W29" s="4">
        <f>IF(OR($B29="",F29=""),"",--(F29=$B29))</f>
        <v/>
      </c>
      <c r="X29" s="4">
        <f>IF(OR($B29="",F29=""),"",IF($B29=1,--(F29=1),""))</f>
        <v/>
      </c>
      <c r="Y29" s="4">
        <f>IF(OR($B29="",F29=""),"",IF($B29=0,--(F29=0),""))</f>
        <v/>
      </c>
      <c r="Z29" s="4">
        <f>IF(F29="","",--(F29=1))</f>
        <v/>
      </c>
      <c r="AA29" s="4">
        <f>IF(OR($B29="",G29=""),"",--(G29=$B29))</f>
        <v/>
      </c>
      <c r="AB29" s="4">
        <f>IF(OR($B29="",G29=""),"",IF($B29=1,--(G29=1),""))</f>
        <v/>
      </c>
      <c r="AC29" s="4">
        <f>IF(OR($B29="",G29=""),"",IF($B29=0,--(G29=0),""))</f>
        <v/>
      </c>
      <c r="AD29" s="4">
        <f>IF(G29="","",--(G29=1))</f>
        <v/>
      </c>
      <c r="AE29" s="4">
        <f>IF(OR($B29="",H29=""),"",--(H29=$B29))</f>
        <v/>
      </c>
      <c r="AF29" s="4">
        <f>IF(OR($B29="",H29=""),"",IF($B29=1,--(H29=1),""))</f>
        <v/>
      </c>
      <c r="AG29" s="4">
        <f>IF(OR($B29="",H29=""),"",IF($B29=0,--(H29=0),""))</f>
        <v/>
      </c>
      <c r="AH29" s="4">
        <f>IF(H29="","",--(H29=1))</f>
        <v/>
      </c>
      <c r="AI29" s="4">
        <f>IF(OR($B29="",I29=""),"",--(I29=$B29))</f>
        <v/>
      </c>
      <c r="AJ29" s="4">
        <f>IF(OR($B29="",I29=""),"",IF($B29=1,--(I29=1),""))</f>
        <v/>
      </c>
      <c r="AK29" s="4">
        <f>IF(OR($B29="",I29=""),"",IF($B29=0,--(I29=0),""))</f>
        <v/>
      </c>
      <c r="AL29" s="4">
        <f>IF(I29="","",--(I29=1))</f>
        <v/>
      </c>
      <c r="AM29" s="4">
        <f>IF(OR($B29="",J29=""),"",--(J29=$B29))</f>
        <v/>
      </c>
      <c r="AN29" s="4">
        <f>IF(OR($B29="",J29=""),"",IF($B29=1,--(J29=1),""))</f>
        <v/>
      </c>
      <c r="AO29" s="4">
        <f>IF(OR($B29="",J29=""),"",IF($B29=0,--(J29=0),""))</f>
        <v/>
      </c>
      <c r="AP29" s="4">
        <f>IF(J29="","",--(J29=1))</f>
        <v/>
      </c>
      <c r="AQ29" s="4">
        <f>IF(OR($B29="",K29=""),"",--(K29=$B29))</f>
        <v/>
      </c>
      <c r="AR29" s="4">
        <f>IF(OR($B29="",K29=""),"",IF($B29=1,--(K29=1),""))</f>
        <v/>
      </c>
      <c r="AS29" s="4">
        <f>IF(OR($B29="",K29=""),"",IF($B29=0,--(K29=0),""))</f>
        <v/>
      </c>
      <c r="AT29" s="4">
        <f>IF(K29="","",--(K29=1))</f>
        <v/>
      </c>
      <c r="AU29" s="4">
        <f>IF(OR($B29="",L29=""),"",--(L29=$B29))</f>
        <v/>
      </c>
      <c r="AV29" s="4">
        <f>IF(OR($B29="",L29=""),"",IF($B29=1,--(L29=1),""))</f>
        <v/>
      </c>
      <c r="AW29" s="4">
        <f>IF(OR($B29="",L29=""),"",IF($B29=0,--(L29=0),""))</f>
        <v/>
      </c>
      <c r="AX29" s="4">
        <f>IF(L29="","",--(L29=1))</f>
        <v/>
      </c>
      <c r="AY29" s="4">
        <f>IF(OR($B29="",M29=""),"",--(M29=$B29))</f>
        <v/>
      </c>
      <c r="AZ29" s="4">
        <f>IF(OR($B29="",M29=""),"",IF($B29=1,--(M29=1),""))</f>
        <v/>
      </c>
      <c r="BA29" s="4">
        <f>IF(OR($B29="",M29=""),"",IF($B29=0,--(M29=0),""))</f>
        <v/>
      </c>
      <c r="BB29" s="4">
        <f>IF(M29="","",--(M29=1))</f>
        <v/>
      </c>
      <c r="BC29" s="4">
        <f>IF(OR($B29="",N29=""),"",--(N29=$B29))</f>
        <v/>
      </c>
      <c r="BD29" s="4">
        <f>IF(OR($B29="",N29=""),"",IF($B29=1,--(N29=1),""))</f>
        <v/>
      </c>
      <c r="BE29" s="4">
        <f>IF(OR($B29="",N29=""),"",IF($B29=0,--(N29=0),""))</f>
        <v/>
      </c>
      <c r="BF29" s="4">
        <f>IF(N29="","",--(N29=1))</f>
        <v/>
      </c>
    </row>
    <row r="30">
      <c r="A30" s="3" t="inlineStr">
        <is>
          <t>201929140</t>
        </is>
      </c>
      <c r="B30" s="3" t="inlineStr">
        <is>
          <t>0</t>
        </is>
      </c>
      <c r="C30" s="3" t="inlineStr">
        <is>
          <t>Direct</t>
        </is>
      </c>
      <c r="D30" s="3" t="inlineStr">
        <is>
          <t>0</t>
        </is>
      </c>
      <c r="E30" s="3" t="inlineStr">
        <is>
          <t>0</t>
        </is>
      </c>
      <c r="F30" s="3" t="inlineStr">
        <is>
          <t>0</t>
        </is>
      </c>
      <c r="G30" s="3" t="inlineStr">
        <is>
          <t>0</t>
        </is>
      </c>
      <c r="H30" s="3" t="inlineStr">
        <is>
          <t>0</t>
        </is>
      </c>
      <c r="I30" s="3" t="inlineStr">
        <is>
          <t>0</t>
        </is>
      </c>
      <c r="J30" s="3" t="inlineStr">
        <is>
          <t>0</t>
        </is>
      </c>
      <c r="K30" s="3" t="inlineStr">
        <is>
          <t>1</t>
        </is>
      </c>
      <c r="L30" s="3" t="inlineStr">
        <is>
          <t>1</t>
        </is>
      </c>
      <c r="M30" s="3" t="inlineStr">
        <is>
          <t>1</t>
        </is>
      </c>
      <c r="N30" s="3" t="inlineStr">
        <is>
          <t>1</t>
        </is>
      </c>
      <c r="O30" s="4">
        <f>IF(OR($B30="",D30=""),"",--(D30=$B30))</f>
        <v/>
      </c>
      <c r="P30" s="4">
        <f>IF(OR($B30="",D30=""),"",IF($B30=1,--(D30=1),""))</f>
        <v/>
      </c>
      <c r="Q30" s="4">
        <f>IF(OR($B30="",D30=""),"",IF($B30=0,--(D30=0),""))</f>
        <v/>
      </c>
      <c r="R30" s="4">
        <f>IF(D30="","",--(D30=1))</f>
        <v/>
      </c>
      <c r="S30" s="4">
        <f>IF(OR($B30="",E30=""),"",--(E30=$B30))</f>
        <v/>
      </c>
      <c r="T30" s="4">
        <f>IF(OR($B30="",E30=""),"",IF($B30=1,--(E30=1),""))</f>
        <v/>
      </c>
      <c r="U30" s="4">
        <f>IF(OR($B30="",E30=""),"",IF($B30=0,--(E30=0),""))</f>
        <v/>
      </c>
      <c r="V30" s="4">
        <f>IF(E30="","",--(E30=1))</f>
        <v/>
      </c>
      <c r="W30" s="4">
        <f>IF(OR($B30="",F30=""),"",--(F30=$B30))</f>
        <v/>
      </c>
      <c r="X30" s="4">
        <f>IF(OR($B30="",F30=""),"",IF($B30=1,--(F30=1),""))</f>
        <v/>
      </c>
      <c r="Y30" s="4">
        <f>IF(OR($B30="",F30=""),"",IF($B30=0,--(F30=0),""))</f>
        <v/>
      </c>
      <c r="Z30" s="4">
        <f>IF(F30="","",--(F30=1))</f>
        <v/>
      </c>
      <c r="AA30" s="4">
        <f>IF(OR($B30="",G30=""),"",--(G30=$B30))</f>
        <v/>
      </c>
      <c r="AB30" s="4">
        <f>IF(OR($B30="",G30=""),"",IF($B30=1,--(G30=1),""))</f>
        <v/>
      </c>
      <c r="AC30" s="4">
        <f>IF(OR($B30="",G30=""),"",IF($B30=0,--(G30=0),""))</f>
        <v/>
      </c>
      <c r="AD30" s="4">
        <f>IF(G30="","",--(G30=1))</f>
        <v/>
      </c>
      <c r="AE30" s="4">
        <f>IF(OR($B30="",H30=""),"",--(H30=$B30))</f>
        <v/>
      </c>
      <c r="AF30" s="4">
        <f>IF(OR($B30="",H30=""),"",IF($B30=1,--(H30=1),""))</f>
        <v/>
      </c>
      <c r="AG30" s="4">
        <f>IF(OR($B30="",H30=""),"",IF($B30=0,--(H30=0),""))</f>
        <v/>
      </c>
      <c r="AH30" s="4">
        <f>IF(H30="","",--(H30=1))</f>
        <v/>
      </c>
      <c r="AI30" s="4">
        <f>IF(OR($B30="",I30=""),"",--(I30=$B30))</f>
        <v/>
      </c>
      <c r="AJ30" s="4">
        <f>IF(OR($B30="",I30=""),"",IF($B30=1,--(I30=1),""))</f>
        <v/>
      </c>
      <c r="AK30" s="4">
        <f>IF(OR($B30="",I30=""),"",IF($B30=0,--(I30=0),""))</f>
        <v/>
      </c>
      <c r="AL30" s="4">
        <f>IF(I30="","",--(I30=1))</f>
        <v/>
      </c>
      <c r="AM30" s="4">
        <f>IF(OR($B30="",J30=""),"",--(J30=$B30))</f>
        <v/>
      </c>
      <c r="AN30" s="4">
        <f>IF(OR($B30="",J30=""),"",IF($B30=1,--(J30=1),""))</f>
        <v/>
      </c>
      <c r="AO30" s="4">
        <f>IF(OR($B30="",J30=""),"",IF($B30=0,--(J30=0),""))</f>
        <v/>
      </c>
      <c r="AP30" s="4">
        <f>IF(J30="","",--(J30=1))</f>
        <v/>
      </c>
      <c r="AQ30" s="4">
        <f>IF(OR($B30="",K30=""),"",--(K30=$B30))</f>
        <v/>
      </c>
      <c r="AR30" s="4">
        <f>IF(OR($B30="",K30=""),"",IF($B30=1,--(K30=1),""))</f>
        <v/>
      </c>
      <c r="AS30" s="4">
        <f>IF(OR($B30="",K30=""),"",IF($B30=0,--(K30=0),""))</f>
        <v/>
      </c>
      <c r="AT30" s="4">
        <f>IF(K30="","",--(K30=1))</f>
        <v/>
      </c>
      <c r="AU30" s="4">
        <f>IF(OR($B30="",L30=""),"",--(L30=$B30))</f>
        <v/>
      </c>
      <c r="AV30" s="4">
        <f>IF(OR($B30="",L30=""),"",IF($B30=1,--(L30=1),""))</f>
        <v/>
      </c>
      <c r="AW30" s="4">
        <f>IF(OR($B30="",L30=""),"",IF($B30=0,--(L30=0),""))</f>
        <v/>
      </c>
      <c r="AX30" s="4">
        <f>IF(L30="","",--(L30=1))</f>
        <v/>
      </c>
      <c r="AY30" s="4">
        <f>IF(OR($B30="",M30=""),"",--(M30=$B30))</f>
        <v/>
      </c>
      <c r="AZ30" s="4">
        <f>IF(OR($B30="",M30=""),"",IF($B30=1,--(M30=1),""))</f>
        <v/>
      </c>
      <c r="BA30" s="4">
        <f>IF(OR($B30="",M30=""),"",IF($B30=0,--(M30=0),""))</f>
        <v/>
      </c>
      <c r="BB30" s="4">
        <f>IF(M30="","",--(M30=1))</f>
        <v/>
      </c>
      <c r="BC30" s="4">
        <f>IF(OR($B30="",N30=""),"",--(N30=$B30))</f>
        <v/>
      </c>
      <c r="BD30" s="4">
        <f>IF(OR($B30="",N30=""),"",IF($B30=1,--(N30=1),""))</f>
        <v/>
      </c>
      <c r="BE30" s="4">
        <f>IF(OR($B30="",N30=""),"",IF($B30=0,--(N30=0),""))</f>
        <v/>
      </c>
      <c r="BF30" s="4">
        <f>IF(N30="","",--(N30=1))</f>
        <v/>
      </c>
    </row>
    <row r="31">
      <c r="A31" s="3" t="inlineStr">
        <is>
          <t>201929504</t>
        </is>
      </c>
      <c r="B31" s="3" t="inlineStr">
        <is>
          <t>0</t>
        </is>
      </c>
      <c r="C31" s="3" t="inlineStr">
        <is>
          <t>Direct</t>
        </is>
      </c>
      <c r="D31" s="3" t="inlineStr">
        <is>
          <t>0</t>
        </is>
      </c>
      <c r="E31" s="3" t="inlineStr">
        <is>
          <t>0</t>
        </is>
      </c>
      <c r="F31" s="3" t="inlineStr">
        <is>
          <t>0</t>
        </is>
      </c>
      <c r="G31" s="3" t="inlineStr">
        <is>
          <t>0</t>
        </is>
      </c>
      <c r="H31" s="3" t="inlineStr">
        <is>
          <t>1</t>
        </is>
      </c>
      <c r="I31" s="3" t="inlineStr">
        <is>
          <t>0</t>
        </is>
      </c>
      <c r="J31" s="3" t="inlineStr">
        <is>
          <t>0</t>
        </is>
      </c>
      <c r="K31" s="3" t="inlineStr">
        <is>
          <t>1</t>
        </is>
      </c>
      <c r="L31" s="3" t="inlineStr">
        <is>
          <t>0</t>
        </is>
      </c>
      <c r="M31" s="3" t="inlineStr">
        <is>
          <t>0</t>
        </is>
      </c>
      <c r="N31" s="3" t="inlineStr">
        <is>
          <t>1</t>
        </is>
      </c>
      <c r="O31" s="4">
        <f>IF(OR($B31="",D31=""),"",--(D31=$B31))</f>
        <v/>
      </c>
      <c r="P31" s="4">
        <f>IF(OR($B31="",D31=""),"",IF($B31=1,--(D31=1),""))</f>
        <v/>
      </c>
      <c r="Q31" s="4">
        <f>IF(OR($B31="",D31=""),"",IF($B31=0,--(D31=0),""))</f>
        <v/>
      </c>
      <c r="R31" s="4">
        <f>IF(D31="","",--(D31=1))</f>
        <v/>
      </c>
      <c r="S31" s="4">
        <f>IF(OR($B31="",E31=""),"",--(E31=$B31))</f>
        <v/>
      </c>
      <c r="T31" s="4">
        <f>IF(OR($B31="",E31=""),"",IF($B31=1,--(E31=1),""))</f>
        <v/>
      </c>
      <c r="U31" s="4">
        <f>IF(OR($B31="",E31=""),"",IF($B31=0,--(E31=0),""))</f>
        <v/>
      </c>
      <c r="V31" s="4">
        <f>IF(E31="","",--(E31=1))</f>
        <v/>
      </c>
      <c r="W31" s="4">
        <f>IF(OR($B31="",F31=""),"",--(F31=$B31))</f>
        <v/>
      </c>
      <c r="X31" s="4">
        <f>IF(OR($B31="",F31=""),"",IF($B31=1,--(F31=1),""))</f>
        <v/>
      </c>
      <c r="Y31" s="4">
        <f>IF(OR($B31="",F31=""),"",IF($B31=0,--(F31=0),""))</f>
        <v/>
      </c>
      <c r="Z31" s="4">
        <f>IF(F31="","",--(F31=1))</f>
        <v/>
      </c>
      <c r="AA31" s="4">
        <f>IF(OR($B31="",G31=""),"",--(G31=$B31))</f>
        <v/>
      </c>
      <c r="AB31" s="4">
        <f>IF(OR($B31="",G31=""),"",IF($B31=1,--(G31=1),""))</f>
        <v/>
      </c>
      <c r="AC31" s="4">
        <f>IF(OR($B31="",G31=""),"",IF($B31=0,--(G31=0),""))</f>
        <v/>
      </c>
      <c r="AD31" s="4">
        <f>IF(G31="","",--(G31=1))</f>
        <v/>
      </c>
      <c r="AE31" s="4">
        <f>IF(OR($B31="",H31=""),"",--(H31=$B31))</f>
        <v/>
      </c>
      <c r="AF31" s="4">
        <f>IF(OR($B31="",H31=""),"",IF($B31=1,--(H31=1),""))</f>
        <v/>
      </c>
      <c r="AG31" s="4">
        <f>IF(OR($B31="",H31=""),"",IF($B31=0,--(H31=0),""))</f>
        <v/>
      </c>
      <c r="AH31" s="4">
        <f>IF(H31="","",--(H31=1))</f>
        <v/>
      </c>
      <c r="AI31" s="4">
        <f>IF(OR($B31="",I31=""),"",--(I31=$B31))</f>
        <v/>
      </c>
      <c r="AJ31" s="4">
        <f>IF(OR($B31="",I31=""),"",IF($B31=1,--(I31=1),""))</f>
        <v/>
      </c>
      <c r="AK31" s="4">
        <f>IF(OR($B31="",I31=""),"",IF($B31=0,--(I31=0),""))</f>
        <v/>
      </c>
      <c r="AL31" s="4">
        <f>IF(I31="","",--(I31=1))</f>
        <v/>
      </c>
      <c r="AM31" s="4">
        <f>IF(OR($B31="",J31=""),"",--(J31=$B31))</f>
        <v/>
      </c>
      <c r="AN31" s="4">
        <f>IF(OR($B31="",J31=""),"",IF($B31=1,--(J31=1),""))</f>
        <v/>
      </c>
      <c r="AO31" s="4">
        <f>IF(OR($B31="",J31=""),"",IF($B31=0,--(J31=0),""))</f>
        <v/>
      </c>
      <c r="AP31" s="4">
        <f>IF(J31="","",--(J31=1))</f>
        <v/>
      </c>
      <c r="AQ31" s="4">
        <f>IF(OR($B31="",K31=""),"",--(K31=$B31))</f>
        <v/>
      </c>
      <c r="AR31" s="4">
        <f>IF(OR($B31="",K31=""),"",IF($B31=1,--(K31=1),""))</f>
        <v/>
      </c>
      <c r="AS31" s="4">
        <f>IF(OR($B31="",K31=""),"",IF($B31=0,--(K31=0),""))</f>
        <v/>
      </c>
      <c r="AT31" s="4">
        <f>IF(K31="","",--(K31=1))</f>
        <v/>
      </c>
      <c r="AU31" s="4">
        <f>IF(OR($B31="",L31=""),"",--(L31=$B31))</f>
        <v/>
      </c>
      <c r="AV31" s="4">
        <f>IF(OR($B31="",L31=""),"",IF($B31=1,--(L31=1),""))</f>
        <v/>
      </c>
      <c r="AW31" s="4">
        <f>IF(OR($B31="",L31=""),"",IF($B31=0,--(L31=0),""))</f>
        <v/>
      </c>
      <c r="AX31" s="4">
        <f>IF(L31="","",--(L31=1))</f>
        <v/>
      </c>
      <c r="AY31" s="4">
        <f>IF(OR($B31="",M31=""),"",--(M31=$B31))</f>
        <v/>
      </c>
      <c r="AZ31" s="4">
        <f>IF(OR($B31="",M31=""),"",IF($B31=1,--(M31=1),""))</f>
        <v/>
      </c>
      <c r="BA31" s="4">
        <f>IF(OR($B31="",M31=""),"",IF($B31=0,--(M31=0),""))</f>
        <v/>
      </c>
      <c r="BB31" s="4">
        <f>IF(M31="","",--(M31=1))</f>
        <v/>
      </c>
      <c r="BC31" s="4">
        <f>IF(OR($B31="",N31=""),"",--(N31=$B31))</f>
        <v/>
      </c>
      <c r="BD31" s="4">
        <f>IF(OR($B31="",N31=""),"",IF($B31=1,--(N31=1),""))</f>
        <v/>
      </c>
      <c r="BE31" s="4">
        <f>IF(OR($B31="",N31=""),"",IF($B31=0,--(N31=0),""))</f>
        <v/>
      </c>
      <c r="BF31" s="4">
        <f>IF(N31="","",--(N31=1))</f>
        <v/>
      </c>
    </row>
    <row r="32">
      <c r="A32" s="3" t="inlineStr">
        <is>
          <t>201930300</t>
        </is>
      </c>
      <c r="B32" s="3" t="inlineStr">
        <is>
          <t>1</t>
        </is>
      </c>
      <c r="C32" s="3" t="inlineStr">
        <is>
          <t>Direct</t>
        </is>
      </c>
      <c r="D32" s="3" t="inlineStr">
        <is>
          <t>1</t>
        </is>
      </c>
      <c r="E32" s="3" t="inlineStr">
        <is>
          <t>1</t>
        </is>
      </c>
      <c r="F32" s="3" t="inlineStr">
        <is>
          <t>0</t>
        </is>
      </c>
      <c r="G32" s="3" t="inlineStr">
        <is>
          <t>1</t>
        </is>
      </c>
      <c r="H32" s="3" t="inlineStr">
        <is>
          <t>1</t>
        </is>
      </c>
      <c r="I32" s="3" t="inlineStr">
        <is>
          <t>1</t>
        </is>
      </c>
      <c r="J32" s="3" t="inlineStr">
        <is>
          <t>1</t>
        </is>
      </c>
      <c r="K32" s="3" t="inlineStr">
        <is>
          <t>1</t>
        </is>
      </c>
      <c r="L32" s="3" t="inlineStr">
        <is>
          <t>1</t>
        </is>
      </c>
      <c r="M32" s="3" t="inlineStr">
        <is>
          <t>1</t>
        </is>
      </c>
      <c r="N32" s="3" t="inlineStr">
        <is>
          <t>1</t>
        </is>
      </c>
      <c r="O32" s="4">
        <f>IF(OR($B32="",D32=""),"",--(D32=$B32))</f>
        <v/>
      </c>
      <c r="P32" s="4">
        <f>IF(OR($B32="",D32=""),"",IF($B32=1,--(D32=1),""))</f>
        <v/>
      </c>
      <c r="Q32" s="4">
        <f>IF(OR($B32="",D32=""),"",IF($B32=0,--(D32=0),""))</f>
        <v/>
      </c>
      <c r="R32" s="4">
        <f>IF(D32="","",--(D32=1))</f>
        <v/>
      </c>
      <c r="S32" s="4">
        <f>IF(OR($B32="",E32=""),"",--(E32=$B32))</f>
        <v/>
      </c>
      <c r="T32" s="4">
        <f>IF(OR($B32="",E32=""),"",IF($B32=1,--(E32=1),""))</f>
        <v/>
      </c>
      <c r="U32" s="4">
        <f>IF(OR($B32="",E32=""),"",IF($B32=0,--(E32=0),""))</f>
        <v/>
      </c>
      <c r="V32" s="4">
        <f>IF(E32="","",--(E32=1))</f>
        <v/>
      </c>
      <c r="W32" s="4">
        <f>IF(OR($B32="",F32=""),"",--(F32=$B32))</f>
        <v/>
      </c>
      <c r="X32" s="4">
        <f>IF(OR($B32="",F32=""),"",IF($B32=1,--(F32=1),""))</f>
        <v/>
      </c>
      <c r="Y32" s="4">
        <f>IF(OR($B32="",F32=""),"",IF($B32=0,--(F32=0),""))</f>
        <v/>
      </c>
      <c r="Z32" s="4">
        <f>IF(F32="","",--(F32=1))</f>
        <v/>
      </c>
      <c r="AA32" s="4">
        <f>IF(OR($B32="",G32=""),"",--(G32=$B32))</f>
        <v/>
      </c>
      <c r="AB32" s="4">
        <f>IF(OR($B32="",G32=""),"",IF($B32=1,--(G32=1),""))</f>
        <v/>
      </c>
      <c r="AC32" s="4">
        <f>IF(OR($B32="",G32=""),"",IF($B32=0,--(G32=0),""))</f>
        <v/>
      </c>
      <c r="AD32" s="4">
        <f>IF(G32="","",--(G32=1))</f>
        <v/>
      </c>
      <c r="AE32" s="4">
        <f>IF(OR($B32="",H32=""),"",--(H32=$B32))</f>
        <v/>
      </c>
      <c r="AF32" s="4">
        <f>IF(OR($B32="",H32=""),"",IF($B32=1,--(H32=1),""))</f>
        <v/>
      </c>
      <c r="AG32" s="4">
        <f>IF(OR($B32="",H32=""),"",IF($B32=0,--(H32=0),""))</f>
        <v/>
      </c>
      <c r="AH32" s="4">
        <f>IF(H32="","",--(H32=1))</f>
        <v/>
      </c>
      <c r="AI32" s="4">
        <f>IF(OR($B32="",I32=""),"",--(I32=$B32))</f>
        <v/>
      </c>
      <c r="AJ32" s="4">
        <f>IF(OR($B32="",I32=""),"",IF($B32=1,--(I32=1),""))</f>
        <v/>
      </c>
      <c r="AK32" s="4">
        <f>IF(OR($B32="",I32=""),"",IF($B32=0,--(I32=0),""))</f>
        <v/>
      </c>
      <c r="AL32" s="4">
        <f>IF(I32="","",--(I32=1))</f>
        <v/>
      </c>
      <c r="AM32" s="4">
        <f>IF(OR($B32="",J32=""),"",--(J32=$B32))</f>
        <v/>
      </c>
      <c r="AN32" s="4">
        <f>IF(OR($B32="",J32=""),"",IF($B32=1,--(J32=1),""))</f>
        <v/>
      </c>
      <c r="AO32" s="4">
        <f>IF(OR($B32="",J32=""),"",IF($B32=0,--(J32=0),""))</f>
        <v/>
      </c>
      <c r="AP32" s="4">
        <f>IF(J32="","",--(J32=1))</f>
        <v/>
      </c>
      <c r="AQ32" s="4">
        <f>IF(OR($B32="",K32=""),"",--(K32=$B32))</f>
        <v/>
      </c>
      <c r="AR32" s="4">
        <f>IF(OR($B32="",K32=""),"",IF($B32=1,--(K32=1),""))</f>
        <v/>
      </c>
      <c r="AS32" s="4">
        <f>IF(OR($B32="",K32=""),"",IF($B32=0,--(K32=0),""))</f>
        <v/>
      </c>
      <c r="AT32" s="4">
        <f>IF(K32="","",--(K32=1))</f>
        <v/>
      </c>
      <c r="AU32" s="4">
        <f>IF(OR($B32="",L32=""),"",--(L32=$B32))</f>
        <v/>
      </c>
      <c r="AV32" s="4">
        <f>IF(OR($B32="",L32=""),"",IF($B32=1,--(L32=1),""))</f>
        <v/>
      </c>
      <c r="AW32" s="4">
        <f>IF(OR($B32="",L32=""),"",IF($B32=0,--(L32=0),""))</f>
        <v/>
      </c>
      <c r="AX32" s="4">
        <f>IF(L32="","",--(L32=1))</f>
        <v/>
      </c>
      <c r="AY32" s="4">
        <f>IF(OR($B32="",M32=""),"",--(M32=$B32))</f>
        <v/>
      </c>
      <c r="AZ32" s="4">
        <f>IF(OR($B32="",M32=""),"",IF($B32=1,--(M32=1),""))</f>
        <v/>
      </c>
      <c r="BA32" s="4">
        <f>IF(OR($B32="",M32=""),"",IF($B32=0,--(M32=0),""))</f>
        <v/>
      </c>
      <c r="BB32" s="4">
        <f>IF(M32="","",--(M32=1))</f>
        <v/>
      </c>
      <c r="BC32" s="4">
        <f>IF(OR($B32="",N32=""),"",--(N32=$B32))</f>
        <v/>
      </c>
      <c r="BD32" s="4">
        <f>IF(OR($B32="",N32=""),"",IF($B32=1,--(N32=1),""))</f>
        <v/>
      </c>
      <c r="BE32" s="4">
        <f>IF(OR($B32="",N32=""),"",IF($B32=0,--(N32=0),""))</f>
        <v/>
      </c>
      <c r="BF32" s="4">
        <f>IF(N32="","",--(N32=1))</f>
        <v/>
      </c>
    </row>
    <row r="33">
      <c r="A33" s="3" t="inlineStr">
        <is>
          <t>201930632</t>
        </is>
      </c>
      <c r="B33" s="3" t="inlineStr">
        <is>
          <t>1</t>
        </is>
      </c>
      <c r="C33" s="3" t="inlineStr">
        <is>
          <t>Direct</t>
        </is>
      </c>
      <c r="D33" s="3" t="inlineStr">
        <is>
          <t>1</t>
        </is>
      </c>
      <c r="E33" s="3" t="inlineStr">
        <is>
          <t>1</t>
        </is>
      </c>
      <c r="F33" s="3" t="inlineStr">
        <is>
          <t>0</t>
        </is>
      </c>
      <c r="G33" s="3" t="inlineStr">
        <is>
          <t>1</t>
        </is>
      </c>
      <c r="H33" s="3" t="inlineStr">
        <is>
          <t>0</t>
        </is>
      </c>
      <c r="I33" s="3" t="inlineStr">
        <is>
          <t>1</t>
        </is>
      </c>
      <c r="J33" s="3" t="inlineStr">
        <is>
          <t>1</t>
        </is>
      </c>
      <c r="K33" s="3" t="inlineStr">
        <is>
          <t>1</t>
        </is>
      </c>
      <c r="L33" s="3" t="inlineStr">
        <is>
          <t>1</t>
        </is>
      </c>
      <c r="M33" s="3" t="inlineStr">
        <is>
          <t>1</t>
        </is>
      </c>
      <c r="N33" s="3" t="inlineStr">
        <is>
          <t>1</t>
        </is>
      </c>
      <c r="O33" s="4">
        <f>IF(OR($B33="",D33=""),"",--(D33=$B33))</f>
        <v/>
      </c>
      <c r="P33" s="4">
        <f>IF(OR($B33="",D33=""),"",IF($B33=1,--(D33=1),""))</f>
        <v/>
      </c>
      <c r="Q33" s="4">
        <f>IF(OR($B33="",D33=""),"",IF($B33=0,--(D33=0),""))</f>
        <v/>
      </c>
      <c r="R33" s="4">
        <f>IF(D33="","",--(D33=1))</f>
        <v/>
      </c>
      <c r="S33" s="4">
        <f>IF(OR($B33="",E33=""),"",--(E33=$B33))</f>
        <v/>
      </c>
      <c r="T33" s="4">
        <f>IF(OR($B33="",E33=""),"",IF($B33=1,--(E33=1),""))</f>
        <v/>
      </c>
      <c r="U33" s="4">
        <f>IF(OR($B33="",E33=""),"",IF($B33=0,--(E33=0),""))</f>
        <v/>
      </c>
      <c r="V33" s="4">
        <f>IF(E33="","",--(E33=1))</f>
        <v/>
      </c>
      <c r="W33" s="4">
        <f>IF(OR($B33="",F33=""),"",--(F33=$B33))</f>
        <v/>
      </c>
      <c r="X33" s="4">
        <f>IF(OR($B33="",F33=""),"",IF($B33=1,--(F33=1),""))</f>
        <v/>
      </c>
      <c r="Y33" s="4">
        <f>IF(OR($B33="",F33=""),"",IF($B33=0,--(F33=0),""))</f>
        <v/>
      </c>
      <c r="Z33" s="4">
        <f>IF(F33="","",--(F33=1))</f>
        <v/>
      </c>
      <c r="AA33" s="4">
        <f>IF(OR($B33="",G33=""),"",--(G33=$B33))</f>
        <v/>
      </c>
      <c r="AB33" s="4">
        <f>IF(OR($B33="",G33=""),"",IF($B33=1,--(G33=1),""))</f>
        <v/>
      </c>
      <c r="AC33" s="4">
        <f>IF(OR($B33="",G33=""),"",IF($B33=0,--(G33=0),""))</f>
        <v/>
      </c>
      <c r="AD33" s="4">
        <f>IF(G33="","",--(G33=1))</f>
        <v/>
      </c>
      <c r="AE33" s="4">
        <f>IF(OR($B33="",H33=""),"",--(H33=$B33))</f>
        <v/>
      </c>
      <c r="AF33" s="4">
        <f>IF(OR($B33="",H33=""),"",IF($B33=1,--(H33=1),""))</f>
        <v/>
      </c>
      <c r="AG33" s="4">
        <f>IF(OR($B33="",H33=""),"",IF($B33=0,--(H33=0),""))</f>
        <v/>
      </c>
      <c r="AH33" s="4">
        <f>IF(H33="","",--(H33=1))</f>
        <v/>
      </c>
      <c r="AI33" s="4">
        <f>IF(OR($B33="",I33=""),"",--(I33=$B33))</f>
        <v/>
      </c>
      <c r="AJ33" s="4">
        <f>IF(OR($B33="",I33=""),"",IF($B33=1,--(I33=1),""))</f>
        <v/>
      </c>
      <c r="AK33" s="4">
        <f>IF(OR($B33="",I33=""),"",IF($B33=0,--(I33=0),""))</f>
        <v/>
      </c>
      <c r="AL33" s="4">
        <f>IF(I33="","",--(I33=1))</f>
        <v/>
      </c>
      <c r="AM33" s="4">
        <f>IF(OR($B33="",J33=""),"",--(J33=$B33))</f>
        <v/>
      </c>
      <c r="AN33" s="4">
        <f>IF(OR($B33="",J33=""),"",IF($B33=1,--(J33=1),""))</f>
        <v/>
      </c>
      <c r="AO33" s="4">
        <f>IF(OR($B33="",J33=""),"",IF($B33=0,--(J33=0),""))</f>
        <v/>
      </c>
      <c r="AP33" s="4">
        <f>IF(J33="","",--(J33=1))</f>
        <v/>
      </c>
      <c r="AQ33" s="4">
        <f>IF(OR($B33="",K33=""),"",--(K33=$B33))</f>
        <v/>
      </c>
      <c r="AR33" s="4">
        <f>IF(OR($B33="",K33=""),"",IF($B33=1,--(K33=1),""))</f>
        <v/>
      </c>
      <c r="AS33" s="4">
        <f>IF(OR($B33="",K33=""),"",IF($B33=0,--(K33=0),""))</f>
        <v/>
      </c>
      <c r="AT33" s="4">
        <f>IF(K33="","",--(K33=1))</f>
        <v/>
      </c>
      <c r="AU33" s="4">
        <f>IF(OR($B33="",L33=""),"",--(L33=$B33))</f>
        <v/>
      </c>
      <c r="AV33" s="4">
        <f>IF(OR($B33="",L33=""),"",IF($B33=1,--(L33=1),""))</f>
        <v/>
      </c>
      <c r="AW33" s="4">
        <f>IF(OR($B33="",L33=""),"",IF($B33=0,--(L33=0),""))</f>
        <v/>
      </c>
      <c r="AX33" s="4">
        <f>IF(L33="","",--(L33=1))</f>
        <v/>
      </c>
      <c r="AY33" s="4">
        <f>IF(OR($B33="",M33=""),"",--(M33=$B33))</f>
        <v/>
      </c>
      <c r="AZ33" s="4">
        <f>IF(OR($B33="",M33=""),"",IF($B33=1,--(M33=1),""))</f>
        <v/>
      </c>
      <c r="BA33" s="4">
        <f>IF(OR($B33="",M33=""),"",IF($B33=0,--(M33=0),""))</f>
        <v/>
      </c>
      <c r="BB33" s="4">
        <f>IF(M33="","",--(M33=1))</f>
        <v/>
      </c>
      <c r="BC33" s="4">
        <f>IF(OR($B33="",N33=""),"",--(N33=$B33))</f>
        <v/>
      </c>
      <c r="BD33" s="4">
        <f>IF(OR($B33="",N33=""),"",IF($B33=1,--(N33=1),""))</f>
        <v/>
      </c>
      <c r="BE33" s="4">
        <f>IF(OR($B33="",N33=""),"",IF($B33=0,--(N33=0),""))</f>
        <v/>
      </c>
      <c r="BF33" s="4">
        <f>IF(N33="","",--(N33=1))</f>
        <v/>
      </c>
    </row>
    <row r="34">
      <c r="A34" s="3" t="inlineStr">
        <is>
          <t>201931778</t>
        </is>
      </c>
      <c r="B34" s="3" t="inlineStr">
        <is>
          <t>0</t>
        </is>
      </c>
      <c r="C34" s="3" t="inlineStr">
        <is>
          <t>Direct</t>
        </is>
      </c>
      <c r="D34" s="3" t="inlineStr">
        <is>
          <t>1</t>
        </is>
      </c>
      <c r="E34" s="3" t="inlineStr">
        <is>
          <t>0</t>
        </is>
      </c>
      <c r="F34" s="3" t="inlineStr">
        <is>
          <t>0</t>
        </is>
      </c>
      <c r="G34" s="3" t="inlineStr">
        <is>
          <t>0</t>
        </is>
      </c>
      <c r="H34" s="3" t="inlineStr">
        <is>
          <t>0</t>
        </is>
      </c>
      <c r="I34" s="3" t="inlineStr">
        <is>
          <t>0</t>
        </is>
      </c>
      <c r="J34" s="3" t="inlineStr">
        <is>
          <t>0</t>
        </is>
      </c>
      <c r="K34" s="3" t="inlineStr">
        <is>
          <t>0</t>
        </is>
      </c>
      <c r="L34" s="3" t="inlineStr">
        <is>
          <t>0</t>
        </is>
      </c>
      <c r="M34" s="3" t="inlineStr">
        <is>
          <t>1</t>
        </is>
      </c>
      <c r="N34" s="3" t="inlineStr">
        <is>
          <t>1</t>
        </is>
      </c>
      <c r="O34" s="4">
        <f>IF(OR($B34="",D34=""),"",--(D34=$B34))</f>
        <v/>
      </c>
      <c r="P34" s="4">
        <f>IF(OR($B34="",D34=""),"",IF($B34=1,--(D34=1),""))</f>
        <v/>
      </c>
      <c r="Q34" s="4">
        <f>IF(OR($B34="",D34=""),"",IF($B34=0,--(D34=0),""))</f>
        <v/>
      </c>
      <c r="R34" s="4">
        <f>IF(D34="","",--(D34=1))</f>
        <v/>
      </c>
      <c r="S34" s="4">
        <f>IF(OR($B34="",E34=""),"",--(E34=$B34))</f>
        <v/>
      </c>
      <c r="T34" s="4">
        <f>IF(OR($B34="",E34=""),"",IF($B34=1,--(E34=1),""))</f>
        <v/>
      </c>
      <c r="U34" s="4">
        <f>IF(OR($B34="",E34=""),"",IF($B34=0,--(E34=0),""))</f>
        <v/>
      </c>
      <c r="V34" s="4">
        <f>IF(E34="","",--(E34=1))</f>
        <v/>
      </c>
      <c r="W34" s="4">
        <f>IF(OR($B34="",F34=""),"",--(F34=$B34))</f>
        <v/>
      </c>
      <c r="X34" s="4">
        <f>IF(OR($B34="",F34=""),"",IF($B34=1,--(F34=1),""))</f>
        <v/>
      </c>
      <c r="Y34" s="4">
        <f>IF(OR($B34="",F34=""),"",IF($B34=0,--(F34=0),""))</f>
        <v/>
      </c>
      <c r="Z34" s="4">
        <f>IF(F34="","",--(F34=1))</f>
        <v/>
      </c>
      <c r="AA34" s="4">
        <f>IF(OR($B34="",G34=""),"",--(G34=$B34))</f>
        <v/>
      </c>
      <c r="AB34" s="4">
        <f>IF(OR($B34="",G34=""),"",IF($B34=1,--(G34=1),""))</f>
        <v/>
      </c>
      <c r="AC34" s="4">
        <f>IF(OR($B34="",G34=""),"",IF($B34=0,--(G34=0),""))</f>
        <v/>
      </c>
      <c r="AD34" s="4">
        <f>IF(G34="","",--(G34=1))</f>
        <v/>
      </c>
      <c r="AE34" s="4">
        <f>IF(OR($B34="",H34=""),"",--(H34=$B34))</f>
        <v/>
      </c>
      <c r="AF34" s="4">
        <f>IF(OR($B34="",H34=""),"",IF($B34=1,--(H34=1),""))</f>
        <v/>
      </c>
      <c r="AG34" s="4">
        <f>IF(OR($B34="",H34=""),"",IF($B34=0,--(H34=0),""))</f>
        <v/>
      </c>
      <c r="AH34" s="4">
        <f>IF(H34="","",--(H34=1))</f>
        <v/>
      </c>
      <c r="AI34" s="4">
        <f>IF(OR($B34="",I34=""),"",--(I34=$B34))</f>
        <v/>
      </c>
      <c r="AJ34" s="4">
        <f>IF(OR($B34="",I34=""),"",IF($B34=1,--(I34=1),""))</f>
        <v/>
      </c>
      <c r="AK34" s="4">
        <f>IF(OR($B34="",I34=""),"",IF($B34=0,--(I34=0),""))</f>
        <v/>
      </c>
      <c r="AL34" s="4">
        <f>IF(I34="","",--(I34=1))</f>
        <v/>
      </c>
      <c r="AM34" s="4">
        <f>IF(OR($B34="",J34=""),"",--(J34=$B34))</f>
        <v/>
      </c>
      <c r="AN34" s="4">
        <f>IF(OR($B34="",J34=""),"",IF($B34=1,--(J34=1),""))</f>
        <v/>
      </c>
      <c r="AO34" s="4">
        <f>IF(OR($B34="",J34=""),"",IF($B34=0,--(J34=0),""))</f>
        <v/>
      </c>
      <c r="AP34" s="4">
        <f>IF(J34="","",--(J34=1))</f>
        <v/>
      </c>
      <c r="AQ34" s="4">
        <f>IF(OR($B34="",K34=""),"",--(K34=$B34))</f>
        <v/>
      </c>
      <c r="AR34" s="4">
        <f>IF(OR($B34="",K34=""),"",IF($B34=1,--(K34=1),""))</f>
        <v/>
      </c>
      <c r="AS34" s="4">
        <f>IF(OR($B34="",K34=""),"",IF($B34=0,--(K34=0),""))</f>
        <v/>
      </c>
      <c r="AT34" s="4">
        <f>IF(K34="","",--(K34=1))</f>
        <v/>
      </c>
      <c r="AU34" s="4">
        <f>IF(OR($B34="",L34=""),"",--(L34=$B34))</f>
        <v/>
      </c>
      <c r="AV34" s="4">
        <f>IF(OR($B34="",L34=""),"",IF($B34=1,--(L34=1),""))</f>
        <v/>
      </c>
      <c r="AW34" s="4">
        <f>IF(OR($B34="",L34=""),"",IF($B34=0,--(L34=0),""))</f>
        <v/>
      </c>
      <c r="AX34" s="4">
        <f>IF(L34="","",--(L34=1))</f>
        <v/>
      </c>
      <c r="AY34" s="4">
        <f>IF(OR($B34="",M34=""),"",--(M34=$B34))</f>
        <v/>
      </c>
      <c r="AZ34" s="4">
        <f>IF(OR($B34="",M34=""),"",IF($B34=1,--(M34=1),""))</f>
        <v/>
      </c>
      <c r="BA34" s="4">
        <f>IF(OR($B34="",M34=""),"",IF($B34=0,--(M34=0),""))</f>
        <v/>
      </c>
      <c r="BB34" s="4">
        <f>IF(M34="","",--(M34=1))</f>
        <v/>
      </c>
      <c r="BC34" s="4">
        <f>IF(OR($B34="",N34=""),"",--(N34=$B34))</f>
        <v/>
      </c>
      <c r="BD34" s="4">
        <f>IF(OR($B34="",N34=""),"",IF($B34=1,--(N34=1),""))</f>
        <v/>
      </c>
      <c r="BE34" s="4">
        <f>IF(OR($B34="",N34=""),"",IF($B34=0,--(N34=0),""))</f>
        <v/>
      </c>
      <c r="BF34" s="4">
        <f>IF(N34="","",--(N34=1))</f>
        <v/>
      </c>
    </row>
    <row r="35">
      <c r="A35" s="3" t="inlineStr">
        <is>
          <t>20193226</t>
        </is>
      </c>
      <c r="B35" s="3" t="inlineStr">
        <is>
          <t>0</t>
        </is>
      </c>
      <c r="C35" s="3" t="inlineStr">
        <is>
          <t>RQ</t>
        </is>
      </c>
      <c r="D35" s="3" t="inlineStr">
        <is>
          <t>0</t>
        </is>
      </c>
      <c r="E35" s="3" t="inlineStr">
        <is>
          <t>1</t>
        </is>
      </c>
      <c r="F35" s="3" t="inlineStr">
        <is>
          <t>0</t>
        </is>
      </c>
      <c r="G35" s="3" t="inlineStr">
        <is>
          <t>0</t>
        </is>
      </c>
      <c r="H35" s="3" t="inlineStr">
        <is>
          <t>0</t>
        </is>
      </c>
      <c r="I35" s="3" t="inlineStr">
        <is>
          <t>1</t>
        </is>
      </c>
      <c r="J35" s="3" t="inlineStr">
        <is>
          <t>0</t>
        </is>
      </c>
      <c r="K35" s="3" t="inlineStr">
        <is>
          <t>0</t>
        </is>
      </c>
      <c r="L35" s="3" t="inlineStr">
        <is>
          <t>0</t>
        </is>
      </c>
      <c r="M35" s="3" t="inlineStr">
        <is>
          <t>1</t>
        </is>
      </c>
      <c r="N35" s="3" t="inlineStr">
        <is>
          <t>1</t>
        </is>
      </c>
      <c r="O35" s="4">
        <f>IF(OR($B35="",D35=""),"",--(D35=$B35))</f>
        <v/>
      </c>
      <c r="P35" s="4">
        <f>IF(OR($B35="",D35=""),"",IF($B35=1,--(D35=1),""))</f>
        <v/>
      </c>
      <c r="Q35" s="4">
        <f>IF(OR($B35="",D35=""),"",IF($B35=0,--(D35=0),""))</f>
        <v/>
      </c>
      <c r="R35" s="4">
        <f>IF(D35="","",--(D35=1))</f>
        <v/>
      </c>
      <c r="S35" s="4">
        <f>IF(OR($B35="",E35=""),"",--(E35=$B35))</f>
        <v/>
      </c>
      <c r="T35" s="4">
        <f>IF(OR($B35="",E35=""),"",IF($B35=1,--(E35=1),""))</f>
        <v/>
      </c>
      <c r="U35" s="4">
        <f>IF(OR($B35="",E35=""),"",IF($B35=0,--(E35=0),""))</f>
        <v/>
      </c>
      <c r="V35" s="4">
        <f>IF(E35="","",--(E35=1))</f>
        <v/>
      </c>
      <c r="W35" s="4">
        <f>IF(OR($B35="",F35=""),"",--(F35=$B35))</f>
        <v/>
      </c>
      <c r="X35" s="4">
        <f>IF(OR($B35="",F35=""),"",IF($B35=1,--(F35=1),""))</f>
        <v/>
      </c>
      <c r="Y35" s="4">
        <f>IF(OR($B35="",F35=""),"",IF($B35=0,--(F35=0),""))</f>
        <v/>
      </c>
      <c r="Z35" s="4">
        <f>IF(F35="","",--(F35=1))</f>
        <v/>
      </c>
      <c r="AA35" s="4">
        <f>IF(OR($B35="",G35=""),"",--(G35=$B35))</f>
        <v/>
      </c>
      <c r="AB35" s="4">
        <f>IF(OR($B35="",G35=""),"",IF($B35=1,--(G35=1),""))</f>
        <v/>
      </c>
      <c r="AC35" s="4">
        <f>IF(OR($B35="",G35=""),"",IF($B35=0,--(G35=0),""))</f>
        <v/>
      </c>
      <c r="AD35" s="4">
        <f>IF(G35="","",--(G35=1))</f>
        <v/>
      </c>
      <c r="AE35" s="4">
        <f>IF(OR($B35="",H35=""),"",--(H35=$B35))</f>
        <v/>
      </c>
      <c r="AF35" s="4">
        <f>IF(OR($B35="",H35=""),"",IF($B35=1,--(H35=1),""))</f>
        <v/>
      </c>
      <c r="AG35" s="4">
        <f>IF(OR($B35="",H35=""),"",IF($B35=0,--(H35=0),""))</f>
        <v/>
      </c>
      <c r="AH35" s="4">
        <f>IF(H35="","",--(H35=1))</f>
        <v/>
      </c>
      <c r="AI35" s="4">
        <f>IF(OR($B35="",I35=""),"",--(I35=$B35))</f>
        <v/>
      </c>
      <c r="AJ35" s="4">
        <f>IF(OR($B35="",I35=""),"",IF($B35=1,--(I35=1),""))</f>
        <v/>
      </c>
      <c r="AK35" s="4">
        <f>IF(OR($B35="",I35=""),"",IF($B35=0,--(I35=0),""))</f>
        <v/>
      </c>
      <c r="AL35" s="4">
        <f>IF(I35="","",--(I35=1))</f>
        <v/>
      </c>
      <c r="AM35" s="4">
        <f>IF(OR($B35="",J35=""),"",--(J35=$B35))</f>
        <v/>
      </c>
      <c r="AN35" s="4">
        <f>IF(OR($B35="",J35=""),"",IF($B35=1,--(J35=1),""))</f>
        <v/>
      </c>
      <c r="AO35" s="4">
        <f>IF(OR($B35="",J35=""),"",IF($B35=0,--(J35=0),""))</f>
        <v/>
      </c>
      <c r="AP35" s="4">
        <f>IF(J35="","",--(J35=1))</f>
        <v/>
      </c>
      <c r="AQ35" s="4">
        <f>IF(OR($B35="",K35=""),"",--(K35=$B35))</f>
        <v/>
      </c>
      <c r="AR35" s="4">
        <f>IF(OR($B35="",K35=""),"",IF($B35=1,--(K35=1),""))</f>
        <v/>
      </c>
      <c r="AS35" s="4">
        <f>IF(OR($B35="",K35=""),"",IF($B35=0,--(K35=0),""))</f>
        <v/>
      </c>
      <c r="AT35" s="4">
        <f>IF(K35="","",--(K35=1))</f>
        <v/>
      </c>
      <c r="AU35" s="4">
        <f>IF(OR($B35="",L35=""),"",--(L35=$B35))</f>
        <v/>
      </c>
      <c r="AV35" s="4">
        <f>IF(OR($B35="",L35=""),"",IF($B35=1,--(L35=1),""))</f>
        <v/>
      </c>
      <c r="AW35" s="4">
        <f>IF(OR($B35="",L35=""),"",IF($B35=0,--(L35=0),""))</f>
        <v/>
      </c>
      <c r="AX35" s="4">
        <f>IF(L35="","",--(L35=1))</f>
        <v/>
      </c>
      <c r="AY35" s="4">
        <f>IF(OR($B35="",M35=""),"",--(M35=$B35))</f>
        <v/>
      </c>
      <c r="AZ35" s="4">
        <f>IF(OR($B35="",M35=""),"",IF($B35=1,--(M35=1),""))</f>
        <v/>
      </c>
      <c r="BA35" s="4">
        <f>IF(OR($B35="",M35=""),"",IF($B35=0,--(M35=0),""))</f>
        <v/>
      </c>
      <c r="BB35" s="4">
        <f>IF(M35="","",--(M35=1))</f>
        <v/>
      </c>
      <c r="BC35" s="4">
        <f>IF(OR($B35="",N35=""),"",--(N35=$B35))</f>
        <v/>
      </c>
      <c r="BD35" s="4">
        <f>IF(OR($B35="",N35=""),"",IF($B35=1,--(N35=1),""))</f>
        <v/>
      </c>
      <c r="BE35" s="4">
        <f>IF(OR($B35="",N35=""),"",IF($B35=0,--(N35=0),""))</f>
        <v/>
      </c>
      <c r="BF35" s="4">
        <f>IF(N35="","",--(N35=1))</f>
        <v/>
      </c>
    </row>
    <row r="36">
      <c r="A36" s="3" t="inlineStr">
        <is>
          <t>201932755</t>
        </is>
      </c>
      <c r="B36" s="3" t="inlineStr">
        <is>
          <t>0</t>
        </is>
      </c>
      <c r="C36" s="3" t="inlineStr">
        <is>
          <t>Direct</t>
        </is>
      </c>
      <c r="D36" s="3" t="inlineStr">
        <is>
          <t>0</t>
        </is>
      </c>
      <c r="E36" s="3" t="inlineStr">
        <is>
          <t>0</t>
        </is>
      </c>
      <c r="F36" s="3" t="inlineStr">
        <is>
          <t>1</t>
        </is>
      </c>
      <c r="G36" s="3" t="inlineStr">
        <is>
          <t>1</t>
        </is>
      </c>
      <c r="H36" s="3" t="inlineStr">
        <is>
          <t>1</t>
        </is>
      </c>
      <c r="I36" s="3" t="inlineStr">
        <is>
          <t>0</t>
        </is>
      </c>
      <c r="J36" s="3" t="inlineStr">
        <is>
          <t>0</t>
        </is>
      </c>
      <c r="K36" s="3" t="inlineStr">
        <is>
          <t>1</t>
        </is>
      </c>
      <c r="L36" s="3" t="inlineStr">
        <is>
          <t>1</t>
        </is>
      </c>
      <c r="M36" s="3" t="inlineStr">
        <is>
          <t>1</t>
        </is>
      </c>
      <c r="N36" s="3" t="inlineStr">
        <is>
          <t>1</t>
        </is>
      </c>
      <c r="O36" s="4">
        <f>IF(OR($B36="",D36=""),"",--(D36=$B36))</f>
        <v/>
      </c>
      <c r="P36" s="4">
        <f>IF(OR($B36="",D36=""),"",IF($B36=1,--(D36=1),""))</f>
        <v/>
      </c>
      <c r="Q36" s="4">
        <f>IF(OR($B36="",D36=""),"",IF($B36=0,--(D36=0),""))</f>
        <v/>
      </c>
      <c r="R36" s="4">
        <f>IF(D36="","",--(D36=1))</f>
        <v/>
      </c>
      <c r="S36" s="4">
        <f>IF(OR($B36="",E36=""),"",--(E36=$B36))</f>
        <v/>
      </c>
      <c r="T36" s="4">
        <f>IF(OR($B36="",E36=""),"",IF($B36=1,--(E36=1),""))</f>
        <v/>
      </c>
      <c r="U36" s="4">
        <f>IF(OR($B36="",E36=""),"",IF($B36=0,--(E36=0),""))</f>
        <v/>
      </c>
      <c r="V36" s="4">
        <f>IF(E36="","",--(E36=1))</f>
        <v/>
      </c>
      <c r="W36" s="4">
        <f>IF(OR($B36="",F36=""),"",--(F36=$B36))</f>
        <v/>
      </c>
      <c r="X36" s="4">
        <f>IF(OR($B36="",F36=""),"",IF($B36=1,--(F36=1),""))</f>
        <v/>
      </c>
      <c r="Y36" s="4">
        <f>IF(OR($B36="",F36=""),"",IF($B36=0,--(F36=0),""))</f>
        <v/>
      </c>
      <c r="Z36" s="4">
        <f>IF(F36="","",--(F36=1))</f>
        <v/>
      </c>
      <c r="AA36" s="4">
        <f>IF(OR($B36="",G36=""),"",--(G36=$B36))</f>
        <v/>
      </c>
      <c r="AB36" s="4">
        <f>IF(OR($B36="",G36=""),"",IF($B36=1,--(G36=1),""))</f>
        <v/>
      </c>
      <c r="AC36" s="4">
        <f>IF(OR($B36="",G36=""),"",IF($B36=0,--(G36=0),""))</f>
        <v/>
      </c>
      <c r="AD36" s="4">
        <f>IF(G36="","",--(G36=1))</f>
        <v/>
      </c>
      <c r="AE36" s="4">
        <f>IF(OR($B36="",H36=""),"",--(H36=$B36))</f>
        <v/>
      </c>
      <c r="AF36" s="4">
        <f>IF(OR($B36="",H36=""),"",IF($B36=1,--(H36=1),""))</f>
        <v/>
      </c>
      <c r="AG36" s="4">
        <f>IF(OR($B36="",H36=""),"",IF($B36=0,--(H36=0),""))</f>
        <v/>
      </c>
      <c r="AH36" s="4">
        <f>IF(H36="","",--(H36=1))</f>
        <v/>
      </c>
      <c r="AI36" s="4">
        <f>IF(OR($B36="",I36=""),"",--(I36=$B36))</f>
        <v/>
      </c>
      <c r="AJ36" s="4">
        <f>IF(OR($B36="",I36=""),"",IF($B36=1,--(I36=1),""))</f>
        <v/>
      </c>
      <c r="AK36" s="4">
        <f>IF(OR($B36="",I36=""),"",IF($B36=0,--(I36=0),""))</f>
        <v/>
      </c>
      <c r="AL36" s="4">
        <f>IF(I36="","",--(I36=1))</f>
        <v/>
      </c>
      <c r="AM36" s="4">
        <f>IF(OR($B36="",J36=""),"",--(J36=$B36))</f>
        <v/>
      </c>
      <c r="AN36" s="4">
        <f>IF(OR($B36="",J36=""),"",IF($B36=1,--(J36=1),""))</f>
        <v/>
      </c>
      <c r="AO36" s="4">
        <f>IF(OR($B36="",J36=""),"",IF($B36=0,--(J36=0),""))</f>
        <v/>
      </c>
      <c r="AP36" s="4">
        <f>IF(J36="","",--(J36=1))</f>
        <v/>
      </c>
      <c r="AQ36" s="4">
        <f>IF(OR($B36="",K36=""),"",--(K36=$B36))</f>
        <v/>
      </c>
      <c r="AR36" s="4">
        <f>IF(OR($B36="",K36=""),"",IF($B36=1,--(K36=1),""))</f>
        <v/>
      </c>
      <c r="AS36" s="4">
        <f>IF(OR($B36="",K36=""),"",IF($B36=0,--(K36=0),""))</f>
        <v/>
      </c>
      <c r="AT36" s="4">
        <f>IF(K36="","",--(K36=1))</f>
        <v/>
      </c>
      <c r="AU36" s="4">
        <f>IF(OR($B36="",L36=""),"",--(L36=$B36))</f>
        <v/>
      </c>
      <c r="AV36" s="4">
        <f>IF(OR($B36="",L36=""),"",IF($B36=1,--(L36=1),""))</f>
        <v/>
      </c>
      <c r="AW36" s="4">
        <f>IF(OR($B36="",L36=""),"",IF($B36=0,--(L36=0),""))</f>
        <v/>
      </c>
      <c r="AX36" s="4">
        <f>IF(L36="","",--(L36=1))</f>
        <v/>
      </c>
      <c r="AY36" s="4">
        <f>IF(OR($B36="",M36=""),"",--(M36=$B36))</f>
        <v/>
      </c>
      <c r="AZ36" s="4">
        <f>IF(OR($B36="",M36=""),"",IF($B36=1,--(M36=1),""))</f>
        <v/>
      </c>
      <c r="BA36" s="4">
        <f>IF(OR($B36="",M36=""),"",IF($B36=0,--(M36=0),""))</f>
        <v/>
      </c>
      <c r="BB36" s="4">
        <f>IF(M36="","",--(M36=1))</f>
        <v/>
      </c>
      <c r="BC36" s="4">
        <f>IF(OR($B36="",N36=""),"",--(N36=$B36))</f>
        <v/>
      </c>
      <c r="BD36" s="4">
        <f>IF(OR($B36="",N36=""),"",IF($B36=1,--(N36=1),""))</f>
        <v/>
      </c>
      <c r="BE36" s="4">
        <f>IF(OR($B36="",N36=""),"",IF($B36=0,--(N36=0),""))</f>
        <v/>
      </c>
      <c r="BF36" s="4">
        <f>IF(N36="","",--(N36=1))</f>
        <v/>
      </c>
    </row>
    <row r="37">
      <c r="A37" s="3" t="inlineStr">
        <is>
          <t>201932903</t>
        </is>
      </c>
      <c r="B37" s="3" t="inlineStr">
        <is>
          <t>0</t>
        </is>
      </c>
      <c r="C37" s="3" t="inlineStr">
        <is>
          <t>RQ</t>
        </is>
      </c>
      <c r="D37" s="3" t="inlineStr">
        <is>
          <t>1</t>
        </is>
      </c>
      <c r="E37" s="3" t="inlineStr">
        <is>
          <t>1</t>
        </is>
      </c>
      <c r="F37" s="3" t="inlineStr">
        <is>
          <t>1</t>
        </is>
      </c>
      <c r="G37" s="3" t="inlineStr">
        <is>
          <t>1</t>
        </is>
      </c>
      <c r="H37" s="3" t="inlineStr">
        <is>
          <t>1</t>
        </is>
      </c>
      <c r="I37" s="3" t="inlineStr">
        <is>
          <t>1</t>
        </is>
      </c>
      <c r="J37" s="3" t="inlineStr">
        <is>
          <t>1</t>
        </is>
      </c>
      <c r="K37" s="3" t="inlineStr">
        <is>
          <t>1</t>
        </is>
      </c>
      <c r="L37" s="3" t="inlineStr">
        <is>
          <t>1</t>
        </is>
      </c>
      <c r="M37" s="3" t="inlineStr">
        <is>
          <t>1</t>
        </is>
      </c>
      <c r="N37" s="3" t="inlineStr">
        <is>
          <t>1</t>
        </is>
      </c>
      <c r="O37" s="4">
        <f>IF(OR($B37="",D37=""),"",--(D37=$B37))</f>
        <v/>
      </c>
      <c r="P37" s="4">
        <f>IF(OR($B37="",D37=""),"",IF($B37=1,--(D37=1),""))</f>
        <v/>
      </c>
      <c r="Q37" s="4">
        <f>IF(OR($B37="",D37=""),"",IF($B37=0,--(D37=0),""))</f>
        <v/>
      </c>
      <c r="R37" s="4">
        <f>IF(D37="","",--(D37=1))</f>
        <v/>
      </c>
      <c r="S37" s="4">
        <f>IF(OR($B37="",E37=""),"",--(E37=$B37))</f>
        <v/>
      </c>
      <c r="T37" s="4">
        <f>IF(OR($B37="",E37=""),"",IF($B37=1,--(E37=1),""))</f>
        <v/>
      </c>
      <c r="U37" s="4">
        <f>IF(OR($B37="",E37=""),"",IF($B37=0,--(E37=0),""))</f>
        <v/>
      </c>
      <c r="V37" s="4">
        <f>IF(E37="","",--(E37=1))</f>
        <v/>
      </c>
      <c r="W37" s="4">
        <f>IF(OR($B37="",F37=""),"",--(F37=$B37))</f>
        <v/>
      </c>
      <c r="X37" s="4">
        <f>IF(OR($B37="",F37=""),"",IF($B37=1,--(F37=1),""))</f>
        <v/>
      </c>
      <c r="Y37" s="4">
        <f>IF(OR($B37="",F37=""),"",IF($B37=0,--(F37=0),""))</f>
        <v/>
      </c>
      <c r="Z37" s="4">
        <f>IF(F37="","",--(F37=1))</f>
        <v/>
      </c>
      <c r="AA37" s="4">
        <f>IF(OR($B37="",G37=""),"",--(G37=$B37))</f>
        <v/>
      </c>
      <c r="AB37" s="4">
        <f>IF(OR($B37="",G37=""),"",IF($B37=1,--(G37=1),""))</f>
        <v/>
      </c>
      <c r="AC37" s="4">
        <f>IF(OR($B37="",G37=""),"",IF($B37=0,--(G37=0),""))</f>
        <v/>
      </c>
      <c r="AD37" s="4">
        <f>IF(G37="","",--(G37=1))</f>
        <v/>
      </c>
      <c r="AE37" s="4">
        <f>IF(OR($B37="",H37=""),"",--(H37=$B37))</f>
        <v/>
      </c>
      <c r="AF37" s="4">
        <f>IF(OR($B37="",H37=""),"",IF($B37=1,--(H37=1),""))</f>
        <v/>
      </c>
      <c r="AG37" s="4">
        <f>IF(OR($B37="",H37=""),"",IF($B37=0,--(H37=0),""))</f>
        <v/>
      </c>
      <c r="AH37" s="4">
        <f>IF(H37="","",--(H37=1))</f>
        <v/>
      </c>
      <c r="AI37" s="4">
        <f>IF(OR($B37="",I37=""),"",--(I37=$B37))</f>
        <v/>
      </c>
      <c r="AJ37" s="4">
        <f>IF(OR($B37="",I37=""),"",IF($B37=1,--(I37=1),""))</f>
        <v/>
      </c>
      <c r="AK37" s="4">
        <f>IF(OR($B37="",I37=""),"",IF($B37=0,--(I37=0),""))</f>
        <v/>
      </c>
      <c r="AL37" s="4">
        <f>IF(I37="","",--(I37=1))</f>
        <v/>
      </c>
      <c r="AM37" s="4">
        <f>IF(OR($B37="",J37=""),"",--(J37=$B37))</f>
        <v/>
      </c>
      <c r="AN37" s="4">
        <f>IF(OR($B37="",J37=""),"",IF($B37=1,--(J37=1),""))</f>
        <v/>
      </c>
      <c r="AO37" s="4">
        <f>IF(OR($B37="",J37=""),"",IF($B37=0,--(J37=0),""))</f>
        <v/>
      </c>
      <c r="AP37" s="4">
        <f>IF(J37="","",--(J37=1))</f>
        <v/>
      </c>
      <c r="AQ37" s="4">
        <f>IF(OR($B37="",K37=""),"",--(K37=$B37))</f>
        <v/>
      </c>
      <c r="AR37" s="4">
        <f>IF(OR($B37="",K37=""),"",IF($B37=1,--(K37=1),""))</f>
        <v/>
      </c>
      <c r="AS37" s="4">
        <f>IF(OR($B37="",K37=""),"",IF($B37=0,--(K37=0),""))</f>
        <v/>
      </c>
      <c r="AT37" s="4">
        <f>IF(K37="","",--(K37=1))</f>
        <v/>
      </c>
      <c r="AU37" s="4">
        <f>IF(OR($B37="",L37=""),"",--(L37=$B37))</f>
        <v/>
      </c>
      <c r="AV37" s="4">
        <f>IF(OR($B37="",L37=""),"",IF($B37=1,--(L37=1),""))</f>
        <v/>
      </c>
      <c r="AW37" s="4">
        <f>IF(OR($B37="",L37=""),"",IF($B37=0,--(L37=0),""))</f>
        <v/>
      </c>
      <c r="AX37" s="4">
        <f>IF(L37="","",--(L37=1))</f>
        <v/>
      </c>
      <c r="AY37" s="4">
        <f>IF(OR($B37="",M37=""),"",--(M37=$B37))</f>
        <v/>
      </c>
      <c r="AZ37" s="4">
        <f>IF(OR($B37="",M37=""),"",IF($B37=1,--(M37=1),""))</f>
        <v/>
      </c>
      <c r="BA37" s="4">
        <f>IF(OR($B37="",M37=""),"",IF($B37=0,--(M37=0),""))</f>
        <v/>
      </c>
      <c r="BB37" s="4">
        <f>IF(M37="","",--(M37=1))</f>
        <v/>
      </c>
      <c r="BC37" s="4">
        <f>IF(OR($B37="",N37=""),"",--(N37=$B37))</f>
        <v/>
      </c>
      <c r="BD37" s="4">
        <f>IF(OR($B37="",N37=""),"",IF($B37=1,--(N37=1),""))</f>
        <v/>
      </c>
      <c r="BE37" s="4">
        <f>IF(OR($B37="",N37=""),"",IF($B37=0,--(N37=0),""))</f>
        <v/>
      </c>
      <c r="BF37" s="4">
        <f>IF(N37="","",--(N37=1))</f>
        <v/>
      </c>
    </row>
    <row r="38">
      <c r="A38" s="3" t="inlineStr">
        <is>
          <t>201932928</t>
        </is>
      </c>
      <c r="B38" s="3" t="inlineStr">
        <is>
          <t>1</t>
        </is>
      </c>
      <c r="C38" s="3" t="inlineStr">
        <is>
          <t>Direct</t>
        </is>
      </c>
      <c r="D38" s="3" t="inlineStr">
        <is>
          <t>1</t>
        </is>
      </c>
      <c r="E38" s="3" t="inlineStr">
        <is>
          <t>1</t>
        </is>
      </c>
      <c r="F38" s="3" t="inlineStr">
        <is>
          <t>0</t>
        </is>
      </c>
      <c r="G38" s="3" t="inlineStr">
        <is>
          <t>1</t>
        </is>
      </c>
      <c r="H38" s="3" t="inlineStr">
        <is>
          <t>1</t>
        </is>
      </c>
      <c r="I38" s="3" t="inlineStr">
        <is>
          <t>1</t>
        </is>
      </c>
      <c r="J38" s="3" t="inlineStr">
        <is>
          <t>1</t>
        </is>
      </c>
      <c r="K38" s="3" t="inlineStr">
        <is>
          <t>1</t>
        </is>
      </c>
      <c r="L38" s="3" t="inlineStr">
        <is>
          <t>1</t>
        </is>
      </c>
      <c r="M38" s="3" t="inlineStr">
        <is>
          <t>1</t>
        </is>
      </c>
      <c r="N38" s="3" t="inlineStr">
        <is>
          <t>1</t>
        </is>
      </c>
      <c r="O38" s="4">
        <f>IF(OR($B38="",D38=""),"",--(D38=$B38))</f>
        <v/>
      </c>
      <c r="P38" s="4">
        <f>IF(OR($B38="",D38=""),"",IF($B38=1,--(D38=1),""))</f>
        <v/>
      </c>
      <c r="Q38" s="4">
        <f>IF(OR($B38="",D38=""),"",IF($B38=0,--(D38=0),""))</f>
        <v/>
      </c>
      <c r="R38" s="4">
        <f>IF(D38="","",--(D38=1))</f>
        <v/>
      </c>
      <c r="S38" s="4">
        <f>IF(OR($B38="",E38=""),"",--(E38=$B38))</f>
        <v/>
      </c>
      <c r="T38" s="4">
        <f>IF(OR($B38="",E38=""),"",IF($B38=1,--(E38=1),""))</f>
        <v/>
      </c>
      <c r="U38" s="4">
        <f>IF(OR($B38="",E38=""),"",IF($B38=0,--(E38=0),""))</f>
        <v/>
      </c>
      <c r="V38" s="4">
        <f>IF(E38="","",--(E38=1))</f>
        <v/>
      </c>
      <c r="W38" s="4">
        <f>IF(OR($B38="",F38=""),"",--(F38=$B38))</f>
        <v/>
      </c>
      <c r="X38" s="4">
        <f>IF(OR($B38="",F38=""),"",IF($B38=1,--(F38=1),""))</f>
        <v/>
      </c>
      <c r="Y38" s="4">
        <f>IF(OR($B38="",F38=""),"",IF($B38=0,--(F38=0),""))</f>
        <v/>
      </c>
      <c r="Z38" s="4">
        <f>IF(F38="","",--(F38=1))</f>
        <v/>
      </c>
      <c r="AA38" s="4">
        <f>IF(OR($B38="",G38=""),"",--(G38=$B38))</f>
        <v/>
      </c>
      <c r="AB38" s="4">
        <f>IF(OR($B38="",G38=""),"",IF($B38=1,--(G38=1),""))</f>
        <v/>
      </c>
      <c r="AC38" s="4">
        <f>IF(OR($B38="",G38=""),"",IF($B38=0,--(G38=0),""))</f>
        <v/>
      </c>
      <c r="AD38" s="4">
        <f>IF(G38="","",--(G38=1))</f>
        <v/>
      </c>
      <c r="AE38" s="4">
        <f>IF(OR($B38="",H38=""),"",--(H38=$B38))</f>
        <v/>
      </c>
      <c r="AF38" s="4">
        <f>IF(OR($B38="",H38=""),"",IF($B38=1,--(H38=1),""))</f>
        <v/>
      </c>
      <c r="AG38" s="4">
        <f>IF(OR($B38="",H38=""),"",IF($B38=0,--(H38=0),""))</f>
        <v/>
      </c>
      <c r="AH38" s="4">
        <f>IF(H38="","",--(H38=1))</f>
        <v/>
      </c>
      <c r="AI38" s="4">
        <f>IF(OR($B38="",I38=""),"",--(I38=$B38))</f>
        <v/>
      </c>
      <c r="AJ38" s="4">
        <f>IF(OR($B38="",I38=""),"",IF($B38=1,--(I38=1),""))</f>
        <v/>
      </c>
      <c r="AK38" s="4">
        <f>IF(OR($B38="",I38=""),"",IF($B38=0,--(I38=0),""))</f>
        <v/>
      </c>
      <c r="AL38" s="4">
        <f>IF(I38="","",--(I38=1))</f>
        <v/>
      </c>
      <c r="AM38" s="4">
        <f>IF(OR($B38="",J38=""),"",--(J38=$B38))</f>
        <v/>
      </c>
      <c r="AN38" s="4">
        <f>IF(OR($B38="",J38=""),"",IF($B38=1,--(J38=1),""))</f>
        <v/>
      </c>
      <c r="AO38" s="4">
        <f>IF(OR($B38="",J38=""),"",IF($B38=0,--(J38=0),""))</f>
        <v/>
      </c>
      <c r="AP38" s="4">
        <f>IF(J38="","",--(J38=1))</f>
        <v/>
      </c>
      <c r="AQ38" s="4">
        <f>IF(OR($B38="",K38=""),"",--(K38=$B38))</f>
        <v/>
      </c>
      <c r="AR38" s="4">
        <f>IF(OR($B38="",K38=""),"",IF($B38=1,--(K38=1),""))</f>
        <v/>
      </c>
      <c r="AS38" s="4">
        <f>IF(OR($B38="",K38=""),"",IF($B38=0,--(K38=0),""))</f>
        <v/>
      </c>
      <c r="AT38" s="4">
        <f>IF(K38="","",--(K38=1))</f>
        <v/>
      </c>
      <c r="AU38" s="4">
        <f>IF(OR($B38="",L38=""),"",--(L38=$B38))</f>
        <v/>
      </c>
      <c r="AV38" s="4">
        <f>IF(OR($B38="",L38=""),"",IF($B38=1,--(L38=1),""))</f>
        <v/>
      </c>
      <c r="AW38" s="4">
        <f>IF(OR($B38="",L38=""),"",IF($B38=0,--(L38=0),""))</f>
        <v/>
      </c>
      <c r="AX38" s="4">
        <f>IF(L38="","",--(L38=1))</f>
        <v/>
      </c>
      <c r="AY38" s="4">
        <f>IF(OR($B38="",M38=""),"",--(M38=$B38))</f>
        <v/>
      </c>
      <c r="AZ38" s="4">
        <f>IF(OR($B38="",M38=""),"",IF($B38=1,--(M38=1),""))</f>
        <v/>
      </c>
      <c r="BA38" s="4">
        <f>IF(OR($B38="",M38=""),"",IF($B38=0,--(M38=0),""))</f>
        <v/>
      </c>
      <c r="BB38" s="4">
        <f>IF(M38="","",--(M38=1))</f>
        <v/>
      </c>
      <c r="BC38" s="4">
        <f>IF(OR($B38="",N38=""),"",--(N38=$B38))</f>
        <v/>
      </c>
      <c r="BD38" s="4">
        <f>IF(OR($B38="",N38=""),"",IF($B38=1,--(N38=1),""))</f>
        <v/>
      </c>
      <c r="BE38" s="4">
        <f>IF(OR($B38="",N38=""),"",IF($B38=0,--(N38=0),""))</f>
        <v/>
      </c>
      <c r="BF38" s="4">
        <f>IF(N38="","",--(N38=1))</f>
        <v/>
      </c>
    </row>
    <row r="39">
      <c r="A39" s="3" t="inlineStr">
        <is>
          <t>201933061</t>
        </is>
      </c>
      <c r="B39" s="3" t="inlineStr">
        <is>
          <t>0</t>
        </is>
      </c>
      <c r="C39" s="3" t="inlineStr">
        <is>
          <t>Direct</t>
        </is>
      </c>
      <c r="D39" s="3" t="inlineStr">
        <is>
          <t>1</t>
        </is>
      </c>
      <c r="E39" s="3" t="inlineStr">
        <is>
          <t>0</t>
        </is>
      </c>
      <c r="F39" s="3" t="inlineStr">
        <is>
          <t>0</t>
        </is>
      </c>
      <c r="G39" s="3" t="inlineStr">
        <is>
          <t>0</t>
        </is>
      </c>
      <c r="H39" s="3" t="inlineStr">
        <is>
          <t>1</t>
        </is>
      </c>
      <c r="I39" s="3" t="inlineStr">
        <is>
          <t>0</t>
        </is>
      </c>
      <c r="J39" s="3" t="inlineStr">
        <is>
          <t>1</t>
        </is>
      </c>
      <c r="K39" s="3" t="inlineStr">
        <is>
          <t>1</t>
        </is>
      </c>
      <c r="L39" s="3" t="inlineStr">
        <is>
          <t>1</t>
        </is>
      </c>
      <c r="M39" s="3" t="inlineStr">
        <is>
          <t>1</t>
        </is>
      </c>
      <c r="N39" s="3" t="inlineStr">
        <is>
          <t>1</t>
        </is>
      </c>
      <c r="O39" s="4">
        <f>IF(OR($B39="",D39=""),"",--(D39=$B39))</f>
        <v/>
      </c>
      <c r="P39" s="4">
        <f>IF(OR($B39="",D39=""),"",IF($B39=1,--(D39=1),""))</f>
        <v/>
      </c>
      <c r="Q39" s="4">
        <f>IF(OR($B39="",D39=""),"",IF($B39=0,--(D39=0),""))</f>
        <v/>
      </c>
      <c r="R39" s="4">
        <f>IF(D39="","",--(D39=1))</f>
        <v/>
      </c>
      <c r="S39" s="4">
        <f>IF(OR($B39="",E39=""),"",--(E39=$B39))</f>
        <v/>
      </c>
      <c r="T39" s="4">
        <f>IF(OR($B39="",E39=""),"",IF($B39=1,--(E39=1),""))</f>
        <v/>
      </c>
      <c r="U39" s="4">
        <f>IF(OR($B39="",E39=""),"",IF($B39=0,--(E39=0),""))</f>
        <v/>
      </c>
      <c r="V39" s="4">
        <f>IF(E39="","",--(E39=1))</f>
        <v/>
      </c>
      <c r="W39" s="4">
        <f>IF(OR($B39="",F39=""),"",--(F39=$B39))</f>
        <v/>
      </c>
      <c r="X39" s="4">
        <f>IF(OR($B39="",F39=""),"",IF($B39=1,--(F39=1),""))</f>
        <v/>
      </c>
      <c r="Y39" s="4">
        <f>IF(OR($B39="",F39=""),"",IF($B39=0,--(F39=0),""))</f>
        <v/>
      </c>
      <c r="Z39" s="4">
        <f>IF(F39="","",--(F39=1))</f>
        <v/>
      </c>
      <c r="AA39" s="4">
        <f>IF(OR($B39="",G39=""),"",--(G39=$B39))</f>
        <v/>
      </c>
      <c r="AB39" s="4">
        <f>IF(OR($B39="",G39=""),"",IF($B39=1,--(G39=1),""))</f>
        <v/>
      </c>
      <c r="AC39" s="4">
        <f>IF(OR($B39="",G39=""),"",IF($B39=0,--(G39=0),""))</f>
        <v/>
      </c>
      <c r="AD39" s="4">
        <f>IF(G39="","",--(G39=1))</f>
        <v/>
      </c>
      <c r="AE39" s="4">
        <f>IF(OR($B39="",H39=""),"",--(H39=$B39))</f>
        <v/>
      </c>
      <c r="AF39" s="4">
        <f>IF(OR($B39="",H39=""),"",IF($B39=1,--(H39=1),""))</f>
        <v/>
      </c>
      <c r="AG39" s="4">
        <f>IF(OR($B39="",H39=""),"",IF($B39=0,--(H39=0),""))</f>
        <v/>
      </c>
      <c r="AH39" s="4">
        <f>IF(H39="","",--(H39=1))</f>
        <v/>
      </c>
      <c r="AI39" s="4">
        <f>IF(OR($B39="",I39=""),"",--(I39=$B39))</f>
        <v/>
      </c>
      <c r="AJ39" s="4">
        <f>IF(OR($B39="",I39=""),"",IF($B39=1,--(I39=1),""))</f>
        <v/>
      </c>
      <c r="AK39" s="4">
        <f>IF(OR($B39="",I39=""),"",IF($B39=0,--(I39=0),""))</f>
        <v/>
      </c>
      <c r="AL39" s="4">
        <f>IF(I39="","",--(I39=1))</f>
        <v/>
      </c>
      <c r="AM39" s="4">
        <f>IF(OR($B39="",J39=""),"",--(J39=$B39))</f>
        <v/>
      </c>
      <c r="AN39" s="4">
        <f>IF(OR($B39="",J39=""),"",IF($B39=1,--(J39=1),""))</f>
        <v/>
      </c>
      <c r="AO39" s="4">
        <f>IF(OR($B39="",J39=""),"",IF($B39=0,--(J39=0),""))</f>
        <v/>
      </c>
      <c r="AP39" s="4">
        <f>IF(J39="","",--(J39=1))</f>
        <v/>
      </c>
      <c r="AQ39" s="4">
        <f>IF(OR($B39="",K39=""),"",--(K39=$B39))</f>
        <v/>
      </c>
      <c r="AR39" s="4">
        <f>IF(OR($B39="",K39=""),"",IF($B39=1,--(K39=1),""))</f>
        <v/>
      </c>
      <c r="AS39" s="4">
        <f>IF(OR($B39="",K39=""),"",IF($B39=0,--(K39=0),""))</f>
        <v/>
      </c>
      <c r="AT39" s="4">
        <f>IF(K39="","",--(K39=1))</f>
        <v/>
      </c>
      <c r="AU39" s="4">
        <f>IF(OR($B39="",L39=""),"",--(L39=$B39))</f>
        <v/>
      </c>
      <c r="AV39" s="4">
        <f>IF(OR($B39="",L39=""),"",IF($B39=1,--(L39=1),""))</f>
        <v/>
      </c>
      <c r="AW39" s="4">
        <f>IF(OR($B39="",L39=""),"",IF($B39=0,--(L39=0),""))</f>
        <v/>
      </c>
      <c r="AX39" s="4">
        <f>IF(L39="","",--(L39=1))</f>
        <v/>
      </c>
      <c r="AY39" s="4">
        <f>IF(OR($B39="",M39=""),"",--(M39=$B39))</f>
        <v/>
      </c>
      <c r="AZ39" s="4">
        <f>IF(OR($B39="",M39=""),"",IF($B39=1,--(M39=1),""))</f>
        <v/>
      </c>
      <c r="BA39" s="4">
        <f>IF(OR($B39="",M39=""),"",IF($B39=0,--(M39=0),""))</f>
        <v/>
      </c>
      <c r="BB39" s="4">
        <f>IF(M39="","",--(M39=1))</f>
        <v/>
      </c>
      <c r="BC39" s="4">
        <f>IF(OR($B39="",N39=""),"",--(N39=$B39))</f>
        <v/>
      </c>
      <c r="BD39" s="4">
        <f>IF(OR($B39="",N39=""),"",IF($B39=1,--(N39=1),""))</f>
        <v/>
      </c>
      <c r="BE39" s="4">
        <f>IF(OR($B39="",N39=""),"",IF($B39=0,--(N39=0),""))</f>
        <v/>
      </c>
      <c r="BF39" s="4">
        <f>IF(N39="","",--(N39=1))</f>
        <v/>
      </c>
    </row>
    <row r="40">
      <c r="A40" s="3" t="inlineStr">
        <is>
          <t>201933495</t>
        </is>
      </c>
      <c r="B40" s="3" t="inlineStr">
        <is>
          <t>0</t>
        </is>
      </c>
      <c r="C40" s="3" t="inlineStr">
        <is>
          <t>Direct</t>
        </is>
      </c>
      <c r="D40" s="3" t="inlineStr">
        <is>
          <t>1</t>
        </is>
      </c>
      <c r="E40" s="3" t="inlineStr">
        <is>
          <t>0</t>
        </is>
      </c>
      <c r="F40" s="3" t="inlineStr">
        <is>
          <t>0</t>
        </is>
      </c>
      <c r="G40" s="3" t="inlineStr">
        <is>
          <t>0</t>
        </is>
      </c>
      <c r="H40" s="3" t="inlineStr">
        <is>
          <t>0</t>
        </is>
      </c>
      <c r="I40" s="3" t="inlineStr">
        <is>
          <t>0</t>
        </is>
      </c>
      <c r="J40" s="3" t="inlineStr">
        <is>
          <t>1</t>
        </is>
      </c>
      <c r="K40" s="3" t="inlineStr">
        <is>
          <t>1</t>
        </is>
      </c>
      <c r="L40" s="3" t="inlineStr">
        <is>
          <t>1</t>
        </is>
      </c>
      <c r="M40" s="3" t="inlineStr">
        <is>
          <t>1</t>
        </is>
      </c>
      <c r="N40" s="3" t="inlineStr">
        <is>
          <t>1</t>
        </is>
      </c>
      <c r="O40" s="4">
        <f>IF(OR($B40="",D40=""),"",--(D40=$B40))</f>
        <v/>
      </c>
      <c r="P40" s="4">
        <f>IF(OR($B40="",D40=""),"",IF($B40=1,--(D40=1),""))</f>
        <v/>
      </c>
      <c r="Q40" s="4">
        <f>IF(OR($B40="",D40=""),"",IF($B40=0,--(D40=0),""))</f>
        <v/>
      </c>
      <c r="R40" s="4">
        <f>IF(D40="","",--(D40=1))</f>
        <v/>
      </c>
      <c r="S40" s="4">
        <f>IF(OR($B40="",E40=""),"",--(E40=$B40))</f>
        <v/>
      </c>
      <c r="T40" s="4">
        <f>IF(OR($B40="",E40=""),"",IF($B40=1,--(E40=1),""))</f>
        <v/>
      </c>
      <c r="U40" s="4">
        <f>IF(OR($B40="",E40=""),"",IF($B40=0,--(E40=0),""))</f>
        <v/>
      </c>
      <c r="V40" s="4">
        <f>IF(E40="","",--(E40=1))</f>
        <v/>
      </c>
      <c r="W40" s="4">
        <f>IF(OR($B40="",F40=""),"",--(F40=$B40))</f>
        <v/>
      </c>
      <c r="X40" s="4">
        <f>IF(OR($B40="",F40=""),"",IF($B40=1,--(F40=1),""))</f>
        <v/>
      </c>
      <c r="Y40" s="4">
        <f>IF(OR($B40="",F40=""),"",IF($B40=0,--(F40=0),""))</f>
        <v/>
      </c>
      <c r="Z40" s="4">
        <f>IF(F40="","",--(F40=1))</f>
        <v/>
      </c>
      <c r="AA40" s="4">
        <f>IF(OR($B40="",G40=""),"",--(G40=$B40))</f>
        <v/>
      </c>
      <c r="AB40" s="4">
        <f>IF(OR($B40="",G40=""),"",IF($B40=1,--(G40=1),""))</f>
        <v/>
      </c>
      <c r="AC40" s="4">
        <f>IF(OR($B40="",G40=""),"",IF($B40=0,--(G40=0),""))</f>
        <v/>
      </c>
      <c r="AD40" s="4">
        <f>IF(G40="","",--(G40=1))</f>
        <v/>
      </c>
      <c r="AE40" s="4">
        <f>IF(OR($B40="",H40=""),"",--(H40=$B40))</f>
        <v/>
      </c>
      <c r="AF40" s="4">
        <f>IF(OR($B40="",H40=""),"",IF($B40=1,--(H40=1),""))</f>
        <v/>
      </c>
      <c r="AG40" s="4">
        <f>IF(OR($B40="",H40=""),"",IF($B40=0,--(H40=0),""))</f>
        <v/>
      </c>
      <c r="AH40" s="4">
        <f>IF(H40="","",--(H40=1))</f>
        <v/>
      </c>
      <c r="AI40" s="4">
        <f>IF(OR($B40="",I40=""),"",--(I40=$B40))</f>
        <v/>
      </c>
      <c r="AJ40" s="4">
        <f>IF(OR($B40="",I40=""),"",IF($B40=1,--(I40=1),""))</f>
        <v/>
      </c>
      <c r="AK40" s="4">
        <f>IF(OR($B40="",I40=""),"",IF($B40=0,--(I40=0),""))</f>
        <v/>
      </c>
      <c r="AL40" s="4">
        <f>IF(I40="","",--(I40=1))</f>
        <v/>
      </c>
      <c r="AM40" s="4">
        <f>IF(OR($B40="",J40=""),"",--(J40=$B40))</f>
        <v/>
      </c>
      <c r="AN40" s="4">
        <f>IF(OR($B40="",J40=""),"",IF($B40=1,--(J40=1),""))</f>
        <v/>
      </c>
      <c r="AO40" s="4">
        <f>IF(OR($B40="",J40=""),"",IF($B40=0,--(J40=0),""))</f>
        <v/>
      </c>
      <c r="AP40" s="4">
        <f>IF(J40="","",--(J40=1))</f>
        <v/>
      </c>
      <c r="AQ40" s="4">
        <f>IF(OR($B40="",K40=""),"",--(K40=$B40))</f>
        <v/>
      </c>
      <c r="AR40" s="4">
        <f>IF(OR($B40="",K40=""),"",IF($B40=1,--(K40=1),""))</f>
        <v/>
      </c>
      <c r="AS40" s="4">
        <f>IF(OR($B40="",K40=""),"",IF($B40=0,--(K40=0),""))</f>
        <v/>
      </c>
      <c r="AT40" s="4">
        <f>IF(K40="","",--(K40=1))</f>
        <v/>
      </c>
      <c r="AU40" s="4">
        <f>IF(OR($B40="",L40=""),"",--(L40=$B40))</f>
        <v/>
      </c>
      <c r="AV40" s="4">
        <f>IF(OR($B40="",L40=""),"",IF($B40=1,--(L40=1),""))</f>
        <v/>
      </c>
      <c r="AW40" s="4">
        <f>IF(OR($B40="",L40=""),"",IF($B40=0,--(L40=0),""))</f>
        <v/>
      </c>
      <c r="AX40" s="4">
        <f>IF(L40="","",--(L40=1))</f>
        <v/>
      </c>
      <c r="AY40" s="4">
        <f>IF(OR($B40="",M40=""),"",--(M40=$B40))</f>
        <v/>
      </c>
      <c r="AZ40" s="4">
        <f>IF(OR($B40="",M40=""),"",IF($B40=1,--(M40=1),""))</f>
        <v/>
      </c>
      <c r="BA40" s="4">
        <f>IF(OR($B40="",M40=""),"",IF($B40=0,--(M40=0),""))</f>
        <v/>
      </c>
      <c r="BB40" s="4">
        <f>IF(M40="","",--(M40=1))</f>
        <v/>
      </c>
      <c r="BC40" s="4">
        <f>IF(OR($B40="",N40=""),"",--(N40=$B40))</f>
        <v/>
      </c>
      <c r="BD40" s="4">
        <f>IF(OR($B40="",N40=""),"",IF($B40=1,--(N40=1),""))</f>
        <v/>
      </c>
      <c r="BE40" s="4">
        <f>IF(OR($B40="",N40=""),"",IF($B40=0,--(N40=0),""))</f>
        <v/>
      </c>
      <c r="BF40" s="4">
        <f>IF(N40="","",--(N40=1))</f>
        <v/>
      </c>
    </row>
    <row r="41">
      <c r="A41" s="3" t="inlineStr">
        <is>
          <t>201934191</t>
        </is>
      </c>
      <c r="B41" s="3" t="inlineStr">
        <is>
          <t>0</t>
        </is>
      </c>
      <c r="C41" s="3" t="inlineStr">
        <is>
          <t>Direct</t>
        </is>
      </c>
      <c r="D41" s="3" t="inlineStr">
        <is>
          <t>1</t>
        </is>
      </c>
      <c r="E41" s="3" t="inlineStr">
        <is>
          <t>1</t>
        </is>
      </c>
      <c r="F41" s="3" t="inlineStr">
        <is>
          <t>0</t>
        </is>
      </c>
      <c r="G41" s="3" t="inlineStr">
        <is>
          <t>0</t>
        </is>
      </c>
      <c r="H41" s="3" t="inlineStr">
        <is>
          <t>0</t>
        </is>
      </c>
      <c r="I41" s="3" t="inlineStr">
        <is>
          <t>0</t>
        </is>
      </c>
      <c r="J41" s="3" t="inlineStr">
        <is>
          <t>1</t>
        </is>
      </c>
      <c r="K41" s="3" t="inlineStr">
        <is>
          <t>0</t>
        </is>
      </c>
      <c r="L41" s="3" t="inlineStr">
        <is>
          <t>1</t>
        </is>
      </c>
      <c r="M41" s="3" t="inlineStr">
        <is>
          <t>1</t>
        </is>
      </c>
      <c r="N41" s="3" t="inlineStr">
        <is>
          <t>0</t>
        </is>
      </c>
      <c r="O41" s="4">
        <f>IF(OR($B41="",D41=""),"",--(D41=$B41))</f>
        <v/>
      </c>
      <c r="P41" s="4">
        <f>IF(OR($B41="",D41=""),"",IF($B41=1,--(D41=1),""))</f>
        <v/>
      </c>
      <c r="Q41" s="4">
        <f>IF(OR($B41="",D41=""),"",IF($B41=0,--(D41=0),""))</f>
        <v/>
      </c>
      <c r="R41" s="4">
        <f>IF(D41="","",--(D41=1))</f>
        <v/>
      </c>
      <c r="S41" s="4">
        <f>IF(OR($B41="",E41=""),"",--(E41=$B41))</f>
        <v/>
      </c>
      <c r="T41" s="4">
        <f>IF(OR($B41="",E41=""),"",IF($B41=1,--(E41=1),""))</f>
        <v/>
      </c>
      <c r="U41" s="4">
        <f>IF(OR($B41="",E41=""),"",IF($B41=0,--(E41=0),""))</f>
        <v/>
      </c>
      <c r="V41" s="4">
        <f>IF(E41="","",--(E41=1))</f>
        <v/>
      </c>
      <c r="W41" s="4">
        <f>IF(OR($B41="",F41=""),"",--(F41=$B41))</f>
        <v/>
      </c>
      <c r="X41" s="4">
        <f>IF(OR($B41="",F41=""),"",IF($B41=1,--(F41=1),""))</f>
        <v/>
      </c>
      <c r="Y41" s="4">
        <f>IF(OR($B41="",F41=""),"",IF($B41=0,--(F41=0),""))</f>
        <v/>
      </c>
      <c r="Z41" s="4">
        <f>IF(F41="","",--(F41=1))</f>
        <v/>
      </c>
      <c r="AA41" s="4">
        <f>IF(OR($B41="",G41=""),"",--(G41=$B41))</f>
        <v/>
      </c>
      <c r="AB41" s="4">
        <f>IF(OR($B41="",G41=""),"",IF($B41=1,--(G41=1),""))</f>
        <v/>
      </c>
      <c r="AC41" s="4">
        <f>IF(OR($B41="",G41=""),"",IF($B41=0,--(G41=0),""))</f>
        <v/>
      </c>
      <c r="AD41" s="4">
        <f>IF(G41="","",--(G41=1))</f>
        <v/>
      </c>
      <c r="AE41" s="4">
        <f>IF(OR($B41="",H41=""),"",--(H41=$B41))</f>
        <v/>
      </c>
      <c r="AF41" s="4">
        <f>IF(OR($B41="",H41=""),"",IF($B41=1,--(H41=1),""))</f>
        <v/>
      </c>
      <c r="AG41" s="4">
        <f>IF(OR($B41="",H41=""),"",IF($B41=0,--(H41=0),""))</f>
        <v/>
      </c>
      <c r="AH41" s="4">
        <f>IF(H41="","",--(H41=1))</f>
        <v/>
      </c>
      <c r="AI41" s="4">
        <f>IF(OR($B41="",I41=""),"",--(I41=$B41))</f>
        <v/>
      </c>
      <c r="AJ41" s="4">
        <f>IF(OR($B41="",I41=""),"",IF($B41=1,--(I41=1),""))</f>
        <v/>
      </c>
      <c r="AK41" s="4">
        <f>IF(OR($B41="",I41=""),"",IF($B41=0,--(I41=0),""))</f>
        <v/>
      </c>
      <c r="AL41" s="4">
        <f>IF(I41="","",--(I41=1))</f>
        <v/>
      </c>
      <c r="AM41" s="4">
        <f>IF(OR($B41="",J41=""),"",--(J41=$B41))</f>
        <v/>
      </c>
      <c r="AN41" s="4">
        <f>IF(OR($B41="",J41=""),"",IF($B41=1,--(J41=1),""))</f>
        <v/>
      </c>
      <c r="AO41" s="4">
        <f>IF(OR($B41="",J41=""),"",IF($B41=0,--(J41=0),""))</f>
        <v/>
      </c>
      <c r="AP41" s="4">
        <f>IF(J41="","",--(J41=1))</f>
        <v/>
      </c>
      <c r="AQ41" s="4">
        <f>IF(OR($B41="",K41=""),"",--(K41=$B41))</f>
        <v/>
      </c>
      <c r="AR41" s="4">
        <f>IF(OR($B41="",K41=""),"",IF($B41=1,--(K41=1),""))</f>
        <v/>
      </c>
      <c r="AS41" s="4">
        <f>IF(OR($B41="",K41=""),"",IF($B41=0,--(K41=0),""))</f>
        <v/>
      </c>
      <c r="AT41" s="4">
        <f>IF(K41="","",--(K41=1))</f>
        <v/>
      </c>
      <c r="AU41" s="4">
        <f>IF(OR($B41="",L41=""),"",--(L41=$B41))</f>
        <v/>
      </c>
      <c r="AV41" s="4">
        <f>IF(OR($B41="",L41=""),"",IF($B41=1,--(L41=1),""))</f>
        <v/>
      </c>
      <c r="AW41" s="4">
        <f>IF(OR($B41="",L41=""),"",IF($B41=0,--(L41=0),""))</f>
        <v/>
      </c>
      <c r="AX41" s="4">
        <f>IF(L41="","",--(L41=1))</f>
        <v/>
      </c>
      <c r="AY41" s="4">
        <f>IF(OR($B41="",M41=""),"",--(M41=$B41))</f>
        <v/>
      </c>
      <c r="AZ41" s="4">
        <f>IF(OR($B41="",M41=""),"",IF($B41=1,--(M41=1),""))</f>
        <v/>
      </c>
      <c r="BA41" s="4">
        <f>IF(OR($B41="",M41=""),"",IF($B41=0,--(M41=0),""))</f>
        <v/>
      </c>
      <c r="BB41" s="4">
        <f>IF(M41="","",--(M41=1))</f>
        <v/>
      </c>
      <c r="BC41" s="4">
        <f>IF(OR($B41="",N41=""),"",--(N41=$B41))</f>
        <v/>
      </c>
      <c r="BD41" s="4">
        <f>IF(OR($B41="",N41=""),"",IF($B41=1,--(N41=1),""))</f>
        <v/>
      </c>
      <c r="BE41" s="4">
        <f>IF(OR($B41="",N41=""),"",IF($B41=0,--(N41=0),""))</f>
        <v/>
      </c>
      <c r="BF41" s="4">
        <f>IF(N41="","",--(N41=1))</f>
        <v/>
      </c>
    </row>
    <row r="42">
      <c r="A42" s="3" t="inlineStr">
        <is>
          <t>201935402</t>
        </is>
      </c>
      <c r="B42" s="3" t="inlineStr">
        <is>
          <t>0</t>
        </is>
      </c>
      <c r="C42" s="3" t="inlineStr">
        <is>
          <t>Direct</t>
        </is>
      </c>
      <c r="D42" s="3" t="inlineStr">
        <is>
          <t>1</t>
        </is>
      </c>
      <c r="E42" s="3" t="inlineStr">
        <is>
          <t>1</t>
        </is>
      </c>
      <c r="F42" s="3" t="inlineStr">
        <is>
          <t>1</t>
        </is>
      </c>
      <c r="G42" s="3" t="inlineStr">
        <is>
          <t>1</t>
        </is>
      </c>
      <c r="H42" s="3" t="inlineStr">
        <is>
          <t>1</t>
        </is>
      </c>
      <c r="I42" s="3" t="inlineStr">
        <is>
          <t>1</t>
        </is>
      </c>
      <c r="J42" s="3" t="inlineStr">
        <is>
          <t>1</t>
        </is>
      </c>
      <c r="K42" s="3" t="inlineStr">
        <is>
          <t>1</t>
        </is>
      </c>
      <c r="L42" s="3" t="inlineStr">
        <is>
          <t>1</t>
        </is>
      </c>
      <c r="M42" s="3" t="inlineStr">
        <is>
          <t>1</t>
        </is>
      </c>
      <c r="N42" s="3" t="inlineStr">
        <is>
          <t>1</t>
        </is>
      </c>
      <c r="O42" s="4">
        <f>IF(OR($B42="",D42=""),"",--(D42=$B42))</f>
        <v/>
      </c>
      <c r="P42" s="4">
        <f>IF(OR($B42="",D42=""),"",IF($B42=1,--(D42=1),""))</f>
        <v/>
      </c>
      <c r="Q42" s="4">
        <f>IF(OR($B42="",D42=""),"",IF($B42=0,--(D42=0),""))</f>
        <v/>
      </c>
      <c r="R42" s="4">
        <f>IF(D42="","",--(D42=1))</f>
        <v/>
      </c>
      <c r="S42" s="4">
        <f>IF(OR($B42="",E42=""),"",--(E42=$B42))</f>
        <v/>
      </c>
      <c r="T42" s="4">
        <f>IF(OR($B42="",E42=""),"",IF($B42=1,--(E42=1),""))</f>
        <v/>
      </c>
      <c r="U42" s="4">
        <f>IF(OR($B42="",E42=""),"",IF($B42=0,--(E42=0),""))</f>
        <v/>
      </c>
      <c r="V42" s="4">
        <f>IF(E42="","",--(E42=1))</f>
        <v/>
      </c>
      <c r="W42" s="4">
        <f>IF(OR($B42="",F42=""),"",--(F42=$B42))</f>
        <v/>
      </c>
      <c r="X42" s="4">
        <f>IF(OR($B42="",F42=""),"",IF($B42=1,--(F42=1),""))</f>
        <v/>
      </c>
      <c r="Y42" s="4">
        <f>IF(OR($B42="",F42=""),"",IF($B42=0,--(F42=0),""))</f>
        <v/>
      </c>
      <c r="Z42" s="4">
        <f>IF(F42="","",--(F42=1))</f>
        <v/>
      </c>
      <c r="AA42" s="4">
        <f>IF(OR($B42="",G42=""),"",--(G42=$B42))</f>
        <v/>
      </c>
      <c r="AB42" s="4">
        <f>IF(OR($B42="",G42=""),"",IF($B42=1,--(G42=1),""))</f>
        <v/>
      </c>
      <c r="AC42" s="4">
        <f>IF(OR($B42="",G42=""),"",IF($B42=0,--(G42=0),""))</f>
        <v/>
      </c>
      <c r="AD42" s="4">
        <f>IF(G42="","",--(G42=1))</f>
        <v/>
      </c>
      <c r="AE42" s="4">
        <f>IF(OR($B42="",H42=""),"",--(H42=$B42))</f>
        <v/>
      </c>
      <c r="AF42" s="4">
        <f>IF(OR($B42="",H42=""),"",IF($B42=1,--(H42=1),""))</f>
        <v/>
      </c>
      <c r="AG42" s="4">
        <f>IF(OR($B42="",H42=""),"",IF($B42=0,--(H42=0),""))</f>
        <v/>
      </c>
      <c r="AH42" s="4">
        <f>IF(H42="","",--(H42=1))</f>
        <v/>
      </c>
      <c r="AI42" s="4">
        <f>IF(OR($B42="",I42=""),"",--(I42=$B42))</f>
        <v/>
      </c>
      <c r="AJ42" s="4">
        <f>IF(OR($B42="",I42=""),"",IF($B42=1,--(I42=1),""))</f>
        <v/>
      </c>
      <c r="AK42" s="4">
        <f>IF(OR($B42="",I42=""),"",IF($B42=0,--(I42=0),""))</f>
        <v/>
      </c>
      <c r="AL42" s="4">
        <f>IF(I42="","",--(I42=1))</f>
        <v/>
      </c>
      <c r="AM42" s="4">
        <f>IF(OR($B42="",J42=""),"",--(J42=$B42))</f>
        <v/>
      </c>
      <c r="AN42" s="4">
        <f>IF(OR($B42="",J42=""),"",IF($B42=1,--(J42=1),""))</f>
        <v/>
      </c>
      <c r="AO42" s="4">
        <f>IF(OR($B42="",J42=""),"",IF($B42=0,--(J42=0),""))</f>
        <v/>
      </c>
      <c r="AP42" s="4">
        <f>IF(J42="","",--(J42=1))</f>
        <v/>
      </c>
      <c r="AQ42" s="4">
        <f>IF(OR($B42="",K42=""),"",--(K42=$B42))</f>
        <v/>
      </c>
      <c r="AR42" s="4">
        <f>IF(OR($B42="",K42=""),"",IF($B42=1,--(K42=1),""))</f>
        <v/>
      </c>
      <c r="AS42" s="4">
        <f>IF(OR($B42="",K42=""),"",IF($B42=0,--(K42=0),""))</f>
        <v/>
      </c>
      <c r="AT42" s="4">
        <f>IF(K42="","",--(K42=1))</f>
        <v/>
      </c>
      <c r="AU42" s="4">
        <f>IF(OR($B42="",L42=""),"",--(L42=$B42))</f>
        <v/>
      </c>
      <c r="AV42" s="4">
        <f>IF(OR($B42="",L42=""),"",IF($B42=1,--(L42=1),""))</f>
        <v/>
      </c>
      <c r="AW42" s="4">
        <f>IF(OR($B42="",L42=""),"",IF($B42=0,--(L42=0),""))</f>
        <v/>
      </c>
      <c r="AX42" s="4">
        <f>IF(L42="","",--(L42=1))</f>
        <v/>
      </c>
      <c r="AY42" s="4">
        <f>IF(OR($B42="",M42=""),"",--(M42=$B42))</f>
        <v/>
      </c>
      <c r="AZ42" s="4">
        <f>IF(OR($B42="",M42=""),"",IF($B42=1,--(M42=1),""))</f>
        <v/>
      </c>
      <c r="BA42" s="4">
        <f>IF(OR($B42="",M42=""),"",IF($B42=0,--(M42=0),""))</f>
        <v/>
      </c>
      <c r="BB42" s="4">
        <f>IF(M42="","",--(M42=1))</f>
        <v/>
      </c>
      <c r="BC42" s="4">
        <f>IF(OR($B42="",N42=""),"",--(N42=$B42))</f>
        <v/>
      </c>
      <c r="BD42" s="4">
        <f>IF(OR($B42="",N42=""),"",IF($B42=1,--(N42=1),""))</f>
        <v/>
      </c>
      <c r="BE42" s="4">
        <f>IF(OR($B42="",N42=""),"",IF($B42=0,--(N42=0),""))</f>
        <v/>
      </c>
      <c r="BF42" s="4">
        <f>IF(N42="","",--(N42=1))</f>
        <v/>
      </c>
    </row>
    <row r="43">
      <c r="A43" s="3" t="inlineStr">
        <is>
          <t>201935586</t>
        </is>
      </c>
      <c r="B43" s="3" t="inlineStr">
        <is>
          <t>0</t>
        </is>
      </c>
      <c r="C43" s="3" t="inlineStr">
        <is>
          <t>Direct</t>
        </is>
      </c>
      <c r="D43" s="3" t="inlineStr">
        <is>
          <t>1</t>
        </is>
      </c>
      <c r="E43" s="3" t="inlineStr">
        <is>
          <t>0</t>
        </is>
      </c>
      <c r="F43" s="3" t="inlineStr">
        <is>
          <t>0</t>
        </is>
      </c>
      <c r="G43" s="3" t="inlineStr">
        <is>
          <t>0</t>
        </is>
      </c>
      <c r="H43" s="3" t="inlineStr">
        <is>
          <t>0</t>
        </is>
      </c>
      <c r="I43" s="3" t="inlineStr">
        <is>
          <t>1</t>
        </is>
      </c>
      <c r="J43" s="3" t="inlineStr">
        <is>
          <t>1</t>
        </is>
      </c>
      <c r="K43" s="3" t="inlineStr">
        <is>
          <t>1</t>
        </is>
      </c>
      <c r="L43" s="3" t="inlineStr">
        <is>
          <t>1</t>
        </is>
      </c>
      <c r="M43" s="3" t="inlineStr">
        <is>
          <t>1</t>
        </is>
      </c>
      <c r="N43" s="3" t="inlineStr">
        <is>
          <t>1</t>
        </is>
      </c>
      <c r="O43" s="4">
        <f>IF(OR($B43="",D43=""),"",--(D43=$B43))</f>
        <v/>
      </c>
      <c r="P43" s="4">
        <f>IF(OR($B43="",D43=""),"",IF($B43=1,--(D43=1),""))</f>
        <v/>
      </c>
      <c r="Q43" s="4">
        <f>IF(OR($B43="",D43=""),"",IF($B43=0,--(D43=0),""))</f>
        <v/>
      </c>
      <c r="R43" s="4">
        <f>IF(D43="","",--(D43=1))</f>
        <v/>
      </c>
      <c r="S43" s="4">
        <f>IF(OR($B43="",E43=""),"",--(E43=$B43))</f>
        <v/>
      </c>
      <c r="T43" s="4">
        <f>IF(OR($B43="",E43=""),"",IF($B43=1,--(E43=1),""))</f>
        <v/>
      </c>
      <c r="U43" s="4">
        <f>IF(OR($B43="",E43=""),"",IF($B43=0,--(E43=0),""))</f>
        <v/>
      </c>
      <c r="V43" s="4">
        <f>IF(E43="","",--(E43=1))</f>
        <v/>
      </c>
      <c r="W43" s="4">
        <f>IF(OR($B43="",F43=""),"",--(F43=$B43))</f>
        <v/>
      </c>
      <c r="X43" s="4">
        <f>IF(OR($B43="",F43=""),"",IF($B43=1,--(F43=1),""))</f>
        <v/>
      </c>
      <c r="Y43" s="4">
        <f>IF(OR($B43="",F43=""),"",IF($B43=0,--(F43=0),""))</f>
        <v/>
      </c>
      <c r="Z43" s="4">
        <f>IF(F43="","",--(F43=1))</f>
        <v/>
      </c>
      <c r="AA43" s="4">
        <f>IF(OR($B43="",G43=""),"",--(G43=$B43))</f>
        <v/>
      </c>
      <c r="AB43" s="4">
        <f>IF(OR($B43="",G43=""),"",IF($B43=1,--(G43=1),""))</f>
        <v/>
      </c>
      <c r="AC43" s="4">
        <f>IF(OR($B43="",G43=""),"",IF($B43=0,--(G43=0),""))</f>
        <v/>
      </c>
      <c r="AD43" s="4">
        <f>IF(G43="","",--(G43=1))</f>
        <v/>
      </c>
      <c r="AE43" s="4">
        <f>IF(OR($B43="",H43=""),"",--(H43=$B43))</f>
        <v/>
      </c>
      <c r="AF43" s="4">
        <f>IF(OR($B43="",H43=""),"",IF($B43=1,--(H43=1),""))</f>
        <v/>
      </c>
      <c r="AG43" s="4">
        <f>IF(OR($B43="",H43=""),"",IF($B43=0,--(H43=0),""))</f>
        <v/>
      </c>
      <c r="AH43" s="4">
        <f>IF(H43="","",--(H43=1))</f>
        <v/>
      </c>
      <c r="AI43" s="4">
        <f>IF(OR($B43="",I43=""),"",--(I43=$B43))</f>
        <v/>
      </c>
      <c r="AJ43" s="4">
        <f>IF(OR($B43="",I43=""),"",IF($B43=1,--(I43=1),""))</f>
        <v/>
      </c>
      <c r="AK43" s="4">
        <f>IF(OR($B43="",I43=""),"",IF($B43=0,--(I43=0),""))</f>
        <v/>
      </c>
      <c r="AL43" s="4">
        <f>IF(I43="","",--(I43=1))</f>
        <v/>
      </c>
      <c r="AM43" s="4">
        <f>IF(OR($B43="",J43=""),"",--(J43=$B43))</f>
        <v/>
      </c>
      <c r="AN43" s="4">
        <f>IF(OR($B43="",J43=""),"",IF($B43=1,--(J43=1),""))</f>
        <v/>
      </c>
      <c r="AO43" s="4">
        <f>IF(OR($B43="",J43=""),"",IF($B43=0,--(J43=0),""))</f>
        <v/>
      </c>
      <c r="AP43" s="4">
        <f>IF(J43="","",--(J43=1))</f>
        <v/>
      </c>
      <c r="AQ43" s="4">
        <f>IF(OR($B43="",K43=""),"",--(K43=$B43))</f>
        <v/>
      </c>
      <c r="AR43" s="4">
        <f>IF(OR($B43="",K43=""),"",IF($B43=1,--(K43=1),""))</f>
        <v/>
      </c>
      <c r="AS43" s="4">
        <f>IF(OR($B43="",K43=""),"",IF($B43=0,--(K43=0),""))</f>
        <v/>
      </c>
      <c r="AT43" s="4">
        <f>IF(K43="","",--(K43=1))</f>
        <v/>
      </c>
      <c r="AU43" s="4">
        <f>IF(OR($B43="",L43=""),"",--(L43=$B43))</f>
        <v/>
      </c>
      <c r="AV43" s="4">
        <f>IF(OR($B43="",L43=""),"",IF($B43=1,--(L43=1),""))</f>
        <v/>
      </c>
      <c r="AW43" s="4">
        <f>IF(OR($B43="",L43=""),"",IF($B43=0,--(L43=0),""))</f>
        <v/>
      </c>
      <c r="AX43" s="4">
        <f>IF(L43="","",--(L43=1))</f>
        <v/>
      </c>
      <c r="AY43" s="4">
        <f>IF(OR($B43="",M43=""),"",--(M43=$B43))</f>
        <v/>
      </c>
      <c r="AZ43" s="4">
        <f>IF(OR($B43="",M43=""),"",IF($B43=1,--(M43=1),""))</f>
        <v/>
      </c>
      <c r="BA43" s="4">
        <f>IF(OR($B43="",M43=""),"",IF($B43=0,--(M43=0),""))</f>
        <v/>
      </c>
      <c r="BB43" s="4">
        <f>IF(M43="","",--(M43=1))</f>
        <v/>
      </c>
      <c r="BC43" s="4">
        <f>IF(OR($B43="",N43=""),"",--(N43=$B43))</f>
        <v/>
      </c>
      <c r="BD43" s="4">
        <f>IF(OR($B43="",N43=""),"",IF($B43=1,--(N43=1),""))</f>
        <v/>
      </c>
      <c r="BE43" s="4">
        <f>IF(OR($B43="",N43=""),"",IF($B43=0,--(N43=0),""))</f>
        <v/>
      </c>
      <c r="BF43" s="4">
        <f>IF(N43="","",--(N43=1))</f>
        <v/>
      </c>
    </row>
    <row r="44">
      <c r="A44" s="3" t="inlineStr">
        <is>
          <t>201935817</t>
        </is>
      </c>
      <c r="B44" s="3" t="inlineStr">
        <is>
          <t>1</t>
        </is>
      </c>
      <c r="C44" s="3" t="inlineStr">
        <is>
          <t>Direct</t>
        </is>
      </c>
      <c r="D44" s="3" t="inlineStr">
        <is>
          <t>1</t>
        </is>
      </c>
      <c r="E44" s="3" t="inlineStr">
        <is>
          <t>1</t>
        </is>
      </c>
      <c r="F44" s="3" t="inlineStr">
        <is>
          <t>0</t>
        </is>
      </c>
      <c r="G44" s="3" t="inlineStr">
        <is>
          <t>1</t>
        </is>
      </c>
      <c r="H44" s="3" t="inlineStr">
        <is>
          <t>0</t>
        </is>
      </c>
      <c r="I44" s="3" t="inlineStr">
        <is>
          <t>1</t>
        </is>
      </c>
      <c r="J44" s="3" t="inlineStr">
        <is>
          <t>1</t>
        </is>
      </c>
      <c r="K44" s="3" t="inlineStr">
        <is>
          <t>1</t>
        </is>
      </c>
      <c r="L44" s="3" t="inlineStr">
        <is>
          <t>1</t>
        </is>
      </c>
      <c r="M44" s="3" t="inlineStr">
        <is>
          <t>1</t>
        </is>
      </c>
      <c r="N44" s="3" t="inlineStr">
        <is>
          <t>1</t>
        </is>
      </c>
      <c r="O44" s="4">
        <f>IF(OR($B44="",D44=""),"",--(D44=$B44))</f>
        <v/>
      </c>
      <c r="P44" s="4">
        <f>IF(OR($B44="",D44=""),"",IF($B44=1,--(D44=1),""))</f>
        <v/>
      </c>
      <c r="Q44" s="4">
        <f>IF(OR($B44="",D44=""),"",IF($B44=0,--(D44=0),""))</f>
        <v/>
      </c>
      <c r="R44" s="4">
        <f>IF(D44="","",--(D44=1))</f>
        <v/>
      </c>
      <c r="S44" s="4">
        <f>IF(OR($B44="",E44=""),"",--(E44=$B44))</f>
        <v/>
      </c>
      <c r="T44" s="4">
        <f>IF(OR($B44="",E44=""),"",IF($B44=1,--(E44=1),""))</f>
        <v/>
      </c>
      <c r="U44" s="4">
        <f>IF(OR($B44="",E44=""),"",IF($B44=0,--(E44=0),""))</f>
        <v/>
      </c>
      <c r="V44" s="4">
        <f>IF(E44="","",--(E44=1))</f>
        <v/>
      </c>
      <c r="W44" s="4">
        <f>IF(OR($B44="",F44=""),"",--(F44=$B44))</f>
        <v/>
      </c>
      <c r="X44" s="4">
        <f>IF(OR($B44="",F44=""),"",IF($B44=1,--(F44=1),""))</f>
        <v/>
      </c>
      <c r="Y44" s="4">
        <f>IF(OR($B44="",F44=""),"",IF($B44=0,--(F44=0),""))</f>
        <v/>
      </c>
      <c r="Z44" s="4">
        <f>IF(F44="","",--(F44=1))</f>
        <v/>
      </c>
      <c r="AA44" s="4">
        <f>IF(OR($B44="",G44=""),"",--(G44=$B44))</f>
        <v/>
      </c>
      <c r="AB44" s="4">
        <f>IF(OR($B44="",G44=""),"",IF($B44=1,--(G44=1),""))</f>
        <v/>
      </c>
      <c r="AC44" s="4">
        <f>IF(OR($B44="",G44=""),"",IF($B44=0,--(G44=0),""))</f>
        <v/>
      </c>
      <c r="AD44" s="4">
        <f>IF(G44="","",--(G44=1))</f>
        <v/>
      </c>
      <c r="AE44" s="4">
        <f>IF(OR($B44="",H44=""),"",--(H44=$B44))</f>
        <v/>
      </c>
      <c r="AF44" s="4">
        <f>IF(OR($B44="",H44=""),"",IF($B44=1,--(H44=1),""))</f>
        <v/>
      </c>
      <c r="AG44" s="4">
        <f>IF(OR($B44="",H44=""),"",IF($B44=0,--(H44=0),""))</f>
        <v/>
      </c>
      <c r="AH44" s="4">
        <f>IF(H44="","",--(H44=1))</f>
        <v/>
      </c>
      <c r="AI44" s="4">
        <f>IF(OR($B44="",I44=""),"",--(I44=$B44))</f>
        <v/>
      </c>
      <c r="AJ44" s="4">
        <f>IF(OR($B44="",I44=""),"",IF($B44=1,--(I44=1),""))</f>
        <v/>
      </c>
      <c r="AK44" s="4">
        <f>IF(OR($B44="",I44=""),"",IF($B44=0,--(I44=0),""))</f>
        <v/>
      </c>
      <c r="AL44" s="4">
        <f>IF(I44="","",--(I44=1))</f>
        <v/>
      </c>
      <c r="AM44" s="4">
        <f>IF(OR($B44="",J44=""),"",--(J44=$B44))</f>
        <v/>
      </c>
      <c r="AN44" s="4">
        <f>IF(OR($B44="",J44=""),"",IF($B44=1,--(J44=1),""))</f>
        <v/>
      </c>
      <c r="AO44" s="4">
        <f>IF(OR($B44="",J44=""),"",IF($B44=0,--(J44=0),""))</f>
        <v/>
      </c>
      <c r="AP44" s="4">
        <f>IF(J44="","",--(J44=1))</f>
        <v/>
      </c>
      <c r="AQ44" s="4">
        <f>IF(OR($B44="",K44=""),"",--(K44=$B44))</f>
        <v/>
      </c>
      <c r="AR44" s="4">
        <f>IF(OR($B44="",K44=""),"",IF($B44=1,--(K44=1),""))</f>
        <v/>
      </c>
      <c r="AS44" s="4">
        <f>IF(OR($B44="",K44=""),"",IF($B44=0,--(K44=0),""))</f>
        <v/>
      </c>
      <c r="AT44" s="4">
        <f>IF(K44="","",--(K44=1))</f>
        <v/>
      </c>
      <c r="AU44" s="4">
        <f>IF(OR($B44="",L44=""),"",--(L44=$B44))</f>
        <v/>
      </c>
      <c r="AV44" s="4">
        <f>IF(OR($B44="",L44=""),"",IF($B44=1,--(L44=1),""))</f>
        <v/>
      </c>
      <c r="AW44" s="4">
        <f>IF(OR($B44="",L44=""),"",IF($B44=0,--(L44=0),""))</f>
        <v/>
      </c>
      <c r="AX44" s="4">
        <f>IF(L44="","",--(L44=1))</f>
        <v/>
      </c>
      <c r="AY44" s="4">
        <f>IF(OR($B44="",M44=""),"",--(M44=$B44))</f>
        <v/>
      </c>
      <c r="AZ44" s="4">
        <f>IF(OR($B44="",M44=""),"",IF($B44=1,--(M44=1),""))</f>
        <v/>
      </c>
      <c r="BA44" s="4">
        <f>IF(OR($B44="",M44=""),"",IF($B44=0,--(M44=0),""))</f>
        <v/>
      </c>
      <c r="BB44" s="4">
        <f>IF(M44="","",--(M44=1))</f>
        <v/>
      </c>
      <c r="BC44" s="4">
        <f>IF(OR($B44="",N44=""),"",--(N44=$B44))</f>
        <v/>
      </c>
      <c r="BD44" s="4">
        <f>IF(OR($B44="",N44=""),"",IF($B44=1,--(N44=1),""))</f>
        <v/>
      </c>
      <c r="BE44" s="4">
        <f>IF(OR($B44="",N44=""),"",IF($B44=0,--(N44=0),""))</f>
        <v/>
      </c>
      <c r="BF44" s="4">
        <f>IF(N44="","",--(N44=1))</f>
        <v/>
      </c>
    </row>
    <row r="45">
      <c r="A45" s="3" t="inlineStr">
        <is>
          <t>201936152</t>
        </is>
      </c>
      <c r="B45" s="3" t="inlineStr">
        <is>
          <t>0</t>
        </is>
      </c>
      <c r="C45" s="3" t="inlineStr">
        <is>
          <t>Direct</t>
        </is>
      </c>
      <c r="D45" s="3" t="inlineStr">
        <is>
          <t>0</t>
        </is>
      </c>
      <c r="E45" s="3" t="inlineStr">
        <is>
          <t>0</t>
        </is>
      </c>
      <c r="F45" s="3" t="inlineStr">
        <is>
          <t>1</t>
        </is>
      </c>
      <c r="G45" s="3" t="inlineStr">
        <is>
          <t>1</t>
        </is>
      </c>
      <c r="H45" s="3" t="inlineStr">
        <is>
          <t>1</t>
        </is>
      </c>
      <c r="I45" s="3" t="inlineStr">
        <is>
          <t>1</t>
        </is>
      </c>
      <c r="J45" s="3" t="inlineStr">
        <is>
          <t>1</t>
        </is>
      </c>
      <c r="K45" s="3" t="inlineStr">
        <is>
          <t>1</t>
        </is>
      </c>
      <c r="L45" s="3" t="inlineStr">
        <is>
          <t>1</t>
        </is>
      </c>
      <c r="M45" s="3" t="inlineStr">
        <is>
          <t>1</t>
        </is>
      </c>
      <c r="N45" s="3" t="inlineStr">
        <is>
          <t>1</t>
        </is>
      </c>
      <c r="O45" s="4">
        <f>IF(OR($B45="",D45=""),"",--(D45=$B45))</f>
        <v/>
      </c>
      <c r="P45" s="4">
        <f>IF(OR($B45="",D45=""),"",IF($B45=1,--(D45=1),""))</f>
        <v/>
      </c>
      <c r="Q45" s="4">
        <f>IF(OR($B45="",D45=""),"",IF($B45=0,--(D45=0),""))</f>
        <v/>
      </c>
      <c r="R45" s="4">
        <f>IF(D45="","",--(D45=1))</f>
        <v/>
      </c>
      <c r="S45" s="4">
        <f>IF(OR($B45="",E45=""),"",--(E45=$B45))</f>
        <v/>
      </c>
      <c r="T45" s="4">
        <f>IF(OR($B45="",E45=""),"",IF($B45=1,--(E45=1),""))</f>
        <v/>
      </c>
      <c r="U45" s="4">
        <f>IF(OR($B45="",E45=""),"",IF($B45=0,--(E45=0),""))</f>
        <v/>
      </c>
      <c r="V45" s="4">
        <f>IF(E45="","",--(E45=1))</f>
        <v/>
      </c>
      <c r="W45" s="4">
        <f>IF(OR($B45="",F45=""),"",--(F45=$B45))</f>
        <v/>
      </c>
      <c r="X45" s="4">
        <f>IF(OR($B45="",F45=""),"",IF($B45=1,--(F45=1),""))</f>
        <v/>
      </c>
      <c r="Y45" s="4">
        <f>IF(OR($B45="",F45=""),"",IF($B45=0,--(F45=0),""))</f>
        <v/>
      </c>
      <c r="Z45" s="4">
        <f>IF(F45="","",--(F45=1))</f>
        <v/>
      </c>
      <c r="AA45" s="4">
        <f>IF(OR($B45="",G45=""),"",--(G45=$B45))</f>
        <v/>
      </c>
      <c r="AB45" s="4">
        <f>IF(OR($B45="",G45=""),"",IF($B45=1,--(G45=1),""))</f>
        <v/>
      </c>
      <c r="AC45" s="4">
        <f>IF(OR($B45="",G45=""),"",IF($B45=0,--(G45=0),""))</f>
        <v/>
      </c>
      <c r="AD45" s="4">
        <f>IF(G45="","",--(G45=1))</f>
        <v/>
      </c>
      <c r="AE45" s="4">
        <f>IF(OR($B45="",H45=""),"",--(H45=$B45))</f>
        <v/>
      </c>
      <c r="AF45" s="4">
        <f>IF(OR($B45="",H45=""),"",IF($B45=1,--(H45=1),""))</f>
        <v/>
      </c>
      <c r="AG45" s="4">
        <f>IF(OR($B45="",H45=""),"",IF($B45=0,--(H45=0),""))</f>
        <v/>
      </c>
      <c r="AH45" s="4">
        <f>IF(H45="","",--(H45=1))</f>
        <v/>
      </c>
      <c r="AI45" s="4">
        <f>IF(OR($B45="",I45=""),"",--(I45=$B45))</f>
        <v/>
      </c>
      <c r="AJ45" s="4">
        <f>IF(OR($B45="",I45=""),"",IF($B45=1,--(I45=1),""))</f>
        <v/>
      </c>
      <c r="AK45" s="4">
        <f>IF(OR($B45="",I45=""),"",IF($B45=0,--(I45=0),""))</f>
        <v/>
      </c>
      <c r="AL45" s="4">
        <f>IF(I45="","",--(I45=1))</f>
        <v/>
      </c>
      <c r="AM45" s="4">
        <f>IF(OR($B45="",J45=""),"",--(J45=$B45))</f>
        <v/>
      </c>
      <c r="AN45" s="4">
        <f>IF(OR($B45="",J45=""),"",IF($B45=1,--(J45=1),""))</f>
        <v/>
      </c>
      <c r="AO45" s="4">
        <f>IF(OR($B45="",J45=""),"",IF($B45=0,--(J45=0),""))</f>
        <v/>
      </c>
      <c r="AP45" s="4">
        <f>IF(J45="","",--(J45=1))</f>
        <v/>
      </c>
      <c r="AQ45" s="4">
        <f>IF(OR($B45="",K45=""),"",--(K45=$B45))</f>
        <v/>
      </c>
      <c r="AR45" s="4">
        <f>IF(OR($B45="",K45=""),"",IF($B45=1,--(K45=1),""))</f>
        <v/>
      </c>
      <c r="AS45" s="4">
        <f>IF(OR($B45="",K45=""),"",IF($B45=0,--(K45=0),""))</f>
        <v/>
      </c>
      <c r="AT45" s="4">
        <f>IF(K45="","",--(K45=1))</f>
        <v/>
      </c>
      <c r="AU45" s="4">
        <f>IF(OR($B45="",L45=""),"",--(L45=$B45))</f>
        <v/>
      </c>
      <c r="AV45" s="4">
        <f>IF(OR($B45="",L45=""),"",IF($B45=1,--(L45=1),""))</f>
        <v/>
      </c>
      <c r="AW45" s="4">
        <f>IF(OR($B45="",L45=""),"",IF($B45=0,--(L45=0),""))</f>
        <v/>
      </c>
      <c r="AX45" s="4">
        <f>IF(L45="","",--(L45=1))</f>
        <v/>
      </c>
      <c r="AY45" s="4">
        <f>IF(OR($B45="",M45=""),"",--(M45=$B45))</f>
        <v/>
      </c>
      <c r="AZ45" s="4">
        <f>IF(OR($B45="",M45=""),"",IF($B45=1,--(M45=1),""))</f>
        <v/>
      </c>
      <c r="BA45" s="4">
        <f>IF(OR($B45="",M45=""),"",IF($B45=0,--(M45=0),""))</f>
        <v/>
      </c>
      <c r="BB45" s="4">
        <f>IF(M45="","",--(M45=1))</f>
        <v/>
      </c>
      <c r="BC45" s="4">
        <f>IF(OR($B45="",N45=""),"",--(N45=$B45))</f>
        <v/>
      </c>
      <c r="BD45" s="4">
        <f>IF(OR($B45="",N45=""),"",IF($B45=1,--(N45=1),""))</f>
        <v/>
      </c>
      <c r="BE45" s="4">
        <f>IF(OR($B45="",N45=""),"",IF($B45=0,--(N45=0),""))</f>
        <v/>
      </c>
      <c r="BF45" s="4">
        <f>IF(N45="","",--(N45=1))</f>
        <v/>
      </c>
    </row>
    <row r="46">
      <c r="A46" s="3" t="inlineStr">
        <is>
          <t>201936380</t>
        </is>
      </c>
      <c r="B46" s="3" t="inlineStr">
        <is>
          <t>0</t>
        </is>
      </c>
      <c r="C46" s="3" t="inlineStr">
        <is>
          <t>Direct</t>
        </is>
      </c>
      <c r="D46" s="3" t="inlineStr">
        <is>
          <t>1</t>
        </is>
      </c>
      <c r="E46" s="3" t="inlineStr">
        <is>
          <t>1</t>
        </is>
      </c>
      <c r="F46" s="3" t="inlineStr">
        <is>
          <t>0</t>
        </is>
      </c>
      <c r="G46" s="3" t="inlineStr">
        <is>
          <t>1</t>
        </is>
      </c>
      <c r="H46" s="3" t="inlineStr">
        <is>
          <t>1</t>
        </is>
      </c>
      <c r="I46" s="3" t="inlineStr">
        <is>
          <t>0</t>
        </is>
      </c>
      <c r="J46" s="3" t="inlineStr">
        <is>
          <t>0</t>
        </is>
      </c>
      <c r="K46" s="3" t="inlineStr">
        <is>
          <t>1</t>
        </is>
      </c>
      <c r="L46" s="3" t="inlineStr">
        <is>
          <t>0</t>
        </is>
      </c>
      <c r="M46" s="3" t="inlineStr">
        <is>
          <t>0</t>
        </is>
      </c>
      <c r="N46" s="3" t="inlineStr">
        <is>
          <t>0</t>
        </is>
      </c>
      <c r="O46" s="4">
        <f>IF(OR($B46="",D46=""),"",--(D46=$B46))</f>
        <v/>
      </c>
      <c r="P46" s="4">
        <f>IF(OR($B46="",D46=""),"",IF($B46=1,--(D46=1),""))</f>
        <v/>
      </c>
      <c r="Q46" s="4">
        <f>IF(OR($B46="",D46=""),"",IF($B46=0,--(D46=0),""))</f>
        <v/>
      </c>
      <c r="R46" s="4">
        <f>IF(D46="","",--(D46=1))</f>
        <v/>
      </c>
      <c r="S46" s="4">
        <f>IF(OR($B46="",E46=""),"",--(E46=$B46))</f>
        <v/>
      </c>
      <c r="T46" s="4">
        <f>IF(OR($B46="",E46=""),"",IF($B46=1,--(E46=1),""))</f>
        <v/>
      </c>
      <c r="U46" s="4">
        <f>IF(OR($B46="",E46=""),"",IF($B46=0,--(E46=0),""))</f>
        <v/>
      </c>
      <c r="V46" s="4">
        <f>IF(E46="","",--(E46=1))</f>
        <v/>
      </c>
      <c r="W46" s="4">
        <f>IF(OR($B46="",F46=""),"",--(F46=$B46))</f>
        <v/>
      </c>
      <c r="X46" s="4">
        <f>IF(OR($B46="",F46=""),"",IF($B46=1,--(F46=1),""))</f>
        <v/>
      </c>
      <c r="Y46" s="4">
        <f>IF(OR($B46="",F46=""),"",IF($B46=0,--(F46=0),""))</f>
        <v/>
      </c>
      <c r="Z46" s="4">
        <f>IF(F46="","",--(F46=1))</f>
        <v/>
      </c>
      <c r="AA46" s="4">
        <f>IF(OR($B46="",G46=""),"",--(G46=$B46))</f>
        <v/>
      </c>
      <c r="AB46" s="4">
        <f>IF(OR($B46="",G46=""),"",IF($B46=1,--(G46=1),""))</f>
        <v/>
      </c>
      <c r="AC46" s="4">
        <f>IF(OR($B46="",G46=""),"",IF($B46=0,--(G46=0),""))</f>
        <v/>
      </c>
      <c r="AD46" s="4">
        <f>IF(G46="","",--(G46=1))</f>
        <v/>
      </c>
      <c r="AE46" s="4">
        <f>IF(OR($B46="",H46=""),"",--(H46=$B46))</f>
        <v/>
      </c>
      <c r="AF46" s="4">
        <f>IF(OR($B46="",H46=""),"",IF($B46=1,--(H46=1),""))</f>
        <v/>
      </c>
      <c r="AG46" s="4">
        <f>IF(OR($B46="",H46=""),"",IF($B46=0,--(H46=0),""))</f>
        <v/>
      </c>
      <c r="AH46" s="4">
        <f>IF(H46="","",--(H46=1))</f>
        <v/>
      </c>
      <c r="AI46" s="4">
        <f>IF(OR($B46="",I46=""),"",--(I46=$B46))</f>
        <v/>
      </c>
      <c r="AJ46" s="4">
        <f>IF(OR($B46="",I46=""),"",IF($B46=1,--(I46=1),""))</f>
        <v/>
      </c>
      <c r="AK46" s="4">
        <f>IF(OR($B46="",I46=""),"",IF($B46=0,--(I46=0),""))</f>
        <v/>
      </c>
      <c r="AL46" s="4">
        <f>IF(I46="","",--(I46=1))</f>
        <v/>
      </c>
      <c r="AM46" s="4">
        <f>IF(OR($B46="",J46=""),"",--(J46=$B46))</f>
        <v/>
      </c>
      <c r="AN46" s="4">
        <f>IF(OR($B46="",J46=""),"",IF($B46=1,--(J46=1),""))</f>
        <v/>
      </c>
      <c r="AO46" s="4">
        <f>IF(OR($B46="",J46=""),"",IF($B46=0,--(J46=0),""))</f>
        <v/>
      </c>
      <c r="AP46" s="4">
        <f>IF(J46="","",--(J46=1))</f>
        <v/>
      </c>
      <c r="AQ46" s="4">
        <f>IF(OR($B46="",K46=""),"",--(K46=$B46))</f>
        <v/>
      </c>
      <c r="AR46" s="4">
        <f>IF(OR($B46="",K46=""),"",IF($B46=1,--(K46=1),""))</f>
        <v/>
      </c>
      <c r="AS46" s="4">
        <f>IF(OR($B46="",K46=""),"",IF($B46=0,--(K46=0),""))</f>
        <v/>
      </c>
      <c r="AT46" s="4">
        <f>IF(K46="","",--(K46=1))</f>
        <v/>
      </c>
      <c r="AU46" s="4">
        <f>IF(OR($B46="",L46=""),"",--(L46=$B46))</f>
        <v/>
      </c>
      <c r="AV46" s="4">
        <f>IF(OR($B46="",L46=""),"",IF($B46=1,--(L46=1),""))</f>
        <v/>
      </c>
      <c r="AW46" s="4">
        <f>IF(OR($B46="",L46=""),"",IF($B46=0,--(L46=0),""))</f>
        <v/>
      </c>
      <c r="AX46" s="4">
        <f>IF(L46="","",--(L46=1))</f>
        <v/>
      </c>
      <c r="AY46" s="4">
        <f>IF(OR($B46="",M46=""),"",--(M46=$B46))</f>
        <v/>
      </c>
      <c r="AZ46" s="4">
        <f>IF(OR($B46="",M46=""),"",IF($B46=1,--(M46=1),""))</f>
        <v/>
      </c>
      <c r="BA46" s="4">
        <f>IF(OR($B46="",M46=""),"",IF($B46=0,--(M46=0),""))</f>
        <v/>
      </c>
      <c r="BB46" s="4">
        <f>IF(M46="","",--(M46=1))</f>
        <v/>
      </c>
      <c r="BC46" s="4">
        <f>IF(OR($B46="",N46=""),"",--(N46=$B46))</f>
        <v/>
      </c>
      <c r="BD46" s="4">
        <f>IF(OR($B46="",N46=""),"",IF($B46=1,--(N46=1),""))</f>
        <v/>
      </c>
      <c r="BE46" s="4">
        <f>IF(OR($B46="",N46=""),"",IF($B46=0,--(N46=0),""))</f>
        <v/>
      </c>
      <c r="BF46" s="4">
        <f>IF(N46="","",--(N46=1))</f>
        <v/>
      </c>
    </row>
    <row r="47">
      <c r="A47" s="3" t="inlineStr">
        <is>
          <t>201937198</t>
        </is>
      </c>
      <c r="B47" s="3" t="inlineStr">
        <is>
          <t>1</t>
        </is>
      </c>
      <c r="C47" s="3" t="inlineStr">
        <is>
          <t>Direct</t>
        </is>
      </c>
      <c r="D47" s="3" t="inlineStr">
        <is>
          <t>1</t>
        </is>
      </c>
      <c r="E47" s="3" t="inlineStr">
        <is>
          <t>1</t>
        </is>
      </c>
      <c r="F47" s="3" t="inlineStr">
        <is>
          <t>0</t>
        </is>
      </c>
      <c r="G47" s="3" t="inlineStr">
        <is>
          <t>0</t>
        </is>
      </c>
      <c r="H47" s="3" t="inlineStr">
        <is>
          <t>0</t>
        </is>
      </c>
      <c r="I47" s="3" t="inlineStr">
        <is>
          <t>1</t>
        </is>
      </c>
      <c r="J47" s="3" t="inlineStr">
        <is>
          <t>1</t>
        </is>
      </c>
      <c r="K47" s="3" t="inlineStr">
        <is>
          <t>1</t>
        </is>
      </c>
      <c r="L47" s="3" t="inlineStr">
        <is>
          <t>1</t>
        </is>
      </c>
      <c r="M47" s="3" t="inlineStr">
        <is>
          <t>1</t>
        </is>
      </c>
      <c r="N47" s="3" t="inlineStr">
        <is>
          <t>1</t>
        </is>
      </c>
      <c r="O47" s="4">
        <f>IF(OR($B47="",D47=""),"",--(D47=$B47))</f>
        <v/>
      </c>
      <c r="P47" s="4">
        <f>IF(OR($B47="",D47=""),"",IF($B47=1,--(D47=1),""))</f>
        <v/>
      </c>
      <c r="Q47" s="4">
        <f>IF(OR($B47="",D47=""),"",IF($B47=0,--(D47=0),""))</f>
        <v/>
      </c>
      <c r="R47" s="4">
        <f>IF(D47="","",--(D47=1))</f>
        <v/>
      </c>
      <c r="S47" s="4">
        <f>IF(OR($B47="",E47=""),"",--(E47=$B47))</f>
        <v/>
      </c>
      <c r="T47" s="4">
        <f>IF(OR($B47="",E47=""),"",IF($B47=1,--(E47=1),""))</f>
        <v/>
      </c>
      <c r="U47" s="4">
        <f>IF(OR($B47="",E47=""),"",IF($B47=0,--(E47=0),""))</f>
        <v/>
      </c>
      <c r="V47" s="4">
        <f>IF(E47="","",--(E47=1))</f>
        <v/>
      </c>
      <c r="W47" s="4">
        <f>IF(OR($B47="",F47=""),"",--(F47=$B47))</f>
        <v/>
      </c>
      <c r="X47" s="4">
        <f>IF(OR($B47="",F47=""),"",IF($B47=1,--(F47=1),""))</f>
        <v/>
      </c>
      <c r="Y47" s="4">
        <f>IF(OR($B47="",F47=""),"",IF($B47=0,--(F47=0),""))</f>
        <v/>
      </c>
      <c r="Z47" s="4">
        <f>IF(F47="","",--(F47=1))</f>
        <v/>
      </c>
      <c r="AA47" s="4">
        <f>IF(OR($B47="",G47=""),"",--(G47=$B47))</f>
        <v/>
      </c>
      <c r="AB47" s="4">
        <f>IF(OR($B47="",G47=""),"",IF($B47=1,--(G47=1),""))</f>
        <v/>
      </c>
      <c r="AC47" s="4">
        <f>IF(OR($B47="",G47=""),"",IF($B47=0,--(G47=0),""))</f>
        <v/>
      </c>
      <c r="AD47" s="4">
        <f>IF(G47="","",--(G47=1))</f>
        <v/>
      </c>
      <c r="AE47" s="4">
        <f>IF(OR($B47="",H47=""),"",--(H47=$B47))</f>
        <v/>
      </c>
      <c r="AF47" s="4">
        <f>IF(OR($B47="",H47=""),"",IF($B47=1,--(H47=1),""))</f>
        <v/>
      </c>
      <c r="AG47" s="4">
        <f>IF(OR($B47="",H47=""),"",IF($B47=0,--(H47=0),""))</f>
        <v/>
      </c>
      <c r="AH47" s="4">
        <f>IF(H47="","",--(H47=1))</f>
        <v/>
      </c>
      <c r="AI47" s="4">
        <f>IF(OR($B47="",I47=""),"",--(I47=$B47))</f>
        <v/>
      </c>
      <c r="AJ47" s="4">
        <f>IF(OR($B47="",I47=""),"",IF($B47=1,--(I47=1),""))</f>
        <v/>
      </c>
      <c r="AK47" s="4">
        <f>IF(OR($B47="",I47=""),"",IF($B47=0,--(I47=0),""))</f>
        <v/>
      </c>
      <c r="AL47" s="4">
        <f>IF(I47="","",--(I47=1))</f>
        <v/>
      </c>
      <c r="AM47" s="4">
        <f>IF(OR($B47="",J47=""),"",--(J47=$B47))</f>
        <v/>
      </c>
      <c r="AN47" s="4">
        <f>IF(OR($B47="",J47=""),"",IF($B47=1,--(J47=1),""))</f>
        <v/>
      </c>
      <c r="AO47" s="4">
        <f>IF(OR($B47="",J47=""),"",IF($B47=0,--(J47=0),""))</f>
        <v/>
      </c>
      <c r="AP47" s="4">
        <f>IF(J47="","",--(J47=1))</f>
        <v/>
      </c>
      <c r="AQ47" s="4">
        <f>IF(OR($B47="",K47=""),"",--(K47=$B47))</f>
        <v/>
      </c>
      <c r="AR47" s="4">
        <f>IF(OR($B47="",K47=""),"",IF($B47=1,--(K47=1),""))</f>
        <v/>
      </c>
      <c r="AS47" s="4">
        <f>IF(OR($B47="",K47=""),"",IF($B47=0,--(K47=0),""))</f>
        <v/>
      </c>
      <c r="AT47" s="4">
        <f>IF(K47="","",--(K47=1))</f>
        <v/>
      </c>
      <c r="AU47" s="4">
        <f>IF(OR($B47="",L47=""),"",--(L47=$B47))</f>
        <v/>
      </c>
      <c r="AV47" s="4">
        <f>IF(OR($B47="",L47=""),"",IF($B47=1,--(L47=1),""))</f>
        <v/>
      </c>
      <c r="AW47" s="4">
        <f>IF(OR($B47="",L47=""),"",IF($B47=0,--(L47=0),""))</f>
        <v/>
      </c>
      <c r="AX47" s="4">
        <f>IF(L47="","",--(L47=1))</f>
        <v/>
      </c>
      <c r="AY47" s="4">
        <f>IF(OR($B47="",M47=""),"",--(M47=$B47))</f>
        <v/>
      </c>
      <c r="AZ47" s="4">
        <f>IF(OR($B47="",M47=""),"",IF($B47=1,--(M47=1),""))</f>
        <v/>
      </c>
      <c r="BA47" s="4">
        <f>IF(OR($B47="",M47=""),"",IF($B47=0,--(M47=0),""))</f>
        <v/>
      </c>
      <c r="BB47" s="4">
        <f>IF(M47="","",--(M47=1))</f>
        <v/>
      </c>
      <c r="BC47" s="4">
        <f>IF(OR($B47="",N47=""),"",--(N47=$B47))</f>
        <v/>
      </c>
      <c r="BD47" s="4">
        <f>IF(OR($B47="",N47=""),"",IF($B47=1,--(N47=1),""))</f>
        <v/>
      </c>
      <c r="BE47" s="4">
        <f>IF(OR($B47="",N47=""),"",IF($B47=0,--(N47=0),""))</f>
        <v/>
      </c>
      <c r="BF47" s="4">
        <f>IF(N47="","",--(N47=1))</f>
        <v/>
      </c>
    </row>
    <row r="48">
      <c r="A48" s="3" t="inlineStr">
        <is>
          <t>201938975</t>
        </is>
      </c>
      <c r="B48" s="3" t="inlineStr">
        <is>
          <t>0</t>
        </is>
      </c>
      <c r="C48" s="3" t="inlineStr">
        <is>
          <t>Direct</t>
        </is>
      </c>
      <c r="D48" s="3" t="inlineStr">
        <is>
          <t>1</t>
        </is>
      </c>
      <c r="E48" s="3" t="inlineStr">
        <is>
          <t>1</t>
        </is>
      </c>
      <c r="F48" s="3" t="inlineStr">
        <is>
          <t>0</t>
        </is>
      </c>
      <c r="G48" s="3" t="inlineStr">
        <is>
          <t>1</t>
        </is>
      </c>
      <c r="H48" s="3" t="inlineStr">
        <is>
          <t>1</t>
        </is>
      </c>
      <c r="I48" s="3" t="inlineStr">
        <is>
          <t>1</t>
        </is>
      </c>
      <c r="J48" s="3" t="inlineStr">
        <is>
          <t>1</t>
        </is>
      </c>
      <c r="K48" s="3" t="inlineStr">
        <is>
          <t>1</t>
        </is>
      </c>
      <c r="L48" s="3" t="inlineStr">
        <is>
          <t>1</t>
        </is>
      </c>
      <c r="M48" s="3" t="inlineStr">
        <is>
          <t>1</t>
        </is>
      </c>
      <c r="N48" s="3" t="inlineStr">
        <is>
          <t>1</t>
        </is>
      </c>
      <c r="O48" s="4">
        <f>IF(OR($B48="",D48=""),"",--(D48=$B48))</f>
        <v/>
      </c>
      <c r="P48" s="4">
        <f>IF(OR($B48="",D48=""),"",IF($B48=1,--(D48=1),""))</f>
        <v/>
      </c>
      <c r="Q48" s="4">
        <f>IF(OR($B48="",D48=""),"",IF($B48=0,--(D48=0),""))</f>
        <v/>
      </c>
      <c r="R48" s="4">
        <f>IF(D48="","",--(D48=1))</f>
        <v/>
      </c>
      <c r="S48" s="4">
        <f>IF(OR($B48="",E48=""),"",--(E48=$B48))</f>
        <v/>
      </c>
      <c r="T48" s="4">
        <f>IF(OR($B48="",E48=""),"",IF($B48=1,--(E48=1),""))</f>
        <v/>
      </c>
      <c r="U48" s="4">
        <f>IF(OR($B48="",E48=""),"",IF($B48=0,--(E48=0),""))</f>
        <v/>
      </c>
      <c r="V48" s="4">
        <f>IF(E48="","",--(E48=1))</f>
        <v/>
      </c>
      <c r="W48" s="4">
        <f>IF(OR($B48="",F48=""),"",--(F48=$B48))</f>
        <v/>
      </c>
      <c r="X48" s="4">
        <f>IF(OR($B48="",F48=""),"",IF($B48=1,--(F48=1),""))</f>
        <v/>
      </c>
      <c r="Y48" s="4">
        <f>IF(OR($B48="",F48=""),"",IF($B48=0,--(F48=0),""))</f>
        <v/>
      </c>
      <c r="Z48" s="4">
        <f>IF(F48="","",--(F48=1))</f>
        <v/>
      </c>
      <c r="AA48" s="4">
        <f>IF(OR($B48="",G48=""),"",--(G48=$B48))</f>
        <v/>
      </c>
      <c r="AB48" s="4">
        <f>IF(OR($B48="",G48=""),"",IF($B48=1,--(G48=1),""))</f>
        <v/>
      </c>
      <c r="AC48" s="4">
        <f>IF(OR($B48="",G48=""),"",IF($B48=0,--(G48=0),""))</f>
        <v/>
      </c>
      <c r="AD48" s="4">
        <f>IF(G48="","",--(G48=1))</f>
        <v/>
      </c>
      <c r="AE48" s="4">
        <f>IF(OR($B48="",H48=""),"",--(H48=$B48))</f>
        <v/>
      </c>
      <c r="AF48" s="4">
        <f>IF(OR($B48="",H48=""),"",IF($B48=1,--(H48=1),""))</f>
        <v/>
      </c>
      <c r="AG48" s="4">
        <f>IF(OR($B48="",H48=""),"",IF($B48=0,--(H48=0),""))</f>
        <v/>
      </c>
      <c r="AH48" s="4">
        <f>IF(H48="","",--(H48=1))</f>
        <v/>
      </c>
      <c r="AI48" s="4">
        <f>IF(OR($B48="",I48=""),"",--(I48=$B48))</f>
        <v/>
      </c>
      <c r="AJ48" s="4">
        <f>IF(OR($B48="",I48=""),"",IF($B48=1,--(I48=1),""))</f>
        <v/>
      </c>
      <c r="AK48" s="4">
        <f>IF(OR($B48="",I48=""),"",IF($B48=0,--(I48=0),""))</f>
        <v/>
      </c>
      <c r="AL48" s="4">
        <f>IF(I48="","",--(I48=1))</f>
        <v/>
      </c>
      <c r="AM48" s="4">
        <f>IF(OR($B48="",J48=""),"",--(J48=$B48))</f>
        <v/>
      </c>
      <c r="AN48" s="4">
        <f>IF(OR($B48="",J48=""),"",IF($B48=1,--(J48=1),""))</f>
        <v/>
      </c>
      <c r="AO48" s="4">
        <f>IF(OR($B48="",J48=""),"",IF($B48=0,--(J48=0),""))</f>
        <v/>
      </c>
      <c r="AP48" s="4">
        <f>IF(J48="","",--(J48=1))</f>
        <v/>
      </c>
      <c r="AQ48" s="4">
        <f>IF(OR($B48="",K48=""),"",--(K48=$B48))</f>
        <v/>
      </c>
      <c r="AR48" s="4">
        <f>IF(OR($B48="",K48=""),"",IF($B48=1,--(K48=1),""))</f>
        <v/>
      </c>
      <c r="AS48" s="4">
        <f>IF(OR($B48="",K48=""),"",IF($B48=0,--(K48=0),""))</f>
        <v/>
      </c>
      <c r="AT48" s="4">
        <f>IF(K48="","",--(K48=1))</f>
        <v/>
      </c>
      <c r="AU48" s="4">
        <f>IF(OR($B48="",L48=""),"",--(L48=$B48))</f>
        <v/>
      </c>
      <c r="AV48" s="4">
        <f>IF(OR($B48="",L48=""),"",IF($B48=1,--(L48=1),""))</f>
        <v/>
      </c>
      <c r="AW48" s="4">
        <f>IF(OR($B48="",L48=""),"",IF($B48=0,--(L48=0),""))</f>
        <v/>
      </c>
      <c r="AX48" s="4">
        <f>IF(L48="","",--(L48=1))</f>
        <v/>
      </c>
      <c r="AY48" s="4">
        <f>IF(OR($B48="",M48=""),"",--(M48=$B48))</f>
        <v/>
      </c>
      <c r="AZ48" s="4">
        <f>IF(OR($B48="",M48=""),"",IF($B48=1,--(M48=1),""))</f>
        <v/>
      </c>
      <c r="BA48" s="4">
        <f>IF(OR($B48="",M48=""),"",IF($B48=0,--(M48=0),""))</f>
        <v/>
      </c>
      <c r="BB48" s="4">
        <f>IF(M48="","",--(M48=1))</f>
        <v/>
      </c>
      <c r="BC48" s="4">
        <f>IF(OR($B48="",N48=""),"",--(N48=$B48))</f>
        <v/>
      </c>
      <c r="BD48" s="4">
        <f>IF(OR($B48="",N48=""),"",IF($B48=1,--(N48=1),""))</f>
        <v/>
      </c>
      <c r="BE48" s="4">
        <f>IF(OR($B48="",N48=""),"",IF($B48=0,--(N48=0),""))</f>
        <v/>
      </c>
      <c r="BF48" s="4">
        <f>IF(N48="","",--(N48=1))</f>
        <v/>
      </c>
    </row>
    <row r="49">
      <c r="A49" s="3" t="inlineStr">
        <is>
          <t>201942221</t>
        </is>
      </c>
      <c r="B49" s="3" t="inlineStr">
        <is>
          <t>0</t>
        </is>
      </c>
      <c r="C49" s="3" t="inlineStr">
        <is>
          <t>Direct</t>
        </is>
      </c>
      <c r="D49" s="3" t="inlineStr">
        <is>
          <t>1</t>
        </is>
      </c>
      <c r="E49" s="3" t="inlineStr">
        <is>
          <t>1</t>
        </is>
      </c>
      <c r="F49" s="3" t="inlineStr">
        <is>
          <t>0</t>
        </is>
      </c>
      <c r="G49" s="3" t="inlineStr">
        <is>
          <t>0</t>
        </is>
      </c>
      <c r="H49" s="3" t="inlineStr">
        <is>
          <t>0</t>
        </is>
      </c>
      <c r="I49" s="3" t="inlineStr">
        <is>
          <t>1</t>
        </is>
      </c>
      <c r="J49" s="3" t="inlineStr">
        <is>
          <t>1</t>
        </is>
      </c>
      <c r="K49" s="3" t="inlineStr">
        <is>
          <t>1</t>
        </is>
      </c>
      <c r="L49" s="3" t="inlineStr">
        <is>
          <t>1</t>
        </is>
      </c>
      <c r="M49" s="3" t="inlineStr">
        <is>
          <t>1</t>
        </is>
      </c>
      <c r="N49" s="3" t="inlineStr">
        <is>
          <t>1</t>
        </is>
      </c>
      <c r="O49" s="4">
        <f>IF(OR($B49="",D49=""),"",--(D49=$B49))</f>
        <v/>
      </c>
      <c r="P49" s="4">
        <f>IF(OR($B49="",D49=""),"",IF($B49=1,--(D49=1),""))</f>
        <v/>
      </c>
      <c r="Q49" s="4">
        <f>IF(OR($B49="",D49=""),"",IF($B49=0,--(D49=0),""))</f>
        <v/>
      </c>
      <c r="R49" s="4">
        <f>IF(D49="","",--(D49=1))</f>
        <v/>
      </c>
      <c r="S49" s="4">
        <f>IF(OR($B49="",E49=""),"",--(E49=$B49))</f>
        <v/>
      </c>
      <c r="T49" s="4">
        <f>IF(OR($B49="",E49=""),"",IF($B49=1,--(E49=1),""))</f>
        <v/>
      </c>
      <c r="U49" s="4">
        <f>IF(OR($B49="",E49=""),"",IF($B49=0,--(E49=0),""))</f>
        <v/>
      </c>
      <c r="V49" s="4">
        <f>IF(E49="","",--(E49=1))</f>
        <v/>
      </c>
      <c r="W49" s="4">
        <f>IF(OR($B49="",F49=""),"",--(F49=$B49))</f>
        <v/>
      </c>
      <c r="X49" s="4">
        <f>IF(OR($B49="",F49=""),"",IF($B49=1,--(F49=1),""))</f>
        <v/>
      </c>
      <c r="Y49" s="4">
        <f>IF(OR($B49="",F49=""),"",IF($B49=0,--(F49=0),""))</f>
        <v/>
      </c>
      <c r="Z49" s="4">
        <f>IF(F49="","",--(F49=1))</f>
        <v/>
      </c>
      <c r="AA49" s="4">
        <f>IF(OR($B49="",G49=""),"",--(G49=$B49))</f>
        <v/>
      </c>
      <c r="AB49" s="4">
        <f>IF(OR($B49="",G49=""),"",IF($B49=1,--(G49=1),""))</f>
        <v/>
      </c>
      <c r="AC49" s="4">
        <f>IF(OR($B49="",G49=""),"",IF($B49=0,--(G49=0),""))</f>
        <v/>
      </c>
      <c r="AD49" s="4">
        <f>IF(G49="","",--(G49=1))</f>
        <v/>
      </c>
      <c r="AE49" s="4">
        <f>IF(OR($B49="",H49=""),"",--(H49=$B49))</f>
        <v/>
      </c>
      <c r="AF49" s="4">
        <f>IF(OR($B49="",H49=""),"",IF($B49=1,--(H49=1),""))</f>
        <v/>
      </c>
      <c r="AG49" s="4">
        <f>IF(OR($B49="",H49=""),"",IF($B49=0,--(H49=0),""))</f>
        <v/>
      </c>
      <c r="AH49" s="4">
        <f>IF(H49="","",--(H49=1))</f>
        <v/>
      </c>
      <c r="AI49" s="4">
        <f>IF(OR($B49="",I49=""),"",--(I49=$B49))</f>
        <v/>
      </c>
      <c r="AJ49" s="4">
        <f>IF(OR($B49="",I49=""),"",IF($B49=1,--(I49=1),""))</f>
        <v/>
      </c>
      <c r="AK49" s="4">
        <f>IF(OR($B49="",I49=""),"",IF($B49=0,--(I49=0),""))</f>
        <v/>
      </c>
      <c r="AL49" s="4">
        <f>IF(I49="","",--(I49=1))</f>
        <v/>
      </c>
      <c r="AM49" s="4">
        <f>IF(OR($B49="",J49=""),"",--(J49=$B49))</f>
        <v/>
      </c>
      <c r="AN49" s="4">
        <f>IF(OR($B49="",J49=""),"",IF($B49=1,--(J49=1),""))</f>
        <v/>
      </c>
      <c r="AO49" s="4">
        <f>IF(OR($B49="",J49=""),"",IF($B49=0,--(J49=0),""))</f>
        <v/>
      </c>
      <c r="AP49" s="4">
        <f>IF(J49="","",--(J49=1))</f>
        <v/>
      </c>
      <c r="AQ49" s="4">
        <f>IF(OR($B49="",K49=""),"",--(K49=$B49))</f>
        <v/>
      </c>
      <c r="AR49" s="4">
        <f>IF(OR($B49="",K49=""),"",IF($B49=1,--(K49=1),""))</f>
        <v/>
      </c>
      <c r="AS49" s="4">
        <f>IF(OR($B49="",K49=""),"",IF($B49=0,--(K49=0),""))</f>
        <v/>
      </c>
      <c r="AT49" s="4">
        <f>IF(K49="","",--(K49=1))</f>
        <v/>
      </c>
      <c r="AU49" s="4">
        <f>IF(OR($B49="",L49=""),"",--(L49=$B49))</f>
        <v/>
      </c>
      <c r="AV49" s="4">
        <f>IF(OR($B49="",L49=""),"",IF($B49=1,--(L49=1),""))</f>
        <v/>
      </c>
      <c r="AW49" s="4">
        <f>IF(OR($B49="",L49=""),"",IF($B49=0,--(L49=0),""))</f>
        <v/>
      </c>
      <c r="AX49" s="4">
        <f>IF(L49="","",--(L49=1))</f>
        <v/>
      </c>
      <c r="AY49" s="4">
        <f>IF(OR($B49="",M49=""),"",--(M49=$B49))</f>
        <v/>
      </c>
      <c r="AZ49" s="4">
        <f>IF(OR($B49="",M49=""),"",IF($B49=1,--(M49=1),""))</f>
        <v/>
      </c>
      <c r="BA49" s="4">
        <f>IF(OR($B49="",M49=""),"",IF($B49=0,--(M49=0),""))</f>
        <v/>
      </c>
      <c r="BB49" s="4">
        <f>IF(M49="","",--(M49=1))</f>
        <v/>
      </c>
      <c r="BC49" s="4">
        <f>IF(OR($B49="",N49=""),"",--(N49=$B49))</f>
        <v/>
      </c>
      <c r="BD49" s="4">
        <f>IF(OR($B49="",N49=""),"",IF($B49=1,--(N49=1),""))</f>
        <v/>
      </c>
      <c r="BE49" s="4">
        <f>IF(OR($B49="",N49=""),"",IF($B49=0,--(N49=0),""))</f>
        <v/>
      </c>
      <c r="BF49" s="4">
        <f>IF(N49="","",--(N49=1))</f>
        <v/>
      </c>
    </row>
    <row r="50">
      <c r="A50" s="3" t="inlineStr">
        <is>
          <t>201942799</t>
        </is>
      </c>
      <c r="B50" s="3" t="inlineStr">
        <is>
          <t>0</t>
        </is>
      </c>
      <c r="C50" s="3" t="inlineStr">
        <is>
          <t>Direct</t>
        </is>
      </c>
      <c r="D50" s="3" t="inlineStr">
        <is>
          <t>1</t>
        </is>
      </c>
      <c r="E50" s="3" t="inlineStr">
        <is>
          <t>1</t>
        </is>
      </c>
      <c r="F50" s="3" t="inlineStr">
        <is>
          <t>0</t>
        </is>
      </c>
      <c r="G50" s="3" t="inlineStr">
        <is>
          <t>0</t>
        </is>
      </c>
      <c r="H50" s="3" t="inlineStr">
        <is>
          <t>1</t>
        </is>
      </c>
      <c r="I50" s="3" t="inlineStr">
        <is>
          <t>0</t>
        </is>
      </c>
      <c r="J50" s="3" t="inlineStr">
        <is>
          <t>1</t>
        </is>
      </c>
      <c r="K50" s="3" t="inlineStr">
        <is>
          <t>1</t>
        </is>
      </c>
      <c r="L50" s="3" t="inlineStr">
        <is>
          <t>1</t>
        </is>
      </c>
      <c r="M50" s="3" t="inlineStr">
        <is>
          <t>1</t>
        </is>
      </c>
      <c r="N50" s="3" t="inlineStr">
        <is>
          <t>1</t>
        </is>
      </c>
      <c r="O50" s="4">
        <f>IF(OR($B50="",D50=""),"",--(D50=$B50))</f>
        <v/>
      </c>
      <c r="P50" s="4">
        <f>IF(OR($B50="",D50=""),"",IF($B50=1,--(D50=1),""))</f>
        <v/>
      </c>
      <c r="Q50" s="4">
        <f>IF(OR($B50="",D50=""),"",IF($B50=0,--(D50=0),""))</f>
        <v/>
      </c>
      <c r="R50" s="4">
        <f>IF(D50="","",--(D50=1))</f>
        <v/>
      </c>
      <c r="S50" s="4">
        <f>IF(OR($B50="",E50=""),"",--(E50=$B50))</f>
        <v/>
      </c>
      <c r="T50" s="4">
        <f>IF(OR($B50="",E50=""),"",IF($B50=1,--(E50=1),""))</f>
        <v/>
      </c>
      <c r="U50" s="4">
        <f>IF(OR($B50="",E50=""),"",IF($B50=0,--(E50=0),""))</f>
        <v/>
      </c>
      <c r="V50" s="4">
        <f>IF(E50="","",--(E50=1))</f>
        <v/>
      </c>
      <c r="W50" s="4">
        <f>IF(OR($B50="",F50=""),"",--(F50=$B50))</f>
        <v/>
      </c>
      <c r="X50" s="4">
        <f>IF(OR($B50="",F50=""),"",IF($B50=1,--(F50=1),""))</f>
        <v/>
      </c>
      <c r="Y50" s="4">
        <f>IF(OR($B50="",F50=""),"",IF($B50=0,--(F50=0),""))</f>
        <v/>
      </c>
      <c r="Z50" s="4">
        <f>IF(F50="","",--(F50=1))</f>
        <v/>
      </c>
      <c r="AA50" s="4">
        <f>IF(OR($B50="",G50=""),"",--(G50=$B50))</f>
        <v/>
      </c>
      <c r="AB50" s="4">
        <f>IF(OR($B50="",G50=""),"",IF($B50=1,--(G50=1),""))</f>
        <v/>
      </c>
      <c r="AC50" s="4">
        <f>IF(OR($B50="",G50=""),"",IF($B50=0,--(G50=0),""))</f>
        <v/>
      </c>
      <c r="AD50" s="4">
        <f>IF(G50="","",--(G50=1))</f>
        <v/>
      </c>
      <c r="AE50" s="4">
        <f>IF(OR($B50="",H50=""),"",--(H50=$B50))</f>
        <v/>
      </c>
      <c r="AF50" s="4">
        <f>IF(OR($B50="",H50=""),"",IF($B50=1,--(H50=1),""))</f>
        <v/>
      </c>
      <c r="AG50" s="4">
        <f>IF(OR($B50="",H50=""),"",IF($B50=0,--(H50=0),""))</f>
        <v/>
      </c>
      <c r="AH50" s="4">
        <f>IF(H50="","",--(H50=1))</f>
        <v/>
      </c>
      <c r="AI50" s="4">
        <f>IF(OR($B50="",I50=""),"",--(I50=$B50))</f>
        <v/>
      </c>
      <c r="AJ50" s="4">
        <f>IF(OR($B50="",I50=""),"",IF($B50=1,--(I50=1),""))</f>
        <v/>
      </c>
      <c r="AK50" s="4">
        <f>IF(OR($B50="",I50=""),"",IF($B50=0,--(I50=0),""))</f>
        <v/>
      </c>
      <c r="AL50" s="4">
        <f>IF(I50="","",--(I50=1))</f>
        <v/>
      </c>
      <c r="AM50" s="4">
        <f>IF(OR($B50="",J50=""),"",--(J50=$B50))</f>
        <v/>
      </c>
      <c r="AN50" s="4">
        <f>IF(OR($B50="",J50=""),"",IF($B50=1,--(J50=1),""))</f>
        <v/>
      </c>
      <c r="AO50" s="4">
        <f>IF(OR($B50="",J50=""),"",IF($B50=0,--(J50=0),""))</f>
        <v/>
      </c>
      <c r="AP50" s="4">
        <f>IF(J50="","",--(J50=1))</f>
        <v/>
      </c>
      <c r="AQ50" s="4">
        <f>IF(OR($B50="",K50=""),"",--(K50=$B50))</f>
        <v/>
      </c>
      <c r="AR50" s="4">
        <f>IF(OR($B50="",K50=""),"",IF($B50=1,--(K50=1),""))</f>
        <v/>
      </c>
      <c r="AS50" s="4">
        <f>IF(OR($B50="",K50=""),"",IF($B50=0,--(K50=0),""))</f>
        <v/>
      </c>
      <c r="AT50" s="4">
        <f>IF(K50="","",--(K50=1))</f>
        <v/>
      </c>
      <c r="AU50" s="4">
        <f>IF(OR($B50="",L50=""),"",--(L50=$B50))</f>
        <v/>
      </c>
      <c r="AV50" s="4">
        <f>IF(OR($B50="",L50=""),"",IF($B50=1,--(L50=1),""))</f>
        <v/>
      </c>
      <c r="AW50" s="4">
        <f>IF(OR($B50="",L50=""),"",IF($B50=0,--(L50=0),""))</f>
        <v/>
      </c>
      <c r="AX50" s="4">
        <f>IF(L50="","",--(L50=1))</f>
        <v/>
      </c>
      <c r="AY50" s="4">
        <f>IF(OR($B50="",M50=""),"",--(M50=$B50))</f>
        <v/>
      </c>
      <c r="AZ50" s="4">
        <f>IF(OR($B50="",M50=""),"",IF($B50=1,--(M50=1),""))</f>
        <v/>
      </c>
      <c r="BA50" s="4">
        <f>IF(OR($B50="",M50=""),"",IF($B50=0,--(M50=0),""))</f>
        <v/>
      </c>
      <c r="BB50" s="4">
        <f>IF(M50="","",--(M50=1))</f>
        <v/>
      </c>
      <c r="BC50" s="4">
        <f>IF(OR($B50="",N50=""),"",--(N50=$B50))</f>
        <v/>
      </c>
      <c r="BD50" s="4">
        <f>IF(OR($B50="",N50=""),"",IF($B50=1,--(N50=1),""))</f>
        <v/>
      </c>
      <c r="BE50" s="4">
        <f>IF(OR($B50="",N50=""),"",IF($B50=0,--(N50=0),""))</f>
        <v/>
      </c>
      <c r="BF50" s="4">
        <f>IF(N50="","",--(N50=1))</f>
        <v/>
      </c>
    </row>
    <row r="51">
      <c r="A51" s="3" t="inlineStr">
        <is>
          <t>20197386</t>
        </is>
      </c>
      <c r="B51" s="3" t="inlineStr">
        <is>
          <t>0</t>
        </is>
      </c>
      <c r="C51" s="3" t="inlineStr">
        <is>
          <t>Direct</t>
        </is>
      </c>
      <c r="D51" s="3" t="inlineStr">
        <is>
          <t>0</t>
        </is>
      </c>
      <c r="E51" s="3" t="inlineStr">
        <is>
          <t>0</t>
        </is>
      </c>
      <c r="F51" s="3" t="inlineStr">
        <is>
          <t>0</t>
        </is>
      </c>
      <c r="G51" s="3" t="inlineStr">
        <is>
          <t>0</t>
        </is>
      </c>
      <c r="H51" s="3" t="inlineStr">
        <is>
          <t>0</t>
        </is>
      </c>
      <c r="I51" s="3" t="inlineStr">
        <is>
          <t>1</t>
        </is>
      </c>
      <c r="J51" s="3" t="inlineStr">
        <is>
          <t>1</t>
        </is>
      </c>
      <c r="K51" s="3" t="inlineStr">
        <is>
          <t>1</t>
        </is>
      </c>
      <c r="L51" s="3" t="inlineStr">
        <is>
          <t>1</t>
        </is>
      </c>
      <c r="M51" s="3" t="inlineStr">
        <is>
          <t>1</t>
        </is>
      </c>
      <c r="N51" s="3" t="inlineStr">
        <is>
          <t>1</t>
        </is>
      </c>
      <c r="O51" s="4">
        <f>IF(OR($B51="",D51=""),"",--(D51=$B51))</f>
        <v/>
      </c>
      <c r="P51" s="4">
        <f>IF(OR($B51="",D51=""),"",IF($B51=1,--(D51=1),""))</f>
        <v/>
      </c>
      <c r="Q51" s="4">
        <f>IF(OR($B51="",D51=""),"",IF($B51=0,--(D51=0),""))</f>
        <v/>
      </c>
      <c r="R51" s="4">
        <f>IF(D51="","",--(D51=1))</f>
        <v/>
      </c>
      <c r="S51" s="4">
        <f>IF(OR($B51="",E51=""),"",--(E51=$B51))</f>
        <v/>
      </c>
      <c r="T51" s="4">
        <f>IF(OR($B51="",E51=""),"",IF($B51=1,--(E51=1),""))</f>
        <v/>
      </c>
      <c r="U51" s="4">
        <f>IF(OR($B51="",E51=""),"",IF($B51=0,--(E51=0),""))</f>
        <v/>
      </c>
      <c r="V51" s="4">
        <f>IF(E51="","",--(E51=1))</f>
        <v/>
      </c>
      <c r="W51" s="4">
        <f>IF(OR($B51="",F51=""),"",--(F51=$B51))</f>
        <v/>
      </c>
      <c r="X51" s="4">
        <f>IF(OR($B51="",F51=""),"",IF($B51=1,--(F51=1),""))</f>
        <v/>
      </c>
      <c r="Y51" s="4">
        <f>IF(OR($B51="",F51=""),"",IF($B51=0,--(F51=0),""))</f>
        <v/>
      </c>
      <c r="Z51" s="4">
        <f>IF(F51="","",--(F51=1))</f>
        <v/>
      </c>
      <c r="AA51" s="4">
        <f>IF(OR($B51="",G51=""),"",--(G51=$B51))</f>
        <v/>
      </c>
      <c r="AB51" s="4">
        <f>IF(OR($B51="",G51=""),"",IF($B51=1,--(G51=1),""))</f>
        <v/>
      </c>
      <c r="AC51" s="4">
        <f>IF(OR($B51="",G51=""),"",IF($B51=0,--(G51=0),""))</f>
        <v/>
      </c>
      <c r="AD51" s="4">
        <f>IF(G51="","",--(G51=1))</f>
        <v/>
      </c>
      <c r="AE51" s="4">
        <f>IF(OR($B51="",H51=""),"",--(H51=$B51))</f>
        <v/>
      </c>
      <c r="AF51" s="4">
        <f>IF(OR($B51="",H51=""),"",IF($B51=1,--(H51=1),""))</f>
        <v/>
      </c>
      <c r="AG51" s="4">
        <f>IF(OR($B51="",H51=""),"",IF($B51=0,--(H51=0),""))</f>
        <v/>
      </c>
      <c r="AH51" s="4">
        <f>IF(H51="","",--(H51=1))</f>
        <v/>
      </c>
      <c r="AI51" s="4">
        <f>IF(OR($B51="",I51=""),"",--(I51=$B51))</f>
        <v/>
      </c>
      <c r="AJ51" s="4">
        <f>IF(OR($B51="",I51=""),"",IF($B51=1,--(I51=1),""))</f>
        <v/>
      </c>
      <c r="AK51" s="4">
        <f>IF(OR($B51="",I51=""),"",IF($B51=0,--(I51=0),""))</f>
        <v/>
      </c>
      <c r="AL51" s="4">
        <f>IF(I51="","",--(I51=1))</f>
        <v/>
      </c>
      <c r="AM51" s="4">
        <f>IF(OR($B51="",J51=""),"",--(J51=$B51))</f>
        <v/>
      </c>
      <c r="AN51" s="4">
        <f>IF(OR($B51="",J51=""),"",IF($B51=1,--(J51=1),""))</f>
        <v/>
      </c>
      <c r="AO51" s="4">
        <f>IF(OR($B51="",J51=""),"",IF($B51=0,--(J51=0),""))</f>
        <v/>
      </c>
      <c r="AP51" s="4">
        <f>IF(J51="","",--(J51=1))</f>
        <v/>
      </c>
      <c r="AQ51" s="4">
        <f>IF(OR($B51="",K51=""),"",--(K51=$B51))</f>
        <v/>
      </c>
      <c r="AR51" s="4">
        <f>IF(OR($B51="",K51=""),"",IF($B51=1,--(K51=1),""))</f>
        <v/>
      </c>
      <c r="AS51" s="4">
        <f>IF(OR($B51="",K51=""),"",IF($B51=0,--(K51=0),""))</f>
        <v/>
      </c>
      <c r="AT51" s="4">
        <f>IF(K51="","",--(K51=1))</f>
        <v/>
      </c>
      <c r="AU51" s="4">
        <f>IF(OR($B51="",L51=""),"",--(L51=$B51))</f>
        <v/>
      </c>
      <c r="AV51" s="4">
        <f>IF(OR($B51="",L51=""),"",IF($B51=1,--(L51=1),""))</f>
        <v/>
      </c>
      <c r="AW51" s="4">
        <f>IF(OR($B51="",L51=""),"",IF($B51=0,--(L51=0),""))</f>
        <v/>
      </c>
      <c r="AX51" s="4">
        <f>IF(L51="","",--(L51=1))</f>
        <v/>
      </c>
      <c r="AY51" s="4">
        <f>IF(OR($B51="",M51=""),"",--(M51=$B51))</f>
        <v/>
      </c>
      <c r="AZ51" s="4">
        <f>IF(OR($B51="",M51=""),"",IF($B51=1,--(M51=1),""))</f>
        <v/>
      </c>
      <c r="BA51" s="4">
        <f>IF(OR($B51="",M51=""),"",IF($B51=0,--(M51=0),""))</f>
        <v/>
      </c>
      <c r="BB51" s="4">
        <f>IF(M51="","",--(M51=1))</f>
        <v/>
      </c>
      <c r="BC51" s="4">
        <f>IF(OR($B51="",N51=""),"",--(N51=$B51))</f>
        <v/>
      </c>
      <c r="BD51" s="4">
        <f>IF(OR($B51="",N51=""),"",IF($B51=1,--(N51=1),""))</f>
        <v/>
      </c>
      <c r="BE51" s="4">
        <f>IF(OR($B51="",N51=""),"",IF($B51=0,--(N51=0),""))</f>
        <v/>
      </c>
      <c r="BF51" s="4">
        <f>IF(N51="","",--(N51=1))</f>
        <v/>
      </c>
    </row>
    <row r="52">
      <c r="A52" s="3" t="inlineStr">
        <is>
          <t>20197448</t>
        </is>
      </c>
      <c r="B52" s="3" t="inlineStr">
        <is>
          <t>0</t>
        </is>
      </c>
      <c r="C52" s="3" t="inlineStr">
        <is>
          <t>Direct</t>
        </is>
      </c>
      <c r="D52" s="3" t="inlineStr">
        <is>
          <t>0</t>
        </is>
      </c>
      <c r="E52" s="3" t="inlineStr">
        <is>
          <t>0</t>
        </is>
      </c>
      <c r="F52" s="3" t="inlineStr">
        <is>
          <t>0</t>
        </is>
      </c>
      <c r="G52" s="3" t="inlineStr">
        <is>
          <t>0</t>
        </is>
      </c>
      <c r="H52" s="3" t="inlineStr">
        <is>
          <t>0</t>
        </is>
      </c>
      <c r="I52" s="3" t="inlineStr">
        <is>
          <t>1</t>
        </is>
      </c>
      <c r="J52" s="3" t="inlineStr">
        <is>
          <t>1</t>
        </is>
      </c>
      <c r="K52" s="3" t="inlineStr">
        <is>
          <t>1</t>
        </is>
      </c>
      <c r="L52" s="3" t="inlineStr">
        <is>
          <t>1</t>
        </is>
      </c>
      <c r="M52" s="3" t="inlineStr">
        <is>
          <t>1</t>
        </is>
      </c>
      <c r="N52" s="3" t="inlineStr">
        <is>
          <t>1</t>
        </is>
      </c>
      <c r="O52" s="4">
        <f>IF(OR($B52="",D52=""),"",--(D52=$B52))</f>
        <v/>
      </c>
      <c r="P52" s="4">
        <f>IF(OR($B52="",D52=""),"",IF($B52=1,--(D52=1),""))</f>
        <v/>
      </c>
      <c r="Q52" s="4">
        <f>IF(OR($B52="",D52=""),"",IF($B52=0,--(D52=0),""))</f>
        <v/>
      </c>
      <c r="R52" s="4">
        <f>IF(D52="","",--(D52=1))</f>
        <v/>
      </c>
      <c r="S52" s="4">
        <f>IF(OR($B52="",E52=""),"",--(E52=$B52))</f>
        <v/>
      </c>
      <c r="T52" s="4">
        <f>IF(OR($B52="",E52=""),"",IF($B52=1,--(E52=1),""))</f>
        <v/>
      </c>
      <c r="U52" s="4">
        <f>IF(OR($B52="",E52=""),"",IF($B52=0,--(E52=0),""))</f>
        <v/>
      </c>
      <c r="V52" s="4">
        <f>IF(E52="","",--(E52=1))</f>
        <v/>
      </c>
      <c r="W52" s="4">
        <f>IF(OR($B52="",F52=""),"",--(F52=$B52))</f>
        <v/>
      </c>
      <c r="X52" s="4">
        <f>IF(OR($B52="",F52=""),"",IF($B52=1,--(F52=1),""))</f>
        <v/>
      </c>
      <c r="Y52" s="4">
        <f>IF(OR($B52="",F52=""),"",IF($B52=0,--(F52=0),""))</f>
        <v/>
      </c>
      <c r="Z52" s="4">
        <f>IF(F52="","",--(F52=1))</f>
        <v/>
      </c>
      <c r="AA52" s="4">
        <f>IF(OR($B52="",G52=""),"",--(G52=$B52))</f>
        <v/>
      </c>
      <c r="AB52" s="4">
        <f>IF(OR($B52="",G52=""),"",IF($B52=1,--(G52=1),""))</f>
        <v/>
      </c>
      <c r="AC52" s="4">
        <f>IF(OR($B52="",G52=""),"",IF($B52=0,--(G52=0),""))</f>
        <v/>
      </c>
      <c r="AD52" s="4">
        <f>IF(G52="","",--(G52=1))</f>
        <v/>
      </c>
      <c r="AE52" s="4">
        <f>IF(OR($B52="",H52=""),"",--(H52=$B52))</f>
        <v/>
      </c>
      <c r="AF52" s="4">
        <f>IF(OR($B52="",H52=""),"",IF($B52=1,--(H52=1),""))</f>
        <v/>
      </c>
      <c r="AG52" s="4">
        <f>IF(OR($B52="",H52=""),"",IF($B52=0,--(H52=0),""))</f>
        <v/>
      </c>
      <c r="AH52" s="4">
        <f>IF(H52="","",--(H52=1))</f>
        <v/>
      </c>
      <c r="AI52" s="4">
        <f>IF(OR($B52="",I52=""),"",--(I52=$B52))</f>
        <v/>
      </c>
      <c r="AJ52" s="4">
        <f>IF(OR($B52="",I52=""),"",IF($B52=1,--(I52=1),""))</f>
        <v/>
      </c>
      <c r="AK52" s="4">
        <f>IF(OR($B52="",I52=""),"",IF($B52=0,--(I52=0),""))</f>
        <v/>
      </c>
      <c r="AL52" s="4">
        <f>IF(I52="","",--(I52=1))</f>
        <v/>
      </c>
      <c r="AM52" s="4">
        <f>IF(OR($B52="",J52=""),"",--(J52=$B52))</f>
        <v/>
      </c>
      <c r="AN52" s="4">
        <f>IF(OR($B52="",J52=""),"",IF($B52=1,--(J52=1),""))</f>
        <v/>
      </c>
      <c r="AO52" s="4">
        <f>IF(OR($B52="",J52=""),"",IF($B52=0,--(J52=0),""))</f>
        <v/>
      </c>
      <c r="AP52" s="4">
        <f>IF(J52="","",--(J52=1))</f>
        <v/>
      </c>
      <c r="AQ52" s="4">
        <f>IF(OR($B52="",K52=""),"",--(K52=$B52))</f>
        <v/>
      </c>
      <c r="AR52" s="4">
        <f>IF(OR($B52="",K52=""),"",IF($B52=1,--(K52=1),""))</f>
        <v/>
      </c>
      <c r="AS52" s="4">
        <f>IF(OR($B52="",K52=""),"",IF($B52=0,--(K52=0),""))</f>
        <v/>
      </c>
      <c r="AT52" s="4">
        <f>IF(K52="","",--(K52=1))</f>
        <v/>
      </c>
      <c r="AU52" s="4">
        <f>IF(OR($B52="",L52=""),"",--(L52=$B52))</f>
        <v/>
      </c>
      <c r="AV52" s="4">
        <f>IF(OR($B52="",L52=""),"",IF($B52=1,--(L52=1),""))</f>
        <v/>
      </c>
      <c r="AW52" s="4">
        <f>IF(OR($B52="",L52=""),"",IF($B52=0,--(L52=0),""))</f>
        <v/>
      </c>
      <c r="AX52" s="4">
        <f>IF(L52="","",--(L52=1))</f>
        <v/>
      </c>
      <c r="AY52" s="4">
        <f>IF(OR($B52="",M52=""),"",--(M52=$B52))</f>
        <v/>
      </c>
      <c r="AZ52" s="4">
        <f>IF(OR($B52="",M52=""),"",IF($B52=1,--(M52=1),""))</f>
        <v/>
      </c>
      <c r="BA52" s="4">
        <f>IF(OR($B52="",M52=""),"",IF($B52=0,--(M52=0),""))</f>
        <v/>
      </c>
      <c r="BB52" s="4">
        <f>IF(M52="","",--(M52=1))</f>
        <v/>
      </c>
      <c r="BC52" s="4">
        <f>IF(OR($B52="",N52=""),"",--(N52=$B52))</f>
        <v/>
      </c>
      <c r="BD52" s="4">
        <f>IF(OR($B52="",N52=""),"",IF($B52=1,--(N52=1),""))</f>
        <v/>
      </c>
      <c r="BE52" s="4">
        <f>IF(OR($B52="",N52=""),"",IF($B52=0,--(N52=0),""))</f>
        <v/>
      </c>
      <c r="BF52" s="4">
        <f>IF(N52="","",--(N52=1))</f>
        <v/>
      </c>
    </row>
    <row r="53">
      <c r="A53" s="3" t="inlineStr">
        <is>
          <t>20198224</t>
        </is>
      </c>
      <c r="B53" s="3" t="inlineStr">
        <is>
          <t>1</t>
        </is>
      </c>
      <c r="C53" s="3" t="inlineStr">
        <is>
          <t>Direct</t>
        </is>
      </c>
      <c r="D53" s="3" t="inlineStr">
        <is>
          <t>1</t>
        </is>
      </c>
      <c r="E53" s="3" t="inlineStr">
        <is>
          <t>0</t>
        </is>
      </c>
      <c r="F53" s="3" t="inlineStr">
        <is>
          <t>0</t>
        </is>
      </c>
      <c r="G53" s="3" t="inlineStr">
        <is>
          <t>1</t>
        </is>
      </c>
      <c r="H53" s="3" t="inlineStr">
        <is>
          <t>1</t>
        </is>
      </c>
      <c r="I53" s="3" t="inlineStr">
        <is>
          <t>1</t>
        </is>
      </c>
      <c r="J53" s="3" t="inlineStr">
        <is>
          <t>1</t>
        </is>
      </c>
      <c r="K53" s="3" t="inlineStr">
        <is>
          <t>1</t>
        </is>
      </c>
      <c r="L53" s="3" t="inlineStr">
        <is>
          <t>1</t>
        </is>
      </c>
      <c r="M53" s="3" t="inlineStr">
        <is>
          <t>1</t>
        </is>
      </c>
      <c r="N53" s="3" t="inlineStr">
        <is>
          <t>1</t>
        </is>
      </c>
      <c r="O53" s="4">
        <f>IF(OR($B53="",D53=""),"",--(D53=$B53))</f>
        <v/>
      </c>
      <c r="P53" s="4">
        <f>IF(OR($B53="",D53=""),"",IF($B53=1,--(D53=1),""))</f>
        <v/>
      </c>
      <c r="Q53" s="4">
        <f>IF(OR($B53="",D53=""),"",IF($B53=0,--(D53=0),""))</f>
        <v/>
      </c>
      <c r="R53" s="4">
        <f>IF(D53="","",--(D53=1))</f>
        <v/>
      </c>
      <c r="S53" s="4">
        <f>IF(OR($B53="",E53=""),"",--(E53=$B53))</f>
        <v/>
      </c>
      <c r="T53" s="4">
        <f>IF(OR($B53="",E53=""),"",IF($B53=1,--(E53=1),""))</f>
        <v/>
      </c>
      <c r="U53" s="4">
        <f>IF(OR($B53="",E53=""),"",IF($B53=0,--(E53=0),""))</f>
        <v/>
      </c>
      <c r="V53" s="4">
        <f>IF(E53="","",--(E53=1))</f>
        <v/>
      </c>
      <c r="W53" s="4">
        <f>IF(OR($B53="",F53=""),"",--(F53=$B53))</f>
        <v/>
      </c>
      <c r="X53" s="4">
        <f>IF(OR($B53="",F53=""),"",IF($B53=1,--(F53=1),""))</f>
        <v/>
      </c>
      <c r="Y53" s="4">
        <f>IF(OR($B53="",F53=""),"",IF($B53=0,--(F53=0),""))</f>
        <v/>
      </c>
      <c r="Z53" s="4">
        <f>IF(F53="","",--(F53=1))</f>
        <v/>
      </c>
      <c r="AA53" s="4">
        <f>IF(OR($B53="",G53=""),"",--(G53=$B53))</f>
        <v/>
      </c>
      <c r="AB53" s="4">
        <f>IF(OR($B53="",G53=""),"",IF($B53=1,--(G53=1),""))</f>
        <v/>
      </c>
      <c r="AC53" s="4">
        <f>IF(OR($B53="",G53=""),"",IF($B53=0,--(G53=0),""))</f>
        <v/>
      </c>
      <c r="AD53" s="4">
        <f>IF(G53="","",--(G53=1))</f>
        <v/>
      </c>
      <c r="AE53" s="4">
        <f>IF(OR($B53="",H53=""),"",--(H53=$B53))</f>
        <v/>
      </c>
      <c r="AF53" s="4">
        <f>IF(OR($B53="",H53=""),"",IF($B53=1,--(H53=1),""))</f>
        <v/>
      </c>
      <c r="AG53" s="4">
        <f>IF(OR($B53="",H53=""),"",IF($B53=0,--(H53=0),""))</f>
        <v/>
      </c>
      <c r="AH53" s="4">
        <f>IF(H53="","",--(H53=1))</f>
        <v/>
      </c>
      <c r="AI53" s="4">
        <f>IF(OR($B53="",I53=""),"",--(I53=$B53))</f>
        <v/>
      </c>
      <c r="AJ53" s="4">
        <f>IF(OR($B53="",I53=""),"",IF($B53=1,--(I53=1),""))</f>
        <v/>
      </c>
      <c r="AK53" s="4">
        <f>IF(OR($B53="",I53=""),"",IF($B53=0,--(I53=0),""))</f>
        <v/>
      </c>
      <c r="AL53" s="4">
        <f>IF(I53="","",--(I53=1))</f>
        <v/>
      </c>
      <c r="AM53" s="4">
        <f>IF(OR($B53="",J53=""),"",--(J53=$B53))</f>
        <v/>
      </c>
      <c r="AN53" s="4">
        <f>IF(OR($B53="",J53=""),"",IF($B53=1,--(J53=1),""))</f>
        <v/>
      </c>
      <c r="AO53" s="4">
        <f>IF(OR($B53="",J53=""),"",IF($B53=0,--(J53=0),""))</f>
        <v/>
      </c>
      <c r="AP53" s="4">
        <f>IF(J53="","",--(J53=1))</f>
        <v/>
      </c>
      <c r="AQ53" s="4">
        <f>IF(OR($B53="",K53=""),"",--(K53=$B53))</f>
        <v/>
      </c>
      <c r="AR53" s="4">
        <f>IF(OR($B53="",K53=""),"",IF($B53=1,--(K53=1),""))</f>
        <v/>
      </c>
      <c r="AS53" s="4">
        <f>IF(OR($B53="",K53=""),"",IF($B53=0,--(K53=0),""))</f>
        <v/>
      </c>
      <c r="AT53" s="4">
        <f>IF(K53="","",--(K53=1))</f>
        <v/>
      </c>
      <c r="AU53" s="4">
        <f>IF(OR($B53="",L53=""),"",--(L53=$B53))</f>
        <v/>
      </c>
      <c r="AV53" s="4">
        <f>IF(OR($B53="",L53=""),"",IF($B53=1,--(L53=1),""))</f>
        <v/>
      </c>
      <c r="AW53" s="4">
        <f>IF(OR($B53="",L53=""),"",IF($B53=0,--(L53=0),""))</f>
        <v/>
      </c>
      <c r="AX53" s="4">
        <f>IF(L53="","",--(L53=1))</f>
        <v/>
      </c>
      <c r="AY53" s="4">
        <f>IF(OR($B53="",M53=""),"",--(M53=$B53))</f>
        <v/>
      </c>
      <c r="AZ53" s="4">
        <f>IF(OR($B53="",M53=""),"",IF($B53=1,--(M53=1),""))</f>
        <v/>
      </c>
      <c r="BA53" s="4">
        <f>IF(OR($B53="",M53=""),"",IF($B53=0,--(M53=0),""))</f>
        <v/>
      </c>
      <c r="BB53" s="4">
        <f>IF(M53="","",--(M53=1))</f>
        <v/>
      </c>
      <c r="BC53" s="4">
        <f>IF(OR($B53="",N53=""),"",--(N53=$B53))</f>
        <v/>
      </c>
      <c r="BD53" s="4">
        <f>IF(OR($B53="",N53=""),"",IF($B53=1,--(N53=1),""))</f>
        <v/>
      </c>
      <c r="BE53" s="4">
        <f>IF(OR($B53="",N53=""),"",IF($B53=0,--(N53=0),""))</f>
        <v/>
      </c>
      <c r="BF53" s="4">
        <f>IF(N53="","",--(N53=1))</f>
        <v/>
      </c>
    </row>
    <row r="54">
      <c r="A54" s="3" t="inlineStr">
        <is>
          <t>20199803</t>
        </is>
      </c>
      <c r="B54" s="3" t="inlineStr">
        <is>
          <t>0</t>
        </is>
      </c>
      <c r="C54" s="3" t="inlineStr">
        <is>
          <t>Direct</t>
        </is>
      </c>
      <c r="D54" s="3" t="inlineStr">
        <is>
          <t>0</t>
        </is>
      </c>
      <c r="E54" s="3" t="inlineStr">
        <is>
          <t>1</t>
        </is>
      </c>
      <c r="F54" s="3" t="inlineStr">
        <is>
          <t>1</t>
        </is>
      </c>
      <c r="G54" s="3" t="inlineStr">
        <is>
          <t>1</t>
        </is>
      </c>
      <c r="H54" s="3" t="inlineStr">
        <is>
          <t>1</t>
        </is>
      </c>
      <c r="I54" s="3" t="inlineStr">
        <is>
          <t>1</t>
        </is>
      </c>
      <c r="J54" s="3" t="inlineStr">
        <is>
          <t>1</t>
        </is>
      </c>
      <c r="K54" s="3" t="inlineStr">
        <is>
          <t>1</t>
        </is>
      </c>
      <c r="L54" s="3" t="inlineStr">
        <is>
          <t>1</t>
        </is>
      </c>
      <c r="M54" s="3" t="inlineStr">
        <is>
          <t>1</t>
        </is>
      </c>
      <c r="N54" s="3" t="inlineStr">
        <is>
          <t>1</t>
        </is>
      </c>
      <c r="O54" s="4">
        <f>IF(OR($B54="",D54=""),"",--(D54=$B54))</f>
        <v/>
      </c>
      <c r="P54" s="4">
        <f>IF(OR($B54="",D54=""),"",IF($B54=1,--(D54=1),""))</f>
        <v/>
      </c>
      <c r="Q54" s="4">
        <f>IF(OR($B54="",D54=""),"",IF($B54=0,--(D54=0),""))</f>
        <v/>
      </c>
      <c r="R54" s="4">
        <f>IF(D54="","",--(D54=1))</f>
        <v/>
      </c>
      <c r="S54" s="4">
        <f>IF(OR($B54="",E54=""),"",--(E54=$B54))</f>
        <v/>
      </c>
      <c r="T54" s="4">
        <f>IF(OR($B54="",E54=""),"",IF($B54=1,--(E54=1),""))</f>
        <v/>
      </c>
      <c r="U54" s="4">
        <f>IF(OR($B54="",E54=""),"",IF($B54=0,--(E54=0),""))</f>
        <v/>
      </c>
      <c r="V54" s="4">
        <f>IF(E54="","",--(E54=1))</f>
        <v/>
      </c>
      <c r="W54" s="4">
        <f>IF(OR($B54="",F54=""),"",--(F54=$B54))</f>
        <v/>
      </c>
      <c r="X54" s="4">
        <f>IF(OR($B54="",F54=""),"",IF($B54=1,--(F54=1),""))</f>
        <v/>
      </c>
      <c r="Y54" s="4">
        <f>IF(OR($B54="",F54=""),"",IF($B54=0,--(F54=0),""))</f>
        <v/>
      </c>
      <c r="Z54" s="4">
        <f>IF(F54="","",--(F54=1))</f>
        <v/>
      </c>
      <c r="AA54" s="4">
        <f>IF(OR($B54="",G54=""),"",--(G54=$B54))</f>
        <v/>
      </c>
      <c r="AB54" s="4">
        <f>IF(OR($B54="",G54=""),"",IF($B54=1,--(G54=1),""))</f>
        <v/>
      </c>
      <c r="AC54" s="4">
        <f>IF(OR($B54="",G54=""),"",IF($B54=0,--(G54=0),""))</f>
        <v/>
      </c>
      <c r="AD54" s="4">
        <f>IF(G54="","",--(G54=1))</f>
        <v/>
      </c>
      <c r="AE54" s="4">
        <f>IF(OR($B54="",H54=""),"",--(H54=$B54))</f>
        <v/>
      </c>
      <c r="AF54" s="4">
        <f>IF(OR($B54="",H54=""),"",IF($B54=1,--(H54=1),""))</f>
        <v/>
      </c>
      <c r="AG54" s="4">
        <f>IF(OR($B54="",H54=""),"",IF($B54=0,--(H54=0),""))</f>
        <v/>
      </c>
      <c r="AH54" s="4">
        <f>IF(H54="","",--(H54=1))</f>
        <v/>
      </c>
      <c r="AI54" s="4">
        <f>IF(OR($B54="",I54=""),"",--(I54=$B54))</f>
        <v/>
      </c>
      <c r="AJ54" s="4">
        <f>IF(OR($B54="",I54=""),"",IF($B54=1,--(I54=1),""))</f>
        <v/>
      </c>
      <c r="AK54" s="4">
        <f>IF(OR($B54="",I54=""),"",IF($B54=0,--(I54=0),""))</f>
        <v/>
      </c>
      <c r="AL54" s="4">
        <f>IF(I54="","",--(I54=1))</f>
        <v/>
      </c>
      <c r="AM54" s="4">
        <f>IF(OR($B54="",J54=""),"",--(J54=$B54))</f>
        <v/>
      </c>
      <c r="AN54" s="4">
        <f>IF(OR($B54="",J54=""),"",IF($B54=1,--(J54=1),""))</f>
        <v/>
      </c>
      <c r="AO54" s="4">
        <f>IF(OR($B54="",J54=""),"",IF($B54=0,--(J54=0),""))</f>
        <v/>
      </c>
      <c r="AP54" s="4">
        <f>IF(J54="","",--(J54=1))</f>
        <v/>
      </c>
      <c r="AQ54" s="4">
        <f>IF(OR($B54="",K54=""),"",--(K54=$B54))</f>
        <v/>
      </c>
      <c r="AR54" s="4">
        <f>IF(OR($B54="",K54=""),"",IF($B54=1,--(K54=1),""))</f>
        <v/>
      </c>
      <c r="AS54" s="4">
        <f>IF(OR($B54="",K54=""),"",IF($B54=0,--(K54=0),""))</f>
        <v/>
      </c>
      <c r="AT54" s="4">
        <f>IF(K54="","",--(K54=1))</f>
        <v/>
      </c>
      <c r="AU54" s="4">
        <f>IF(OR($B54="",L54=""),"",--(L54=$B54))</f>
        <v/>
      </c>
      <c r="AV54" s="4">
        <f>IF(OR($B54="",L54=""),"",IF($B54=1,--(L54=1),""))</f>
        <v/>
      </c>
      <c r="AW54" s="4">
        <f>IF(OR($B54="",L54=""),"",IF($B54=0,--(L54=0),""))</f>
        <v/>
      </c>
      <c r="AX54" s="4">
        <f>IF(L54="","",--(L54=1))</f>
        <v/>
      </c>
      <c r="AY54" s="4">
        <f>IF(OR($B54="",M54=""),"",--(M54=$B54))</f>
        <v/>
      </c>
      <c r="AZ54" s="4">
        <f>IF(OR($B54="",M54=""),"",IF($B54=1,--(M54=1),""))</f>
        <v/>
      </c>
      <c r="BA54" s="4">
        <f>IF(OR($B54="",M54=""),"",IF($B54=0,--(M54=0),""))</f>
        <v/>
      </c>
      <c r="BB54" s="4">
        <f>IF(M54="","",--(M54=1))</f>
        <v/>
      </c>
      <c r="BC54" s="4">
        <f>IF(OR($B54="",N54=""),"",--(N54=$B54))</f>
        <v/>
      </c>
      <c r="BD54" s="4">
        <f>IF(OR($B54="",N54=""),"",IF($B54=1,--(N54=1),""))</f>
        <v/>
      </c>
      <c r="BE54" s="4">
        <f>IF(OR($B54="",N54=""),"",IF($B54=0,--(N54=0),""))</f>
        <v/>
      </c>
      <c r="BF54" s="4">
        <f>IF(N54="","",--(N54=1))</f>
        <v/>
      </c>
    </row>
    <row r="55">
      <c r="A55" s="3" t="inlineStr">
        <is>
          <t>202010117</t>
        </is>
      </c>
      <c r="B55" s="3" t="inlineStr">
        <is>
          <t>0</t>
        </is>
      </c>
      <c r="C55" s="3" t="inlineStr">
        <is>
          <t>Direct</t>
        </is>
      </c>
      <c r="D55" s="3" t="inlineStr">
        <is>
          <t>1</t>
        </is>
      </c>
      <c r="E55" s="3" t="inlineStr">
        <is>
          <t>1</t>
        </is>
      </c>
      <c r="F55" s="3" t="inlineStr">
        <is>
          <t>1</t>
        </is>
      </c>
      <c r="G55" s="3" t="inlineStr">
        <is>
          <t>0</t>
        </is>
      </c>
      <c r="H55" s="3" t="inlineStr">
        <is>
          <t>0</t>
        </is>
      </c>
      <c r="I55" s="3" t="inlineStr">
        <is>
          <t>1</t>
        </is>
      </c>
      <c r="J55" s="3" t="inlineStr">
        <is>
          <t>1</t>
        </is>
      </c>
      <c r="K55" s="3" t="inlineStr">
        <is>
          <t>1</t>
        </is>
      </c>
      <c r="L55" s="3" t="inlineStr">
        <is>
          <t>1</t>
        </is>
      </c>
      <c r="M55" s="3" t="inlineStr">
        <is>
          <t>1</t>
        </is>
      </c>
      <c r="N55" s="3" t="inlineStr">
        <is>
          <t>1</t>
        </is>
      </c>
      <c r="O55" s="4">
        <f>IF(OR($B55="",D55=""),"",--(D55=$B55))</f>
        <v/>
      </c>
      <c r="P55" s="4">
        <f>IF(OR($B55="",D55=""),"",IF($B55=1,--(D55=1),""))</f>
        <v/>
      </c>
      <c r="Q55" s="4">
        <f>IF(OR($B55="",D55=""),"",IF($B55=0,--(D55=0),""))</f>
        <v/>
      </c>
      <c r="R55" s="4">
        <f>IF(D55="","",--(D55=1))</f>
        <v/>
      </c>
      <c r="S55" s="4">
        <f>IF(OR($B55="",E55=""),"",--(E55=$B55))</f>
        <v/>
      </c>
      <c r="T55" s="4">
        <f>IF(OR($B55="",E55=""),"",IF($B55=1,--(E55=1),""))</f>
        <v/>
      </c>
      <c r="U55" s="4">
        <f>IF(OR($B55="",E55=""),"",IF($B55=0,--(E55=0),""))</f>
        <v/>
      </c>
      <c r="V55" s="4">
        <f>IF(E55="","",--(E55=1))</f>
        <v/>
      </c>
      <c r="W55" s="4">
        <f>IF(OR($B55="",F55=""),"",--(F55=$B55))</f>
        <v/>
      </c>
      <c r="X55" s="4">
        <f>IF(OR($B55="",F55=""),"",IF($B55=1,--(F55=1),""))</f>
        <v/>
      </c>
      <c r="Y55" s="4">
        <f>IF(OR($B55="",F55=""),"",IF($B55=0,--(F55=0),""))</f>
        <v/>
      </c>
      <c r="Z55" s="4">
        <f>IF(F55="","",--(F55=1))</f>
        <v/>
      </c>
      <c r="AA55" s="4">
        <f>IF(OR($B55="",G55=""),"",--(G55=$B55))</f>
        <v/>
      </c>
      <c r="AB55" s="4">
        <f>IF(OR($B55="",G55=""),"",IF($B55=1,--(G55=1),""))</f>
        <v/>
      </c>
      <c r="AC55" s="4">
        <f>IF(OR($B55="",G55=""),"",IF($B55=0,--(G55=0),""))</f>
        <v/>
      </c>
      <c r="AD55" s="4">
        <f>IF(G55="","",--(G55=1))</f>
        <v/>
      </c>
      <c r="AE55" s="4">
        <f>IF(OR($B55="",H55=""),"",--(H55=$B55))</f>
        <v/>
      </c>
      <c r="AF55" s="4">
        <f>IF(OR($B55="",H55=""),"",IF($B55=1,--(H55=1),""))</f>
        <v/>
      </c>
      <c r="AG55" s="4">
        <f>IF(OR($B55="",H55=""),"",IF($B55=0,--(H55=0),""))</f>
        <v/>
      </c>
      <c r="AH55" s="4">
        <f>IF(H55="","",--(H55=1))</f>
        <v/>
      </c>
      <c r="AI55" s="4">
        <f>IF(OR($B55="",I55=""),"",--(I55=$B55))</f>
        <v/>
      </c>
      <c r="AJ55" s="4">
        <f>IF(OR($B55="",I55=""),"",IF($B55=1,--(I55=1),""))</f>
        <v/>
      </c>
      <c r="AK55" s="4">
        <f>IF(OR($B55="",I55=""),"",IF($B55=0,--(I55=0),""))</f>
        <v/>
      </c>
      <c r="AL55" s="4">
        <f>IF(I55="","",--(I55=1))</f>
        <v/>
      </c>
      <c r="AM55" s="4">
        <f>IF(OR($B55="",J55=""),"",--(J55=$B55))</f>
        <v/>
      </c>
      <c r="AN55" s="4">
        <f>IF(OR($B55="",J55=""),"",IF($B55=1,--(J55=1),""))</f>
        <v/>
      </c>
      <c r="AO55" s="4">
        <f>IF(OR($B55="",J55=""),"",IF($B55=0,--(J55=0),""))</f>
        <v/>
      </c>
      <c r="AP55" s="4">
        <f>IF(J55="","",--(J55=1))</f>
        <v/>
      </c>
      <c r="AQ55" s="4">
        <f>IF(OR($B55="",K55=""),"",--(K55=$B55))</f>
        <v/>
      </c>
      <c r="AR55" s="4">
        <f>IF(OR($B55="",K55=""),"",IF($B55=1,--(K55=1),""))</f>
        <v/>
      </c>
      <c r="AS55" s="4">
        <f>IF(OR($B55="",K55=""),"",IF($B55=0,--(K55=0),""))</f>
        <v/>
      </c>
      <c r="AT55" s="4">
        <f>IF(K55="","",--(K55=1))</f>
        <v/>
      </c>
      <c r="AU55" s="4">
        <f>IF(OR($B55="",L55=""),"",--(L55=$B55))</f>
        <v/>
      </c>
      <c r="AV55" s="4">
        <f>IF(OR($B55="",L55=""),"",IF($B55=1,--(L55=1),""))</f>
        <v/>
      </c>
      <c r="AW55" s="4">
        <f>IF(OR($B55="",L55=""),"",IF($B55=0,--(L55=0),""))</f>
        <v/>
      </c>
      <c r="AX55" s="4">
        <f>IF(L55="","",--(L55=1))</f>
        <v/>
      </c>
      <c r="AY55" s="4">
        <f>IF(OR($B55="",M55=""),"",--(M55=$B55))</f>
        <v/>
      </c>
      <c r="AZ55" s="4">
        <f>IF(OR($B55="",M55=""),"",IF($B55=1,--(M55=1),""))</f>
        <v/>
      </c>
      <c r="BA55" s="4">
        <f>IF(OR($B55="",M55=""),"",IF($B55=0,--(M55=0),""))</f>
        <v/>
      </c>
      <c r="BB55" s="4">
        <f>IF(M55="","",--(M55=1))</f>
        <v/>
      </c>
      <c r="BC55" s="4">
        <f>IF(OR($B55="",N55=""),"",--(N55=$B55))</f>
        <v/>
      </c>
      <c r="BD55" s="4">
        <f>IF(OR($B55="",N55=""),"",IF($B55=1,--(N55=1),""))</f>
        <v/>
      </c>
      <c r="BE55" s="4">
        <f>IF(OR($B55="",N55=""),"",IF($B55=0,--(N55=0),""))</f>
        <v/>
      </c>
      <c r="BF55" s="4">
        <f>IF(N55="","",--(N55=1))</f>
        <v/>
      </c>
    </row>
    <row r="56">
      <c r="A56" s="3" t="inlineStr">
        <is>
          <t>202011909</t>
        </is>
      </c>
      <c r="B56" s="3" t="inlineStr">
        <is>
          <t>0</t>
        </is>
      </c>
      <c r="C56" s="3" t="inlineStr">
        <is>
          <t>Direct</t>
        </is>
      </c>
      <c r="D56" s="3" t="inlineStr">
        <is>
          <t>1</t>
        </is>
      </c>
      <c r="E56" s="3" t="inlineStr">
        <is>
          <t>0</t>
        </is>
      </c>
      <c r="F56" s="3" t="inlineStr">
        <is>
          <t>0</t>
        </is>
      </c>
      <c r="G56" s="3" t="inlineStr">
        <is>
          <t>0</t>
        </is>
      </c>
      <c r="H56" s="3" t="inlineStr">
        <is>
          <t>0</t>
        </is>
      </c>
      <c r="I56" s="3" t="inlineStr">
        <is>
          <t>0</t>
        </is>
      </c>
      <c r="J56" s="3" t="inlineStr">
        <is>
          <t>0</t>
        </is>
      </c>
      <c r="K56" s="3" t="inlineStr">
        <is>
          <t>0</t>
        </is>
      </c>
      <c r="L56" s="3" t="inlineStr">
        <is>
          <t>0</t>
        </is>
      </c>
      <c r="M56" s="3" t="inlineStr">
        <is>
          <t>0</t>
        </is>
      </c>
      <c r="N56" s="3" t="inlineStr">
        <is>
          <t>0</t>
        </is>
      </c>
      <c r="O56" s="4">
        <f>IF(OR($B56="",D56=""),"",--(D56=$B56))</f>
        <v/>
      </c>
      <c r="P56" s="4">
        <f>IF(OR($B56="",D56=""),"",IF($B56=1,--(D56=1),""))</f>
        <v/>
      </c>
      <c r="Q56" s="4">
        <f>IF(OR($B56="",D56=""),"",IF($B56=0,--(D56=0),""))</f>
        <v/>
      </c>
      <c r="R56" s="4">
        <f>IF(D56="","",--(D56=1))</f>
        <v/>
      </c>
      <c r="S56" s="4">
        <f>IF(OR($B56="",E56=""),"",--(E56=$B56))</f>
        <v/>
      </c>
      <c r="T56" s="4">
        <f>IF(OR($B56="",E56=""),"",IF($B56=1,--(E56=1),""))</f>
        <v/>
      </c>
      <c r="U56" s="4">
        <f>IF(OR($B56="",E56=""),"",IF($B56=0,--(E56=0),""))</f>
        <v/>
      </c>
      <c r="V56" s="4">
        <f>IF(E56="","",--(E56=1))</f>
        <v/>
      </c>
      <c r="W56" s="4">
        <f>IF(OR($B56="",F56=""),"",--(F56=$B56))</f>
        <v/>
      </c>
      <c r="X56" s="4">
        <f>IF(OR($B56="",F56=""),"",IF($B56=1,--(F56=1),""))</f>
        <v/>
      </c>
      <c r="Y56" s="4">
        <f>IF(OR($B56="",F56=""),"",IF($B56=0,--(F56=0),""))</f>
        <v/>
      </c>
      <c r="Z56" s="4">
        <f>IF(F56="","",--(F56=1))</f>
        <v/>
      </c>
      <c r="AA56" s="4">
        <f>IF(OR($B56="",G56=""),"",--(G56=$B56))</f>
        <v/>
      </c>
      <c r="AB56" s="4">
        <f>IF(OR($B56="",G56=""),"",IF($B56=1,--(G56=1),""))</f>
        <v/>
      </c>
      <c r="AC56" s="4">
        <f>IF(OR($B56="",G56=""),"",IF($B56=0,--(G56=0),""))</f>
        <v/>
      </c>
      <c r="AD56" s="4">
        <f>IF(G56="","",--(G56=1))</f>
        <v/>
      </c>
      <c r="AE56" s="4">
        <f>IF(OR($B56="",H56=""),"",--(H56=$B56))</f>
        <v/>
      </c>
      <c r="AF56" s="4">
        <f>IF(OR($B56="",H56=""),"",IF($B56=1,--(H56=1),""))</f>
        <v/>
      </c>
      <c r="AG56" s="4">
        <f>IF(OR($B56="",H56=""),"",IF($B56=0,--(H56=0),""))</f>
        <v/>
      </c>
      <c r="AH56" s="4">
        <f>IF(H56="","",--(H56=1))</f>
        <v/>
      </c>
      <c r="AI56" s="4">
        <f>IF(OR($B56="",I56=""),"",--(I56=$B56))</f>
        <v/>
      </c>
      <c r="AJ56" s="4">
        <f>IF(OR($B56="",I56=""),"",IF($B56=1,--(I56=1),""))</f>
        <v/>
      </c>
      <c r="AK56" s="4">
        <f>IF(OR($B56="",I56=""),"",IF($B56=0,--(I56=0),""))</f>
        <v/>
      </c>
      <c r="AL56" s="4">
        <f>IF(I56="","",--(I56=1))</f>
        <v/>
      </c>
      <c r="AM56" s="4">
        <f>IF(OR($B56="",J56=""),"",--(J56=$B56))</f>
        <v/>
      </c>
      <c r="AN56" s="4">
        <f>IF(OR($B56="",J56=""),"",IF($B56=1,--(J56=1),""))</f>
        <v/>
      </c>
      <c r="AO56" s="4">
        <f>IF(OR($B56="",J56=""),"",IF($B56=0,--(J56=0),""))</f>
        <v/>
      </c>
      <c r="AP56" s="4">
        <f>IF(J56="","",--(J56=1))</f>
        <v/>
      </c>
      <c r="AQ56" s="4">
        <f>IF(OR($B56="",K56=""),"",--(K56=$B56))</f>
        <v/>
      </c>
      <c r="AR56" s="4">
        <f>IF(OR($B56="",K56=""),"",IF($B56=1,--(K56=1),""))</f>
        <v/>
      </c>
      <c r="AS56" s="4">
        <f>IF(OR($B56="",K56=""),"",IF($B56=0,--(K56=0),""))</f>
        <v/>
      </c>
      <c r="AT56" s="4">
        <f>IF(K56="","",--(K56=1))</f>
        <v/>
      </c>
      <c r="AU56" s="4">
        <f>IF(OR($B56="",L56=""),"",--(L56=$B56))</f>
        <v/>
      </c>
      <c r="AV56" s="4">
        <f>IF(OR($B56="",L56=""),"",IF($B56=1,--(L56=1),""))</f>
        <v/>
      </c>
      <c r="AW56" s="4">
        <f>IF(OR($B56="",L56=""),"",IF($B56=0,--(L56=0),""))</f>
        <v/>
      </c>
      <c r="AX56" s="4">
        <f>IF(L56="","",--(L56=1))</f>
        <v/>
      </c>
      <c r="AY56" s="4">
        <f>IF(OR($B56="",M56=""),"",--(M56=$B56))</f>
        <v/>
      </c>
      <c r="AZ56" s="4">
        <f>IF(OR($B56="",M56=""),"",IF($B56=1,--(M56=1),""))</f>
        <v/>
      </c>
      <c r="BA56" s="4">
        <f>IF(OR($B56="",M56=""),"",IF($B56=0,--(M56=0),""))</f>
        <v/>
      </c>
      <c r="BB56" s="4">
        <f>IF(M56="","",--(M56=1))</f>
        <v/>
      </c>
      <c r="BC56" s="4">
        <f>IF(OR($B56="",N56=""),"",--(N56=$B56))</f>
        <v/>
      </c>
      <c r="BD56" s="4">
        <f>IF(OR($B56="",N56=""),"",IF($B56=1,--(N56=1),""))</f>
        <v/>
      </c>
      <c r="BE56" s="4">
        <f>IF(OR($B56="",N56=""),"",IF($B56=0,--(N56=0),""))</f>
        <v/>
      </c>
      <c r="BF56" s="4">
        <f>IF(N56="","",--(N56=1))</f>
        <v/>
      </c>
    </row>
    <row r="57">
      <c r="A57" s="3" t="inlineStr">
        <is>
          <t>202012395</t>
        </is>
      </c>
      <c r="B57" s="3" t="inlineStr">
        <is>
          <t>1</t>
        </is>
      </c>
      <c r="C57" s="3" t="inlineStr">
        <is>
          <t>Direct</t>
        </is>
      </c>
      <c r="D57" s="3" t="inlineStr">
        <is>
          <t>1</t>
        </is>
      </c>
      <c r="E57" s="3" t="inlineStr">
        <is>
          <t>0</t>
        </is>
      </c>
      <c r="F57" s="3" t="inlineStr">
        <is>
          <t>0</t>
        </is>
      </c>
      <c r="G57" s="3" t="inlineStr">
        <is>
          <t>1</t>
        </is>
      </c>
      <c r="H57" s="3" t="inlineStr">
        <is>
          <t>0</t>
        </is>
      </c>
      <c r="I57" s="3" t="inlineStr">
        <is>
          <t>1</t>
        </is>
      </c>
      <c r="J57" s="3" t="inlineStr">
        <is>
          <t>1</t>
        </is>
      </c>
      <c r="K57" s="3" t="inlineStr">
        <is>
          <t>1</t>
        </is>
      </c>
      <c r="L57" s="3" t="inlineStr">
        <is>
          <t>1</t>
        </is>
      </c>
      <c r="M57" s="3" t="inlineStr">
        <is>
          <t>1</t>
        </is>
      </c>
      <c r="N57" s="3" t="inlineStr">
        <is>
          <t>1</t>
        </is>
      </c>
      <c r="O57" s="4">
        <f>IF(OR($B57="",D57=""),"",--(D57=$B57))</f>
        <v/>
      </c>
      <c r="P57" s="4">
        <f>IF(OR($B57="",D57=""),"",IF($B57=1,--(D57=1),""))</f>
        <v/>
      </c>
      <c r="Q57" s="4">
        <f>IF(OR($B57="",D57=""),"",IF($B57=0,--(D57=0),""))</f>
        <v/>
      </c>
      <c r="R57" s="4">
        <f>IF(D57="","",--(D57=1))</f>
        <v/>
      </c>
      <c r="S57" s="4">
        <f>IF(OR($B57="",E57=""),"",--(E57=$B57))</f>
        <v/>
      </c>
      <c r="T57" s="4">
        <f>IF(OR($B57="",E57=""),"",IF($B57=1,--(E57=1),""))</f>
        <v/>
      </c>
      <c r="U57" s="4">
        <f>IF(OR($B57="",E57=""),"",IF($B57=0,--(E57=0),""))</f>
        <v/>
      </c>
      <c r="V57" s="4">
        <f>IF(E57="","",--(E57=1))</f>
        <v/>
      </c>
      <c r="W57" s="4">
        <f>IF(OR($B57="",F57=""),"",--(F57=$B57))</f>
        <v/>
      </c>
      <c r="X57" s="4">
        <f>IF(OR($B57="",F57=""),"",IF($B57=1,--(F57=1),""))</f>
        <v/>
      </c>
      <c r="Y57" s="4">
        <f>IF(OR($B57="",F57=""),"",IF($B57=0,--(F57=0),""))</f>
        <v/>
      </c>
      <c r="Z57" s="4">
        <f>IF(F57="","",--(F57=1))</f>
        <v/>
      </c>
      <c r="AA57" s="4">
        <f>IF(OR($B57="",G57=""),"",--(G57=$B57))</f>
        <v/>
      </c>
      <c r="AB57" s="4">
        <f>IF(OR($B57="",G57=""),"",IF($B57=1,--(G57=1),""))</f>
        <v/>
      </c>
      <c r="AC57" s="4">
        <f>IF(OR($B57="",G57=""),"",IF($B57=0,--(G57=0),""))</f>
        <v/>
      </c>
      <c r="AD57" s="4">
        <f>IF(G57="","",--(G57=1))</f>
        <v/>
      </c>
      <c r="AE57" s="4">
        <f>IF(OR($B57="",H57=""),"",--(H57=$B57))</f>
        <v/>
      </c>
      <c r="AF57" s="4">
        <f>IF(OR($B57="",H57=""),"",IF($B57=1,--(H57=1),""))</f>
        <v/>
      </c>
      <c r="AG57" s="4">
        <f>IF(OR($B57="",H57=""),"",IF($B57=0,--(H57=0),""))</f>
        <v/>
      </c>
      <c r="AH57" s="4">
        <f>IF(H57="","",--(H57=1))</f>
        <v/>
      </c>
      <c r="AI57" s="4">
        <f>IF(OR($B57="",I57=""),"",--(I57=$B57))</f>
        <v/>
      </c>
      <c r="AJ57" s="4">
        <f>IF(OR($B57="",I57=""),"",IF($B57=1,--(I57=1),""))</f>
        <v/>
      </c>
      <c r="AK57" s="4">
        <f>IF(OR($B57="",I57=""),"",IF($B57=0,--(I57=0),""))</f>
        <v/>
      </c>
      <c r="AL57" s="4">
        <f>IF(I57="","",--(I57=1))</f>
        <v/>
      </c>
      <c r="AM57" s="4">
        <f>IF(OR($B57="",J57=""),"",--(J57=$B57))</f>
        <v/>
      </c>
      <c r="AN57" s="4">
        <f>IF(OR($B57="",J57=""),"",IF($B57=1,--(J57=1),""))</f>
        <v/>
      </c>
      <c r="AO57" s="4">
        <f>IF(OR($B57="",J57=""),"",IF($B57=0,--(J57=0),""))</f>
        <v/>
      </c>
      <c r="AP57" s="4">
        <f>IF(J57="","",--(J57=1))</f>
        <v/>
      </c>
      <c r="AQ57" s="4">
        <f>IF(OR($B57="",K57=""),"",--(K57=$B57))</f>
        <v/>
      </c>
      <c r="AR57" s="4">
        <f>IF(OR($B57="",K57=""),"",IF($B57=1,--(K57=1),""))</f>
        <v/>
      </c>
      <c r="AS57" s="4">
        <f>IF(OR($B57="",K57=""),"",IF($B57=0,--(K57=0),""))</f>
        <v/>
      </c>
      <c r="AT57" s="4">
        <f>IF(K57="","",--(K57=1))</f>
        <v/>
      </c>
      <c r="AU57" s="4">
        <f>IF(OR($B57="",L57=""),"",--(L57=$B57))</f>
        <v/>
      </c>
      <c r="AV57" s="4">
        <f>IF(OR($B57="",L57=""),"",IF($B57=1,--(L57=1),""))</f>
        <v/>
      </c>
      <c r="AW57" s="4">
        <f>IF(OR($B57="",L57=""),"",IF($B57=0,--(L57=0),""))</f>
        <v/>
      </c>
      <c r="AX57" s="4">
        <f>IF(L57="","",--(L57=1))</f>
        <v/>
      </c>
      <c r="AY57" s="4">
        <f>IF(OR($B57="",M57=""),"",--(M57=$B57))</f>
        <v/>
      </c>
      <c r="AZ57" s="4">
        <f>IF(OR($B57="",M57=""),"",IF($B57=1,--(M57=1),""))</f>
        <v/>
      </c>
      <c r="BA57" s="4">
        <f>IF(OR($B57="",M57=""),"",IF($B57=0,--(M57=0),""))</f>
        <v/>
      </c>
      <c r="BB57" s="4">
        <f>IF(M57="","",--(M57=1))</f>
        <v/>
      </c>
      <c r="BC57" s="4">
        <f>IF(OR($B57="",N57=""),"",--(N57=$B57))</f>
        <v/>
      </c>
      <c r="BD57" s="4">
        <f>IF(OR($B57="",N57=""),"",IF($B57=1,--(N57=1),""))</f>
        <v/>
      </c>
      <c r="BE57" s="4">
        <f>IF(OR($B57="",N57=""),"",IF($B57=0,--(N57=0),""))</f>
        <v/>
      </c>
      <c r="BF57" s="4">
        <f>IF(N57="","",--(N57=1))</f>
        <v/>
      </c>
    </row>
    <row r="58">
      <c r="A58" s="3" t="inlineStr">
        <is>
          <t>202013119</t>
        </is>
      </c>
      <c r="B58" s="3" t="inlineStr">
        <is>
          <t>1</t>
        </is>
      </c>
      <c r="C58" s="3" t="inlineStr">
        <is>
          <t>Direct</t>
        </is>
      </c>
      <c r="D58" s="3" t="inlineStr">
        <is>
          <t>1</t>
        </is>
      </c>
      <c r="E58" s="3" t="inlineStr">
        <is>
          <t>0</t>
        </is>
      </c>
      <c r="F58" s="3" t="inlineStr">
        <is>
          <t>1</t>
        </is>
      </c>
      <c r="G58" s="3" t="inlineStr">
        <is>
          <t>1</t>
        </is>
      </c>
      <c r="H58" s="3" t="inlineStr">
        <is>
          <t>1</t>
        </is>
      </c>
      <c r="I58" s="3" t="inlineStr">
        <is>
          <t>1</t>
        </is>
      </c>
      <c r="J58" s="3" t="inlineStr">
        <is>
          <t>1</t>
        </is>
      </c>
      <c r="K58" s="3" t="inlineStr">
        <is>
          <t>1</t>
        </is>
      </c>
      <c r="L58" s="3" t="inlineStr">
        <is>
          <t>1</t>
        </is>
      </c>
      <c r="M58" s="3" t="inlineStr">
        <is>
          <t>1</t>
        </is>
      </c>
      <c r="N58" s="3" t="inlineStr">
        <is>
          <t>1</t>
        </is>
      </c>
      <c r="O58" s="4">
        <f>IF(OR($B58="",D58=""),"",--(D58=$B58))</f>
        <v/>
      </c>
      <c r="P58" s="4">
        <f>IF(OR($B58="",D58=""),"",IF($B58=1,--(D58=1),""))</f>
        <v/>
      </c>
      <c r="Q58" s="4">
        <f>IF(OR($B58="",D58=""),"",IF($B58=0,--(D58=0),""))</f>
        <v/>
      </c>
      <c r="R58" s="4">
        <f>IF(D58="","",--(D58=1))</f>
        <v/>
      </c>
      <c r="S58" s="4">
        <f>IF(OR($B58="",E58=""),"",--(E58=$B58))</f>
        <v/>
      </c>
      <c r="T58" s="4">
        <f>IF(OR($B58="",E58=""),"",IF($B58=1,--(E58=1),""))</f>
        <v/>
      </c>
      <c r="U58" s="4">
        <f>IF(OR($B58="",E58=""),"",IF($B58=0,--(E58=0),""))</f>
        <v/>
      </c>
      <c r="V58" s="4">
        <f>IF(E58="","",--(E58=1))</f>
        <v/>
      </c>
      <c r="W58" s="4">
        <f>IF(OR($B58="",F58=""),"",--(F58=$B58))</f>
        <v/>
      </c>
      <c r="X58" s="4">
        <f>IF(OR($B58="",F58=""),"",IF($B58=1,--(F58=1),""))</f>
        <v/>
      </c>
      <c r="Y58" s="4">
        <f>IF(OR($B58="",F58=""),"",IF($B58=0,--(F58=0),""))</f>
        <v/>
      </c>
      <c r="Z58" s="4">
        <f>IF(F58="","",--(F58=1))</f>
        <v/>
      </c>
      <c r="AA58" s="4">
        <f>IF(OR($B58="",G58=""),"",--(G58=$B58))</f>
        <v/>
      </c>
      <c r="AB58" s="4">
        <f>IF(OR($B58="",G58=""),"",IF($B58=1,--(G58=1),""))</f>
        <v/>
      </c>
      <c r="AC58" s="4">
        <f>IF(OR($B58="",G58=""),"",IF($B58=0,--(G58=0),""))</f>
        <v/>
      </c>
      <c r="AD58" s="4">
        <f>IF(G58="","",--(G58=1))</f>
        <v/>
      </c>
      <c r="AE58" s="4">
        <f>IF(OR($B58="",H58=""),"",--(H58=$B58))</f>
        <v/>
      </c>
      <c r="AF58" s="4">
        <f>IF(OR($B58="",H58=""),"",IF($B58=1,--(H58=1),""))</f>
        <v/>
      </c>
      <c r="AG58" s="4">
        <f>IF(OR($B58="",H58=""),"",IF($B58=0,--(H58=0),""))</f>
        <v/>
      </c>
      <c r="AH58" s="4">
        <f>IF(H58="","",--(H58=1))</f>
        <v/>
      </c>
      <c r="AI58" s="4">
        <f>IF(OR($B58="",I58=""),"",--(I58=$B58))</f>
        <v/>
      </c>
      <c r="AJ58" s="4">
        <f>IF(OR($B58="",I58=""),"",IF($B58=1,--(I58=1),""))</f>
        <v/>
      </c>
      <c r="AK58" s="4">
        <f>IF(OR($B58="",I58=""),"",IF($B58=0,--(I58=0),""))</f>
        <v/>
      </c>
      <c r="AL58" s="4">
        <f>IF(I58="","",--(I58=1))</f>
        <v/>
      </c>
      <c r="AM58" s="4">
        <f>IF(OR($B58="",J58=""),"",--(J58=$B58))</f>
        <v/>
      </c>
      <c r="AN58" s="4">
        <f>IF(OR($B58="",J58=""),"",IF($B58=1,--(J58=1),""))</f>
        <v/>
      </c>
      <c r="AO58" s="4">
        <f>IF(OR($B58="",J58=""),"",IF($B58=0,--(J58=0),""))</f>
        <v/>
      </c>
      <c r="AP58" s="4">
        <f>IF(J58="","",--(J58=1))</f>
        <v/>
      </c>
      <c r="AQ58" s="4">
        <f>IF(OR($B58="",K58=""),"",--(K58=$B58))</f>
        <v/>
      </c>
      <c r="AR58" s="4">
        <f>IF(OR($B58="",K58=""),"",IF($B58=1,--(K58=1),""))</f>
        <v/>
      </c>
      <c r="AS58" s="4">
        <f>IF(OR($B58="",K58=""),"",IF($B58=0,--(K58=0),""))</f>
        <v/>
      </c>
      <c r="AT58" s="4">
        <f>IF(K58="","",--(K58=1))</f>
        <v/>
      </c>
      <c r="AU58" s="4">
        <f>IF(OR($B58="",L58=""),"",--(L58=$B58))</f>
        <v/>
      </c>
      <c r="AV58" s="4">
        <f>IF(OR($B58="",L58=""),"",IF($B58=1,--(L58=1),""))</f>
        <v/>
      </c>
      <c r="AW58" s="4">
        <f>IF(OR($B58="",L58=""),"",IF($B58=0,--(L58=0),""))</f>
        <v/>
      </c>
      <c r="AX58" s="4">
        <f>IF(L58="","",--(L58=1))</f>
        <v/>
      </c>
      <c r="AY58" s="4">
        <f>IF(OR($B58="",M58=""),"",--(M58=$B58))</f>
        <v/>
      </c>
      <c r="AZ58" s="4">
        <f>IF(OR($B58="",M58=""),"",IF($B58=1,--(M58=1),""))</f>
        <v/>
      </c>
      <c r="BA58" s="4">
        <f>IF(OR($B58="",M58=""),"",IF($B58=0,--(M58=0),""))</f>
        <v/>
      </c>
      <c r="BB58" s="4">
        <f>IF(M58="","",--(M58=1))</f>
        <v/>
      </c>
      <c r="BC58" s="4">
        <f>IF(OR($B58="",N58=""),"",--(N58=$B58))</f>
        <v/>
      </c>
      <c r="BD58" s="4">
        <f>IF(OR($B58="",N58=""),"",IF($B58=1,--(N58=1),""))</f>
        <v/>
      </c>
      <c r="BE58" s="4">
        <f>IF(OR($B58="",N58=""),"",IF($B58=0,--(N58=0),""))</f>
        <v/>
      </c>
      <c r="BF58" s="4">
        <f>IF(N58="","",--(N58=1))</f>
        <v/>
      </c>
    </row>
    <row r="59">
      <c r="A59" s="3" t="inlineStr">
        <is>
          <t>202013452</t>
        </is>
      </c>
      <c r="B59" s="3" t="inlineStr">
        <is>
          <t>1</t>
        </is>
      </c>
      <c r="C59" s="3" t="inlineStr">
        <is>
          <t>Direct</t>
        </is>
      </c>
      <c r="D59" s="3" t="inlineStr">
        <is>
          <t>1</t>
        </is>
      </c>
      <c r="E59" s="3" t="inlineStr">
        <is>
          <t>0</t>
        </is>
      </c>
      <c r="F59" s="3" t="inlineStr">
        <is>
          <t>0</t>
        </is>
      </c>
      <c r="G59" s="3" t="inlineStr">
        <is>
          <t>1</t>
        </is>
      </c>
      <c r="H59" s="3" t="inlineStr">
        <is>
          <t>1</t>
        </is>
      </c>
      <c r="I59" s="3" t="inlineStr">
        <is>
          <t>1</t>
        </is>
      </c>
      <c r="J59" s="3" t="inlineStr">
        <is>
          <t>1</t>
        </is>
      </c>
      <c r="K59" s="3" t="inlineStr">
        <is>
          <t>1</t>
        </is>
      </c>
      <c r="L59" s="3" t="inlineStr">
        <is>
          <t>1</t>
        </is>
      </c>
      <c r="M59" s="3" t="inlineStr">
        <is>
          <t>1</t>
        </is>
      </c>
      <c r="N59" s="3" t="inlineStr">
        <is>
          <t>1</t>
        </is>
      </c>
      <c r="O59" s="4">
        <f>IF(OR($B59="",D59=""),"",--(D59=$B59))</f>
        <v/>
      </c>
      <c r="P59" s="4">
        <f>IF(OR($B59="",D59=""),"",IF($B59=1,--(D59=1),""))</f>
        <v/>
      </c>
      <c r="Q59" s="4">
        <f>IF(OR($B59="",D59=""),"",IF($B59=0,--(D59=0),""))</f>
        <v/>
      </c>
      <c r="R59" s="4">
        <f>IF(D59="","",--(D59=1))</f>
        <v/>
      </c>
      <c r="S59" s="4">
        <f>IF(OR($B59="",E59=""),"",--(E59=$B59))</f>
        <v/>
      </c>
      <c r="T59" s="4">
        <f>IF(OR($B59="",E59=""),"",IF($B59=1,--(E59=1),""))</f>
        <v/>
      </c>
      <c r="U59" s="4">
        <f>IF(OR($B59="",E59=""),"",IF($B59=0,--(E59=0),""))</f>
        <v/>
      </c>
      <c r="V59" s="4">
        <f>IF(E59="","",--(E59=1))</f>
        <v/>
      </c>
      <c r="W59" s="4">
        <f>IF(OR($B59="",F59=""),"",--(F59=$B59))</f>
        <v/>
      </c>
      <c r="X59" s="4">
        <f>IF(OR($B59="",F59=""),"",IF($B59=1,--(F59=1),""))</f>
        <v/>
      </c>
      <c r="Y59" s="4">
        <f>IF(OR($B59="",F59=""),"",IF($B59=0,--(F59=0),""))</f>
        <v/>
      </c>
      <c r="Z59" s="4">
        <f>IF(F59="","",--(F59=1))</f>
        <v/>
      </c>
      <c r="AA59" s="4">
        <f>IF(OR($B59="",G59=""),"",--(G59=$B59))</f>
        <v/>
      </c>
      <c r="AB59" s="4">
        <f>IF(OR($B59="",G59=""),"",IF($B59=1,--(G59=1),""))</f>
        <v/>
      </c>
      <c r="AC59" s="4">
        <f>IF(OR($B59="",G59=""),"",IF($B59=0,--(G59=0),""))</f>
        <v/>
      </c>
      <c r="AD59" s="4">
        <f>IF(G59="","",--(G59=1))</f>
        <v/>
      </c>
      <c r="AE59" s="4">
        <f>IF(OR($B59="",H59=""),"",--(H59=$B59))</f>
        <v/>
      </c>
      <c r="AF59" s="4">
        <f>IF(OR($B59="",H59=""),"",IF($B59=1,--(H59=1),""))</f>
        <v/>
      </c>
      <c r="AG59" s="4">
        <f>IF(OR($B59="",H59=""),"",IF($B59=0,--(H59=0),""))</f>
        <v/>
      </c>
      <c r="AH59" s="4">
        <f>IF(H59="","",--(H59=1))</f>
        <v/>
      </c>
      <c r="AI59" s="4">
        <f>IF(OR($B59="",I59=""),"",--(I59=$B59))</f>
        <v/>
      </c>
      <c r="AJ59" s="4">
        <f>IF(OR($B59="",I59=""),"",IF($B59=1,--(I59=1),""))</f>
        <v/>
      </c>
      <c r="AK59" s="4">
        <f>IF(OR($B59="",I59=""),"",IF($B59=0,--(I59=0),""))</f>
        <v/>
      </c>
      <c r="AL59" s="4">
        <f>IF(I59="","",--(I59=1))</f>
        <v/>
      </c>
      <c r="AM59" s="4">
        <f>IF(OR($B59="",J59=""),"",--(J59=$B59))</f>
        <v/>
      </c>
      <c r="AN59" s="4">
        <f>IF(OR($B59="",J59=""),"",IF($B59=1,--(J59=1),""))</f>
        <v/>
      </c>
      <c r="AO59" s="4">
        <f>IF(OR($B59="",J59=""),"",IF($B59=0,--(J59=0),""))</f>
        <v/>
      </c>
      <c r="AP59" s="4">
        <f>IF(J59="","",--(J59=1))</f>
        <v/>
      </c>
      <c r="AQ59" s="4">
        <f>IF(OR($B59="",K59=""),"",--(K59=$B59))</f>
        <v/>
      </c>
      <c r="AR59" s="4">
        <f>IF(OR($B59="",K59=""),"",IF($B59=1,--(K59=1),""))</f>
        <v/>
      </c>
      <c r="AS59" s="4">
        <f>IF(OR($B59="",K59=""),"",IF($B59=0,--(K59=0),""))</f>
        <v/>
      </c>
      <c r="AT59" s="4">
        <f>IF(K59="","",--(K59=1))</f>
        <v/>
      </c>
      <c r="AU59" s="4">
        <f>IF(OR($B59="",L59=""),"",--(L59=$B59))</f>
        <v/>
      </c>
      <c r="AV59" s="4">
        <f>IF(OR($B59="",L59=""),"",IF($B59=1,--(L59=1),""))</f>
        <v/>
      </c>
      <c r="AW59" s="4">
        <f>IF(OR($B59="",L59=""),"",IF($B59=0,--(L59=0),""))</f>
        <v/>
      </c>
      <c r="AX59" s="4">
        <f>IF(L59="","",--(L59=1))</f>
        <v/>
      </c>
      <c r="AY59" s="4">
        <f>IF(OR($B59="",M59=""),"",--(M59=$B59))</f>
        <v/>
      </c>
      <c r="AZ59" s="4">
        <f>IF(OR($B59="",M59=""),"",IF($B59=1,--(M59=1),""))</f>
        <v/>
      </c>
      <c r="BA59" s="4">
        <f>IF(OR($B59="",M59=""),"",IF($B59=0,--(M59=0),""))</f>
        <v/>
      </c>
      <c r="BB59" s="4">
        <f>IF(M59="","",--(M59=1))</f>
        <v/>
      </c>
      <c r="BC59" s="4">
        <f>IF(OR($B59="",N59=""),"",--(N59=$B59))</f>
        <v/>
      </c>
      <c r="BD59" s="4">
        <f>IF(OR($B59="",N59=""),"",IF($B59=1,--(N59=1),""))</f>
        <v/>
      </c>
      <c r="BE59" s="4">
        <f>IF(OR($B59="",N59=""),"",IF($B59=0,--(N59=0),""))</f>
        <v/>
      </c>
      <c r="BF59" s="4">
        <f>IF(N59="","",--(N59=1))</f>
        <v/>
      </c>
    </row>
    <row r="60">
      <c r="A60" s="3" t="inlineStr">
        <is>
          <t>202014187</t>
        </is>
      </c>
      <c r="B60" s="3" t="inlineStr">
        <is>
          <t>0</t>
        </is>
      </c>
      <c r="C60" s="3" t="inlineStr">
        <is>
          <t>Direct</t>
        </is>
      </c>
      <c r="D60" s="3" t="inlineStr">
        <is>
          <t>1</t>
        </is>
      </c>
      <c r="E60" s="3" t="inlineStr">
        <is>
          <t>1</t>
        </is>
      </c>
      <c r="F60" s="3" t="inlineStr">
        <is>
          <t>0</t>
        </is>
      </c>
      <c r="G60" s="3" t="inlineStr">
        <is>
          <t>0</t>
        </is>
      </c>
      <c r="H60" s="3" t="inlineStr">
        <is>
          <t>0</t>
        </is>
      </c>
      <c r="I60" s="3" t="inlineStr">
        <is>
          <t>1</t>
        </is>
      </c>
      <c r="J60" s="3" t="inlineStr">
        <is>
          <t>1</t>
        </is>
      </c>
      <c r="K60" s="3" t="inlineStr">
        <is>
          <t>1</t>
        </is>
      </c>
      <c r="L60" s="3" t="inlineStr">
        <is>
          <t>1</t>
        </is>
      </c>
      <c r="M60" s="3" t="inlineStr">
        <is>
          <t>1</t>
        </is>
      </c>
      <c r="N60" s="3" t="inlineStr">
        <is>
          <t>1</t>
        </is>
      </c>
      <c r="O60" s="4">
        <f>IF(OR($B60="",D60=""),"",--(D60=$B60))</f>
        <v/>
      </c>
      <c r="P60" s="4">
        <f>IF(OR($B60="",D60=""),"",IF($B60=1,--(D60=1),""))</f>
        <v/>
      </c>
      <c r="Q60" s="4">
        <f>IF(OR($B60="",D60=""),"",IF($B60=0,--(D60=0),""))</f>
        <v/>
      </c>
      <c r="R60" s="4">
        <f>IF(D60="","",--(D60=1))</f>
        <v/>
      </c>
      <c r="S60" s="4">
        <f>IF(OR($B60="",E60=""),"",--(E60=$B60))</f>
        <v/>
      </c>
      <c r="T60" s="4">
        <f>IF(OR($B60="",E60=""),"",IF($B60=1,--(E60=1),""))</f>
        <v/>
      </c>
      <c r="U60" s="4">
        <f>IF(OR($B60="",E60=""),"",IF($B60=0,--(E60=0),""))</f>
        <v/>
      </c>
      <c r="V60" s="4">
        <f>IF(E60="","",--(E60=1))</f>
        <v/>
      </c>
      <c r="W60" s="4">
        <f>IF(OR($B60="",F60=""),"",--(F60=$B60))</f>
        <v/>
      </c>
      <c r="X60" s="4">
        <f>IF(OR($B60="",F60=""),"",IF($B60=1,--(F60=1),""))</f>
        <v/>
      </c>
      <c r="Y60" s="4">
        <f>IF(OR($B60="",F60=""),"",IF($B60=0,--(F60=0),""))</f>
        <v/>
      </c>
      <c r="Z60" s="4">
        <f>IF(F60="","",--(F60=1))</f>
        <v/>
      </c>
      <c r="AA60" s="4">
        <f>IF(OR($B60="",G60=""),"",--(G60=$B60))</f>
        <v/>
      </c>
      <c r="AB60" s="4">
        <f>IF(OR($B60="",G60=""),"",IF($B60=1,--(G60=1),""))</f>
        <v/>
      </c>
      <c r="AC60" s="4">
        <f>IF(OR($B60="",G60=""),"",IF($B60=0,--(G60=0),""))</f>
        <v/>
      </c>
      <c r="AD60" s="4">
        <f>IF(G60="","",--(G60=1))</f>
        <v/>
      </c>
      <c r="AE60" s="4">
        <f>IF(OR($B60="",H60=""),"",--(H60=$B60))</f>
        <v/>
      </c>
      <c r="AF60" s="4">
        <f>IF(OR($B60="",H60=""),"",IF($B60=1,--(H60=1),""))</f>
        <v/>
      </c>
      <c r="AG60" s="4">
        <f>IF(OR($B60="",H60=""),"",IF($B60=0,--(H60=0),""))</f>
        <v/>
      </c>
      <c r="AH60" s="4">
        <f>IF(H60="","",--(H60=1))</f>
        <v/>
      </c>
      <c r="AI60" s="4">
        <f>IF(OR($B60="",I60=""),"",--(I60=$B60))</f>
        <v/>
      </c>
      <c r="AJ60" s="4">
        <f>IF(OR($B60="",I60=""),"",IF($B60=1,--(I60=1),""))</f>
        <v/>
      </c>
      <c r="AK60" s="4">
        <f>IF(OR($B60="",I60=""),"",IF($B60=0,--(I60=0),""))</f>
        <v/>
      </c>
      <c r="AL60" s="4">
        <f>IF(I60="","",--(I60=1))</f>
        <v/>
      </c>
      <c r="AM60" s="4">
        <f>IF(OR($B60="",J60=""),"",--(J60=$B60))</f>
        <v/>
      </c>
      <c r="AN60" s="4">
        <f>IF(OR($B60="",J60=""),"",IF($B60=1,--(J60=1),""))</f>
        <v/>
      </c>
      <c r="AO60" s="4">
        <f>IF(OR($B60="",J60=""),"",IF($B60=0,--(J60=0),""))</f>
        <v/>
      </c>
      <c r="AP60" s="4">
        <f>IF(J60="","",--(J60=1))</f>
        <v/>
      </c>
      <c r="AQ60" s="4">
        <f>IF(OR($B60="",K60=""),"",--(K60=$B60))</f>
        <v/>
      </c>
      <c r="AR60" s="4">
        <f>IF(OR($B60="",K60=""),"",IF($B60=1,--(K60=1),""))</f>
        <v/>
      </c>
      <c r="AS60" s="4">
        <f>IF(OR($B60="",K60=""),"",IF($B60=0,--(K60=0),""))</f>
        <v/>
      </c>
      <c r="AT60" s="4">
        <f>IF(K60="","",--(K60=1))</f>
        <v/>
      </c>
      <c r="AU60" s="4">
        <f>IF(OR($B60="",L60=""),"",--(L60=$B60))</f>
        <v/>
      </c>
      <c r="AV60" s="4">
        <f>IF(OR($B60="",L60=""),"",IF($B60=1,--(L60=1),""))</f>
        <v/>
      </c>
      <c r="AW60" s="4">
        <f>IF(OR($B60="",L60=""),"",IF($B60=0,--(L60=0),""))</f>
        <v/>
      </c>
      <c r="AX60" s="4">
        <f>IF(L60="","",--(L60=1))</f>
        <v/>
      </c>
      <c r="AY60" s="4">
        <f>IF(OR($B60="",M60=""),"",--(M60=$B60))</f>
        <v/>
      </c>
      <c r="AZ60" s="4">
        <f>IF(OR($B60="",M60=""),"",IF($B60=1,--(M60=1),""))</f>
        <v/>
      </c>
      <c r="BA60" s="4">
        <f>IF(OR($B60="",M60=""),"",IF($B60=0,--(M60=0),""))</f>
        <v/>
      </c>
      <c r="BB60" s="4">
        <f>IF(M60="","",--(M60=1))</f>
        <v/>
      </c>
      <c r="BC60" s="4">
        <f>IF(OR($B60="",N60=""),"",--(N60=$B60))</f>
        <v/>
      </c>
      <c r="BD60" s="4">
        <f>IF(OR($B60="",N60=""),"",IF($B60=1,--(N60=1),""))</f>
        <v/>
      </c>
      <c r="BE60" s="4">
        <f>IF(OR($B60="",N60=""),"",IF($B60=0,--(N60=0),""))</f>
        <v/>
      </c>
      <c r="BF60" s="4">
        <f>IF(N60="","",--(N60=1))</f>
        <v/>
      </c>
    </row>
    <row r="61">
      <c r="A61" s="3" t="inlineStr">
        <is>
          <t>202015366</t>
        </is>
      </c>
      <c r="B61" s="3" t="inlineStr">
        <is>
          <t>1</t>
        </is>
      </c>
      <c r="C61" s="3" t="inlineStr">
        <is>
          <t>Direct</t>
        </is>
      </c>
      <c r="D61" s="3" t="inlineStr">
        <is>
          <t>1</t>
        </is>
      </c>
      <c r="E61" s="3" t="inlineStr">
        <is>
          <t>0</t>
        </is>
      </c>
      <c r="F61" s="3" t="inlineStr">
        <is>
          <t>0</t>
        </is>
      </c>
      <c r="G61" s="3" t="inlineStr">
        <is>
          <t>1</t>
        </is>
      </c>
      <c r="H61" s="3" t="inlineStr">
        <is>
          <t>1</t>
        </is>
      </c>
      <c r="I61" s="3" t="inlineStr">
        <is>
          <t>1</t>
        </is>
      </c>
      <c r="J61" s="3" t="inlineStr">
        <is>
          <t>1</t>
        </is>
      </c>
      <c r="K61" s="3" t="inlineStr">
        <is>
          <t>1</t>
        </is>
      </c>
      <c r="L61" s="3" t="inlineStr">
        <is>
          <t>1</t>
        </is>
      </c>
      <c r="M61" s="3" t="inlineStr">
        <is>
          <t>1</t>
        </is>
      </c>
      <c r="N61" s="3" t="inlineStr">
        <is>
          <t>1</t>
        </is>
      </c>
      <c r="O61" s="4">
        <f>IF(OR($B61="",D61=""),"",--(D61=$B61))</f>
        <v/>
      </c>
      <c r="P61" s="4">
        <f>IF(OR($B61="",D61=""),"",IF($B61=1,--(D61=1),""))</f>
        <v/>
      </c>
      <c r="Q61" s="4">
        <f>IF(OR($B61="",D61=""),"",IF($B61=0,--(D61=0),""))</f>
        <v/>
      </c>
      <c r="R61" s="4">
        <f>IF(D61="","",--(D61=1))</f>
        <v/>
      </c>
      <c r="S61" s="4">
        <f>IF(OR($B61="",E61=""),"",--(E61=$B61))</f>
        <v/>
      </c>
      <c r="T61" s="4">
        <f>IF(OR($B61="",E61=""),"",IF($B61=1,--(E61=1),""))</f>
        <v/>
      </c>
      <c r="U61" s="4">
        <f>IF(OR($B61="",E61=""),"",IF($B61=0,--(E61=0),""))</f>
        <v/>
      </c>
      <c r="V61" s="4">
        <f>IF(E61="","",--(E61=1))</f>
        <v/>
      </c>
      <c r="W61" s="4">
        <f>IF(OR($B61="",F61=""),"",--(F61=$B61))</f>
        <v/>
      </c>
      <c r="X61" s="4">
        <f>IF(OR($B61="",F61=""),"",IF($B61=1,--(F61=1),""))</f>
        <v/>
      </c>
      <c r="Y61" s="4">
        <f>IF(OR($B61="",F61=""),"",IF($B61=0,--(F61=0),""))</f>
        <v/>
      </c>
      <c r="Z61" s="4">
        <f>IF(F61="","",--(F61=1))</f>
        <v/>
      </c>
      <c r="AA61" s="4">
        <f>IF(OR($B61="",G61=""),"",--(G61=$B61))</f>
        <v/>
      </c>
      <c r="AB61" s="4">
        <f>IF(OR($B61="",G61=""),"",IF($B61=1,--(G61=1),""))</f>
        <v/>
      </c>
      <c r="AC61" s="4">
        <f>IF(OR($B61="",G61=""),"",IF($B61=0,--(G61=0),""))</f>
        <v/>
      </c>
      <c r="AD61" s="4">
        <f>IF(G61="","",--(G61=1))</f>
        <v/>
      </c>
      <c r="AE61" s="4">
        <f>IF(OR($B61="",H61=""),"",--(H61=$B61))</f>
        <v/>
      </c>
      <c r="AF61" s="4">
        <f>IF(OR($B61="",H61=""),"",IF($B61=1,--(H61=1),""))</f>
        <v/>
      </c>
      <c r="AG61" s="4">
        <f>IF(OR($B61="",H61=""),"",IF($B61=0,--(H61=0),""))</f>
        <v/>
      </c>
      <c r="AH61" s="4">
        <f>IF(H61="","",--(H61=1))</f>
        <v/>
      </c>
      <c r="AI61" s="4">
        <f>IF(OR($B61="",I61=""),"",--(I61=$B61))</f>
        <v/>
      </c>
      <c r="AJ61" s="4">
        <f>IF(OR($B61="",I61=""),"",IF($B61=1,--(I61=1),""))</f>
        <v/>
      </c>
      <c r="AK61" s="4">
        <f>IF(OR($B61="",I61=""),"",IF($B61=0,--(I61=0),""))</f>
        <v/>
      </c>
      <c r="AL61" s="4">
        <f>IF(I61="","",--(I61=1))</f>
        <v/>
      </c>
      <c r="AM61" s="4">
        <f>IF(OR($B61="",J61=""),"",--(J61=$B61))</f>
        <v/>
      </c>
      <c r="AN61" s="4">
        <f>IF(OR($B61="",J61=""),"",IF($B61=1,--(J61=1),""))</f>
        <v/>
      </c>
      <c r="AO61" s="4">
        <f>IF(OR($B61="",J61=""),"",IF($B61=0,--(J61=0),""))</f>
        <v/>
      </c>
      <c r="AP61" s="4">
        <f>IF(J61="","",--(J61=1))</f>
        <v/>
      </c>
      <c r="AQ61" s="4">
        <f>IF(OR($B61="",K61=""),"",--(K61=$B61))</f>
        <v/>
      </c>
      <c r="AR61" s="4">
        <f>IF(OR($B61="",K61=""),"",IF($B61=1,--(K61=1),""))</f>
        <v/>
      </c>
      <c r="AS61" s="4">
        <f>IF(OR($B61="",K61=""),"",IF($B61=0,--(K61=0),""))</f>
        <v/>
      </c>
      <c r="AT61" s="4">
        <f>IF(K61="","",--(K61=1))</f>
        <v/>
      </c>
      <c r="AU61" s="4">
        <f>IF(OR($B61="",L61=""),"",--(L61=$B61))</f>
        <v/>
      </c>
      <c r="AV61" s="4">
        <f>IF(OR($B61="",L61=""),"",IF($B61=1,--(L61=1),""))</f>
        <v/>
      </c>
      <c r="AW61" s="4">
        <f>IF(OR($B61="",L61=""),"",IF($B61=0,--(L61=0),""))</f>
        <v/>
      </c>
      <c r="AX61" s="4">
        <f>IF(L61="","",--(L61=1))</f>
        <v/>
      </c>
      <c r="AY61" s="4">
        <f>IF(OR($B61="",M61=""),"",--(M61=$B61))</f>
        <v/>
      </c>
      <c r="AZ61" s="4">
        <f>IF(OR($B61="",M61=""),"",IF($B61=1,--(M61=1),""))</f>
        <v/>
      </c>
      <c r="BA61" s="4">
        <f>IF(OR($B61="",M61=""),"",IF($B61=0,--(M61=0),""))</f>
        <v/>
      </c>
      <c r="BB61" s="4">
        <f>IF(M61="","",--(M61=1))</f>
        <v/>
      </c>
      <c r="BC61" s="4">
        <f>IF(OR($B61="",N61=""),"",--(N61=$B61))</f>
        <v/>
      </c>
      <c r="BD61" s="4">
        <f>IF(OR($B61="",N61=""),"",IF($B61=1,--(N61=1),""))</f>
        <v/>
      </c>
      <c r="BE61" s="4">
        <f>IF(OR($B61="",N61=""),"",IF($B61=0,--(N61=0),""))</f>
        <v/>
      </c>
      <c r="BF61" s="4">
        <f>IF(N61="","",--(N61=1))</f>
        <v/>
      </c>
    </row>
    <row r="62">
      <c r="A62" s="3" t="inlineStr">
        <is>
          <t>20201546</t>
        </is>
      </c>
      <c r="B62" s="3" t="inlineStr">
        <is>
          <t>1</t>
        </is>
      </c>
      <c r="C62" s="3" t="inlineStr">
        <is>
          <t>Direct</t>
        </is>
      </c>
      <c r="D62" s="3" t="inlineStr">
        <is>
          <t>1</t>
        </is>
      </c>
      <c r="E62" s="3" t="inlineStr">
        <is>
          <t>0</t>
        </is>
      </c>
      <c r="F62" s="3" t="inlineStr">
        <is>
          <t>1</t>
        </is>
      </c>
      <c r="G62" s="3" t="inlineStr">
        <is>
          <t>1</t>
        </is>
      </c>
      <c r="H62" s="3" t="inlineStr">
        <is>
          <t>1</t>
        </is>
      </c>
      <c r="I62" s="3" t="inlineStr">
        <is>
          <t>1</t>
        </is>
      </c>
      <c r="J62" s="3" t="inlineStr">
        <is>
          <t>1</t>
        </is>
      </c>
      <c r="K62" s="3" t="inlineStr">
        <is>
          <t>1</t>
        </is>
      </c>
      <c r="L62" s="3" t="inlineStr">
        <is>
          <t>1</t>
        </is>
      </c>
      <c r="M62" s="3" t="inlineStr">
        <is>
          <t>1</t>
        </is>
      </c>
      <c r="N62" s="3" t="inlineStr">
        <is>
          <t>1</t>
        </is>
      </c>
      <c r="O62" s="4">
        <f>IF(OR($B62="",D62=""),"",--(D62=$B62))</f>
        <v/>
      </c>
      <c r="P62" s="4">
        <f>IF(OR($B62="",D62=""),"",IF($B62=1,--(D62=1),""))</f>
        <v/>
      </c>
      <c r="Q62" s="4">
        <f>IF(OR($B62="",D62=""),"",IF($B62=0,--(D62=0),""))</f>
        <v/>
      </c>
      <c r="R62" s="4">
        <f>IF(D62="","",--(D62=1))</f>
        <v/>
      </c>
      <c r="S62" s="4">
        <f>IF(OR($B62="",E62=""),"",--(E62=$B62))</f>
        <v/>
      </c>
      <c r="T62" s="4">
        <f>IF(OR($B62="",E62=""),"",IF($B62=1,--(E62=1),""))</f>
        <v/>
      </c>
      <c r="U62" s="4">
        <f>IF(OR($B62="",E62=""),"",IF($B62=0,--(E62=0),""))</f>
        <v/>
      </c>
      <c r="V62" s="4">
        <f>IF(E62="","",--(E62=1))</f>
        <v/>
      </c>
      <c r="W62" s="4">
        <f>IF(OR($B62="",F62=""),"",--(F62=$B62))</f>
        <v/>
      </c>
      <c r="X62" s="4">
        <f>IF(OR($B62="",F62=""),"",IF($B62=1,--(F62=1),""))</f>
        <v/>
      </c>
      <c r="Y62" s="4">
        <f>IF(OR($B62="",F62=""),"",IF($B62=0,--(F62=0),""))</f>
        <v/>
      </c>
      <c r="Z62" s="4">
        <f>IF(F62="","",--(F62=1))</f>
        <v/>
      </c>
      <c r="AA62" s="4">
        <f>IF(OR($B62="",G62=""),"",--(G62=$B62))</f>
        <v/>
      </c>
      <c r="AB62" s="4">
        <f>IF(OR($B62="",G62=""),"",IF($B62=1,--(G62=1),""))</f>
        <v/>
      </c>
      <c r="AC62" s="4">
        <f>IF(OR($B62="",G62=""),"",IF($B62=0,--(G62=0),""))</f>
        <v/>
      </c>
      <c r="AD62" s="4">
        <f>IF(G62="","",--(G62=1))</f>
        <v/>
      </c>
      <c r="AE62" s="4">
        <f>IF(OR($B62="",H62=""),"",--(H62=$B62))</f>
        <v/>
      </c>
      <c r="AF62" s="4">
        <f>IF(OR($B62="",H62=""),"",IF($B62=1,--(H62=1),""))</f>
        <v/>
      </c>
      <c r="AG62" s="4">
        <f>IF(OR($B62="",H62=""),"",IF($B62=0,--(H62=0),""))</f>
        <v/>
      </c>
      <c r="AH62" s="4">
        <f>IF(H62="","",--(H62=1))</f>
        <v/>
      </c>
      <c r="AI62" s="4">
        <f>IF(OR($B62="",I62=""),"",--(I62=$B62))</f>
        <v/>
      </c>
      <c r="AJ62" s="4">
        <f>IF(OR($B62="",I62=""),"",IF($B62=1,--(I62=1),""))</f>
        <v/>
      </c>
      <c r="AK62" s="4">
        <f>IF(OR($B62="",I62=""),"",IF($B62=0,--(I62=0),""))</f>
        <v/>
      </c>
      <c r="AL62" s="4">
        <f>IF(I62="","",--(I62=1))</f>
        <v/>
      </c>
      <c r="AM62" s="4">
        <f>IF(OR($B62="",J62=""),"",--(J62=$B62))</f>
        <v/>
      </c>
      <c r="AN62" s="4">
        <f>IF(OR($B62="",J62=""),"",IF($B62=1,--(J62=1),""))</f>
        <v/>
      </c>
      <c r="AO62" s="4">
        <f>IF(OR($B62="",J62=""),"",IF($B62=0,--(J62=0),""))</f>
        <v/>
      </c>
      <c r="AP62" s="4">
        <f>IF(J62="","",--(J62=1))</f>
        <v/>
      </c>
      <c r="AQ62" s="4">
        <f>IF(OR($B62="",K62=""),"",--(K62=$B62))</f>
        <v/>
      </c>
      <c r="AR62" s="4">
        <f>IF(OR($B62="",K62=""),"",IF($B62=1,--(K62=1),""))</f>
        <v/>
      </c>
      <c r="AS62" s="4">
        <f>IF(OR($B62="",K62=""),"",IF($B62=0,--(K62=0),""))</f>
        <v/>
      </c>
      <c r="AT62" s="4">
        <f>IF(K62="","",--(K62=1))</f>
        <v/>
      </c>
      <c r="AU62" s="4">
        <f>IF(OR($B62="",L62=""),"",--(L62=$B62))</f>
        <v/>
      </c>
      <c r="AV62" s="4">
        <f>IF(OR($B62="",L62=""),"",IF($B62=1,--(L62=1),""))</f>
        <v/>
      </c>
      <c r="AW62" s="4">
        <f>IF(OR($B62="",L62=""),"",IF($B62=0,--(L62=0),""))</f>
        <v/>
      </c>
      <c r="AX62" s="4">
        <f>IF(L62="","",--(L62=1))</f>
        <v/>
      </c>
      <c r="AY62" s="4">
        <f>IF(OR($B62="",M62=""),"",--(M62=$B62))</f>
        <v/>
      </c>
      <c r="AZ62" s="4">
        <f>IF(OR($B62="",M62=""),"",IF($B62=1,--(M62=1),""))</f>
        <v/>
      </c>
      <c r="BA62" s="4">
        <f>IF(OR($B62="",M62=""),"",IF($B62=0,--(M62=0),""))</f>
        <v/>
      </c>
      <c r="BB62" s="4">
        <f>IF(M62="","",--(M62=1))</f>
        <v/>
      </c>
      <c r="BC62" s="4">
        <f>IF(OR($B62="",N62=""),"",--(N62=$B62))</f>
        <v/>
      </c>
      <c r="BD62" s="4">
        <f>IF(OR($B62="",N62=""),"",IF($B62=1,--(N62=1),""))</f>
        <v/>
      </c>
      <c r="BE62" s="4">
        <f>IF(OR($B62="",N62=""),"",IF($B62=0,--(N62=0),""))</f>
        <v/>
      </c>
      <c r="BF62" s="4">
        <f>IF(N62="","",--(N62=1))</f>
        <v/>
      </c>
    </row>
    <row r="63">
      <c r="A63" s="3" t="inlineStr">
        <is>
          <t>20201562</t>
        </is>
      </c>
      <c r="B63" s="3" t="inlineStr">
        <is>
          <t>1</t>
        </is>
      </c>
      <c r="C63" s="3" t="inlineStr">
        <is>
          <t>Direct</t>
        </is>
      </c>
      <c r="D63" s="3" t="inlineStr">
        <is>
          <t>0</t>
        </is>
      </c>
      <c r="E63" s="3" t="inlineStr">
        <is>
          <t>1</t>
        </is>
      </c>
      <c r="F63" s="3" t="inlineStr">
        <is>
          <t>0</t>
        </is>
      </c>
      <c r="G63" s="3" t="inlineStr">
        <is>
          <t>0</t>
        </is>
      </c>
      <c r="H63" s="3" t="inlineStr">
        <is>
          <t>0</t>
        </is>
      </c>
      <c r="I63" s="3" t="inlineStr">
        <is>
          <t>1</t>
        </is>
      </c>
      <c r="J63" s="3" t="inlineStr">
        <is>
          <t>1</t>
        </is>
      </c>
      <c r="K63" s="3" t="inlineStr">
        <is>
          <t>1</t>
        </is>
      </c>
      <c r="L63" s="3" t="inlineStr">
        <is>
          <t>1</t>
        </is>
      </c>
      <c r="M63" s="3" t="inlineStr">
        <is>
          <t>1</t>
        </is>
      </c>
      <c r="N63" s="3" t="inlineStr">
        <is>
          <t>1</t>
        </is>
      </c>
      <c r="O63" s="4">
        <f>IF(OR($B63="",D63=""),"",--(D63=$B63))</f>
        <v/>
      </c>
      <c r="P63" s="4">
        <f>IF(OR($B63="",D63=""),"",IF($B63=1,--(D63=1),""))</f>
        <v/>
      </c>
      <c r="Q63" s="4">
        <f>IF(OR($B63="",D63=""),"",IF($B63=0,--(D63=0),""))</f>
        <v/>
      </c>
      <c r="R63" s="4">
        <f>IF(D63="","",--(D63=1))</f>
        <v/>
      </c>
      <c r="S63" s="4">
        <f>IF(OR($B63="",E63=""),"",--(E63=$B63))</f>
        <v/>
      </c>
      <c r="T63" s="4">
        <f>IF(OR($B63="",E63=""),"",IF($B63=1,--(E63=1),""))</f>
        <v/>
      </c>
      <c r="U63" s="4">
        <f>IF(OR($B63="",E63=""),"",IF($B63=0,--(E63=0),""))</f>
        <v/>
      </c>
      <c r="V63" s="4">
        <f>IF(E63="","",--(E63=1))</f>
        <v/>
      </c>
      <c r="W63" s="4">
        <f>IF(OR($B63="",F63=""),"",--(F63=$B63))</f>
        <v/>
      </c>
      <c r="X63" s="4">
        <f>IF(OR($B63="",F63=""),"",IF($B63=1,--(F63=1),""))</f>
        <v/>
      </c>
      <c r="Y63" s="4">
        <f>IF(OR($B63="",F63=""),"",IF($B63=0,--(F63=0),""))</f>
        <v/>
      </c>
      <c r="Z63" s="4">
        <f>IF(F63="","",--(F63=1))</f>
        <v/>
      </c>
      <c r="AA63" s="4">
        <f>IF(OR($B63="",G63=""),"",--(G63=$B63))</f>
        <v/>
      </c>
      <c r="AB63" s="4">
        <f>IF(OR($B63="",G63=""),"",IF($B63=1,--(G63=1),""))</f>
        <v/>
      </c>
      <c r="AC63" s="4">
        <f>IF(OR($B63="",G63=""),"",IF($B63=0,--(G63=0),""))</f>
        <v/>
      </c>
      <c r="AD63" s="4">
        <f>IF(G63="","",--(G63=1))</f>
        <v/>
      </c>
      <c r="AE63" s="4">
        <f>IF(OR($B63="",H63=""),"",--(H63=$B63))</f>
        <v/>
      </c>
      <c r="AF63" s="4">
        <f>IF(OR($B63="",H63=""),"",IF($B63=1,--(H63=1),""))</f>
        <v/>
      </c>
      <c r="AG63" s="4">
        <f>IF(OR($B63="",H63=""),"",IF($B63=0,--(H63=0),""))</f>
        <v/>
      </c>
      <c r="AH63" s="4">
        <f>IF(H63="","",--(H63=1))</f>
        <v/>
      </c>
      <c r="AI63" s="4">
        <f>IF(OR($B63="",I63=""),"",--(I63=$B63))</f>
        <v/>
      </c>
      <c r="AJ63" s="4">
        <f>IF(OR($B63="",I63=""),"",IF($B63=1,--(I63=1),""))</f>
        <v/>
      </c>
      <c r="AK63" s="4">
        <f>IF(OR($B63="",I63=""),"",IF($B63=0,--(I63=0),""))</f>
        <v/>
      </c>
      <c r="AL63" s="4">
        <f>IF(I63="","",--(I63=1))</f>
        <v/>
      </c>
      <c r="AM63" s="4">
        <f>IF(OR($B63="",J63=""),"",--(J63=$B63))</f>
        <v/>
      </c>
      <c r="AN63" s="4">
        <f>IF(OR($B63="",J63=""),"",IF($B63=1,--(J63=1),""))</f>
        <v/>
      </c>
      <c r="AO63" s="4">
        <f>IF(OR($B63="",J63=""),"",IF($B63=0,--(J63=0),""))</f>
        <v/>
      </c>
      <c r="AP63" s="4">
        <f>IF(J63="","",--(J63=1))</f>
        <v/>
      </c>
      <c r="AQ63" s="4">
        <f>IF(OR($B63="",K63=""),"",--(K63=$B63))</f>
        <v/>
      </c>
      <c r="AR63" s="4">
        <f>IF(OR($B63="",K63=""),"",IF($B63=1,--(K63=1),""))</f>
        <v/>
      </c>
      <c r="AS63" s="4">
        <f>IF(OR($B63="",K63=""),"",IF($B63=0,--(K63=0),""))</f>
        <v/>
      </c>
      <c r="AT63" s="4">
        <f>IF(K63="","",--(K63=1))</f>
        <v/>
      </c>
      <c r="AU63" s="4">
        <f>IF(OR($B63="",L63=""),"",--(L63=$B63))</f>
        <v/>
      </c>
      <c r="AV63" s="4">
        <f>IF(OR($B63="",L63=""),"",IF($B63=1,--(L63=1),""))</f>
        <v/>
      </c>
      <c r="AW63" s="4">
        <f>IF(OR($B63="",L63=""),"",IF($B63=0,--(L63=0),""))</f>
        <v/>
      </c>
      <c r="AX63" s="4">
        <f>IF(L63="","",--(L63=1))</f>
        <v/>
      </c>
      <c r="AY63" s="4">
        <f>IF(OR($B63="",M63=""),"",--(M63=$B63))</f>
        <v/>
      </c>
      <c r="AZ63" s="4">
        <f>IF(OR($B63="",M63=""),"",IF($B63=1,--(M63=1),""))</f>
        <v/>
      </c>
      <c r="BA63" s="4">
        <f>IF(OR($B63="",M63=""),"",IF($B63=0,--(M63=0),""))</f>
        <v/>
      </c>
      <c r="BB63" s="4">
        <f>IF(M63="","",--(M63=1))</f>
        <v/>
      </c>
      <c r="BC63" s="4">
        <f>IF(OR($B63="",N63=""),"",--(N63=$B63))</f>
        <v/>
      </c>
      <c r="BD63" s="4">
        <f>IF(OR($B63="",N63=""),"",IF($B63=1,--(N63=1),""))</f>
        <v/>
      </c>
      <c r="BE63" s="4">
        <f>IF(OR($B63="",N63=""),"",IF($B63=0,--(N63=0),""))</f>
        <v/>
      </c>
      <c r="BF63" s="4">
        <f>IF(N63="","",--(N63=1))</f>
        <v/>
      </c>
    </row>
    <row r="64">
      <c r="A64" s="3" t="inlineStr">
        <is>
          <t>202015720</t>
        </is>
      </c>
      <c r="B64" s="3" t="inlineStr">
        <is>
          <t>0</t>
        </is>
      </c>
      <c r="C64" s="3" t="inlineStr">
        <is>
          <t>Direct</t>
        </is>
      </c>
      <c r="D64" s="3" t="inlineStr">
        <is>
          <t>1</t>
        </is>
      </c>
      <c r="E64" s="3" t="inlineStr">
        <is>
          <t>0</t>
        </is>
      </c>
      <c r="F64" s="3" t="inlineStr">
        <is>
          <t>1</t>
        </is>
      </c>
      <c r="G64" s="3" t="inlineStr">
        <is>
          <t>0</t>
        </is>
      </c>
      <c r="H64" s="3" t="inlineStr">
        <is>
          <t>1</t>
        </is>
      </c>
      <c r="I64" s="3" t="inlineStr">
        <is>
          <t>1</t>
        </is>
      </c>
      <c r="J64" s="3" t="inlineStr">
        <is>
          <t>1</t>
        </is>
      </c>
      <c r="K64" s="3" t="inlineStr">
        <is>
          <t>1</t>
        </is>
      </c>
      <c r="L64" s="3" t="inlineStr">
        <is>
          <t>0</t>
        </is>
      </c>
      <c r="M64" s="3" t="inlineStr">
        <is>
          <t>0</t>
        </is>
      </c>
      <c r="N64" s="3" t="inlineStr">
        <is>
          <t>1</t>
        </is>
      </c>
      <c r="O64" s="4">
        <f>IF(OR($B64="",D64=""),"",--(D64=$B64))</f>
        <v/>
      </c>
      <c r="P64" s="4">
        <f>IF(OR($B64="",D64=""),"",IF($B64=1,--(D64=1),""))</f>
        <v/>
      </c>
      <c r="Q64" s="4">
        <f>IF(OR($B64="",D64=""),"",IF($B64=0,--(D64=0),""))</f>
        <v/>
      </c>
      <c r="R64" s="4">
        <f>IF(D64="","",--(D64=1))</f>
        <v/>
      </c>
      <c r="S64" s="4">
        <f>IF(OR($B64="",E64=""),"",--(E64=$B64))</f>
        <v/>
      </c>
      <c r="T64" s="4">
        <f>IF(OR($B64="",E64=""),"",IF($B64=1,--(E64=1),""))</f>
        <v/>
      </c>
      <c r="U64" s="4">
        <f>IF(OR($B64="",E64=""),"",IF($B64=0,--(E64=0),""))</f>
        <v/>
      </c>
      <c r="V64" s="4">
        <f>IF(E64="","",--(E64=1))</f>
        <v/>
      </c>
      <c r="W64" s="4">
        <f>IF(OR($B64="",F64=""),"",--(F64=$B64))</f>
        <v/>
      </c>
      <c r="X64" s="4">
        <f>IF(OR($B64="",F64=""),"",IF($B64=1,--(F64=1),""))</f>
        <v/>
      </c>
      <c r="Y64" s="4">
        <f>IF(OR($B64="",F64=""),"",IF($B64=0,--(F64=0),""))</f>
        <v/>
      </c>
      <c r="Z64" s="4">
        <f>IF(F64="","",--(F64=1))</f>
        <v/>
      </c>
      <c r="AA64" s="4">
        <f>IF(OR($B64="",G64=""),"",--(G64=$B64))</f>
        <v/>
      </c>
      <c r="AB64" s="4">
        <f>IF(OR($B64="",G64=""),"",IF($B64=1,--(G64=1),""))</f>
        <v/>
      </c>
      <c r="AC64" s="4">
        <f>IF(OR($B64="",G64=""),"",IF($B64=0,--(G64=0),""))</f>
        <v/>
      </c>
      <c r="AD64" s="4">
        <f>IF(G64="","",--(G64=1))</f>
        <v/>
      </c>
      <c r="AE64" s="4">
        <f>IF(OR($B64="",H64=""),"",--(H64=$B64))</f>
        <v/>
      </c>
      <c r="AF64" s="4">
        <f>IF(OR($B64="",H64=""),"",IF($B64=1,--(H64=1),""))</f>
        <v/>
      </c>
      <c r="AG64" s="4">
        <f>IF(OR($B64="",H64=""),"",IF($B64=0,--(H64=0),""))</f>
        <v/>
      </c>
      <c r="AH64" s="4">
        <f>IF(H64="","",--(H64=1))</f>
        <v/>
      </c>
      <c r="AI64" s="4">
        <f>IF(OR($B64="",I64=""),"",--(I64=$B64))</f>
        <v/>
      </c>
      <c r="AJ64" s="4">
        <f>IF(OR($B64="",I64=""),"",IF($B64=1,--(I64=1),""))</f>
        <v/>
      </c>
      <c r="AK64" s="4">
        <f>IF(OR($B64="",I64=""),"",IF($B64=0,--(I64=0),""))</f>
        <v/>
      </c>
      <c r="AL64" s="4">
        <f>IF(I64="","",--(I64=1))</f>
        <v/>
      </c>
      <c r="AM64" s="4">
        <f>IF(OR($B64="",J64=""),"",--(J64=$B64))</f>
        <v/>
      </c>
      <c r="AN64" s="4">
        <f>IF(OR($B64="",J64=""),"",IF($B64=1,--(J64=1),""))</f>
        <v/>
      </c>
      <c r="AO64" s="4">
        <f>IF(OR($B64="",J64=""),"",IF($B64=0,--(J64=0),""))</f>
        <v/>
      </c>
      <c r="AP64" s="4">
        <f>IF(J64="","",--(J64=1))</f>
        <v/>
      </c>
      <c r="AQ64" s="4">
        <f>IF(OR($B64="",K64=""),"",--(K64=$B64))</f>
        <v/>
      </c>
      <c r="AR64" s="4">
        <f>IF(OR($B64="",K64=""),"",IF($B64=1,--(K64=1),""))</f>
        <v/>
      </c>
      <c r="AS64" s="4">
        <f>IF(OR($B64="",K64=""),"",IF($B64=0,--(K64=0),""))</f>
        <v/>
      </c>
      <c r="AT64" s="4">
        <f>IF(K64="","",--(K64=1))</f>
        <v/>
      </c>
      <c r="AU64" s="4">
        <f>IF(OR($B64="",L64=""),"",--(L64=$B64))</f>
        <v/>
      </c>
      <c r="AV64" s="4">
        <f>IF(OR($B64="",L64=""),"",IF($B64=1,--(L64=1),""))</f>
        <v/>
      </c>
      <c r="AW64" s="4">
        <f>IF(OR($B64="",L64=""),"",IF($B64=0,--(L64=0),""))</f>
        <v/>
      </c>
      <c r="AX64" s="4">
        <f>IF(L64="","",--(L64=1))</f>
        <v/>
      </c>
      <c r="AY64" s="4">
        <f>IF(OR($B64="",M64=""),"",--(M64=$B64))</f>
        <v/>
      </c>
      <c r="AZ64" s="4">
        <f>IF(OR($B64="",M64=""),"",IF($B64=1,--(M64=1),""))</f>
        <v/>
      </c>
      <c r="BA64" s="4">
        <f>IF(OR($B64="",M64=""),"",IF($B64=0,--(M64=0),""))</f>
        <v/>
      </c>
      <c r="BB64" s="4">
        <f>IF(M64="","",--(M64=1))</f>
        <v/>
      </c>
      <c r="BC64" s="4">
        <f>IF(OR($B64="",N64=""),"",--(N64=$B64))</f>
        <v/>
      </c>
      <c r="BD64" s="4">
        <f>IF(OR($B64="",N64=""),"",IF($B64=1,--(N64=1),""))</f>
        <v/>
      </c>
      <c r="BE64" s="4">
        <f>IF(OR($B64="",N64=""),"",IF($B64=0,--(N64=0),""))</f>
        <v/>
      </c>
      <c r="BF64" s="4">
        <f>IF(N64="","",--(N64=1))</f>
        <v/>
      </c>
    </row>
    <row r="65">
      <c r="A65" s="3" t="inlineStr">
        <is>
          <t>202016404</t>
        </is>
      </c>
      <c r="B65" s="3" t="inlineStr">
        <is>
          <t>0</t>
        </is>
      </c>
      <c r="C65" s="3" t="inlineStr">
        <is>
          <t>Direct</t>
        </is>
      </c>
      <c r="D65" s="3" t="inlineStr">
        <is>
          <t>1</t>
        </is>
      </c>
      <c r="E65" s="3" t="inlineStr">
        <is>
          <t>1</t>
        </is>
      </c>
      <c r="F65" s="3" t="inlineStr">
        <is>
          <t>0</t>
        </is>
      </c>
      <c r="G65" s="3" t="inlineStr">
        <is>
          <t>1</t>
        </is>
      </c>
      <c r="H65" s="3" t="inlineStr">
        <is>
          <t>1</t>
        </is>
      </c>
      <c r="I65" s="3" t="inlineStr">
        <is>
          <t>1</t>
        </is>
      </c>
      <c r="J65" s="3" t="inlineStr">
        <is>
          <t>1</t>
        </is>
      </c>
      <c r="K65" s="3" t="inlineStr">
        <is>
          <t>1</t>
        </is>
      </c>
      <c r="L65" s="3" t="inlineStr">
        <is>
          <t>1</t>
        </is>
      </c>
      <c r="M65" s="3" t="inlineStr">
        <is>
          <t>1</t>
        </is>
      </c>
      <c r="N65" s="3" t="inlineStr">
        <is>
          <t>1</t>
        </is>
      </c>
      <c r="O65" s="4">
        <f>IF(OR($B65="",D65=""),"",--(D65=$B65))</f>
        <v/>
      </c>
      <c r="P65" s="4">
        <f>IF(OR($B65="",D65=""),"",IF($B65=1,--(D65=1),""))</f>
        <v/>
      </c>
      <c r="Q65" s="4">
        <f>IF(OR($B65="",D65=""),"",IF($B65=0,--(D65=0),""))</f>
        <v/>
      </c>
      <c r="R65" s="4">
        <f>IF(D65="","",--(D65=1))</f>
        <v/>
      </c>
      <c r="S65" s="4">
        <f>IF(OR($B65="",E65=""),"",--(E65=$B65))</f>
        <v/>
      </c>
      <c r="T65" s="4">
        <f>IF(OR($B65="",E65=""),"",IF($B65=1,--(E65=1),""))</f>
        <v/>
      </c>
      <c r="U65" s="4">
        <f>IF(OR($B65="",E65=""),"",IF($B65=0,--(E65=0),""))</f>
        <v/>
      </c>
      <c r="V65" s="4">
        <f>IF(E65="","",--(E65=1))</f>
        <v/>
      </c>
      <c r="W65" s="4">
        <f>IF(OR($B65="",F65=""),"",--(F65=$B65))</f>
        <v/>
      </c>
      <c r="X65" s="4">
        <f>IF(OR($B65="",F65=""),"",IF($B65=1,--(F65=1),""))</f>
        <v/>
      </c>
      <c r="Y65" s="4">
        <f>IF(OR($B65="",F65=""),"",IF($B65=0,--(F65=0),""))</f>
        <v/>
      </c>
      <c r="Z65" s="4">
        <f>IF(F65="","",--(F65=1))</f>
        <v/>
      </c>
      <c r="AA65" s="4">
        <f>IF(OR($B65="",G65=""),"",--(G65=$B65))</f>
        <v/>
      </c>
      <c r="AB65" s="4">
        <f>IF(OR($B65="",G65=""),"",IF($B65=1,--(G65=1),""))</f>
        <v/>
      </c>
      <c r="AC65" s="4">
        <f>IF(OR($B65="",G65=""),"",IF($B65=0,--(G65=0),""))</f>
        <v/>
      </c>
      <c r="AD65" s="4">
        <f>IF(G65="","",--(G65=1))</f>
        <v/>
      </c>
      <c r="AE65" s="4">
        <f>IF(OR($B65="",H65=""),"",--(H65=$B65))</f>
        <v/>
      </c>
      <c r="AF65" s="4">
        <f>IF(OR($B65="",H65=""),"",IF($B65=1,--(H65=1),""))</f>
        <v/>
      </c>
      <c r="AG65" s="4">
        <f>IF(OR($B65="",H65=""),"",IF($B65=0,--(H65=0),""))</f>
        <v/>
      </c>
      <c r="AH65" s="4">
        <f>IF(H65="","",--(H65=1))</f>
        <v/>
      </c>
      <c r="AI65" s="4">
        <f>IF(OR($B65="",I65=""),"",--(I65=$B65))</f>
        <v/>
      </c>
      <c r="AJ65" s="4">
        <f>IF(OR($B65="",I65=""),"",IF($B65=1,--(I65=1),""))</f>
        <v/>
      </c>
      <c r="AK65" s="4">
        <f>IF(OR($B65="",I65=""),"",IF($B65=0,--(I65=0),""))</f>
        <v/>
      </c>
      <c r="AL65" s="4">
        <f>IF(I65="","",--(I65=1))</f>
        <v/>
      </c>
      <c r="AM65" s="4">
        <f>IF(OR($B65="",J65=""),"",--(J65=$B65))</f>
        <v/>
      </c>
      <c r="AN65" s="4">
        <f>IF(OR($B65="",J65=""),"",IF($B65=1,--(J65=1),""))</f>
        <v/>
      </c>
      <c r="AO65" s="4">
        <f>IF(OR($B65="",J65=""),"",IF($B65=0,--(J65=0),""))</f>
        <v/>
      </c>
      <c r="AP65" s="4">
        <f>IF(J65="","",--(J65=1))</f>
        <v/>
      </c>
      <c r="AQ65" s="4">
        <f>IF(OR($B65="",K65=""),"",--(K65=$B65))</f>
        <v/>
      </c>
      <c r="AR65" s="4">
        <f>IF(OR($B65="",K65=""),"",IF($B65=1,--(K65=1),""))</f>
        <v/>
      </c>
      <c r="AS65" s="4">
        <f>IF(OR($B65="",K65=""),"",IF($B65=0,--(K65=0),""))</f>
        <v/>
      </c>
      <c r="AT65" s="4">
        <f>IF(K65="","",--(K65=1))</f>
        <v/>
      </c>
      <c r="AU65" s="4">
        <f>IF(OR($B65="",L65=""),"",--(L65=$B65))</f>
        <v/>
      </c>
      <c r="AV65" s="4">
        <f>IF(OR($B65="",L65=""),"",IF($B65=1,--(L65=1),""))</f>
        <v/>
      </c>
      <c r="AW65" s="4">
        <f>IF(OR($B65="",L65=""),"",IF($B65=0,--(L65=0),""))</f>
        <v/>
      </c>
      <c r="AX65" s="4">
        <f>IF(L65="","",--(L65=1))</f>
        <v/>
      </c>
      <c r="AY65" s="4">
        <f>IF(OR($B65="",M65=""),"",--(M65=$B65))</f>
        <v/>
      </c>
      <c r="AZ65" s="4">
        <f>IF(OR($B65="",M65=""),"",IF($B65=1,--(M65=1),""))</f>
        <v/>
      </c>
      <c r="BA65" s="4">
        <f>IF(OR($B65="",M65=""),"",IF($B65=0,--(M65=0),""))</f>
        <v/>
      </c>
      <c r="BB65" s="4">
        <f>IF(M65="","",--(M65=1))</f>
        <v/>
      </c>
      <c r="BC65" s="4">
        <f>IF(OR($B65="",N65=""),"",--(N65=$B65))</f>
        <v/>
      </c>
      <c r="BD65" s="4">
        <f>IF(OR($B65="",N65=""),"",IF($B65=1,--(N65=1),""))</f>
        <v/>
      </c>
      <c r="BE65" s="4">
        <f>IF(OR($B65="",N65=""),"",IF($B65=0,--(N65=0),""))</f>
        <v/>
      </c>
      <c r="BF65" s="4">
        <f>IF(N65="","",--(N65=1))</f>
        <v/>
      </c>
    </row>
    <row r="66">
      <c r="A66" s="3" t="inlineStr">
        <is>
          <t>202016624</t>
        </is>
      </c>
      <c r="B66" s="3" t="inlineStr">
        <is>
          <t>1</t>
        </is>
      </c>
      <c r="C66" s="3" t="inlineStr">
        <is>
          <t>Direct</t>
        </is>
      </c>
      <c r="D66" s="3" t="inlineStr">
        <is>
          <t>1</t>
        </is>
      </c>
      <c r="E66" s="3" t="inlineStr">
        <is>
          <t>1</t>
        </is>
      </c>
      <c r="F66" s="3" t="inlineStr">
        <is>
          <t>0</t>
        </is>
      </c>
      <c r="G66" s="3" t="inlineStr">
        <is>
          <t>1</t>
        </is>
      </c>
      <c r="H66" s="3" t="inlineStr">
        <is>
          <t>1</t>
        </is>
      </c>
      <c r="I66" s="3" t="inlineStr">
        <is>
          <t>1</t>
        </is>
      </c>
      <c r="J66" s="3" t="inlineStr">
        <is>
          <t>0</t>
        </is>
      </c>
      <c r="K66" s="3" t="inlineStr">
        <is>
          <t>1</t>
        </is>
      </c>
      <c r="L66" s="3" t="inlineStr">
        <is>
          <t>1</t>
        </is>
      </c>
      <c r="M66" s="3" t="inlineStr">
        <is>
          <t>1</t>
        </is>
      </c>
      <c r="N66" s="3" t="inlineStr">
        <is>
          <t>1</t>
        </is>
      </c>
      <c r="O66" s="4">
        <f>IF(OR($B66="",D66=""),"",--(D66=$B66))</f>
        <v/>
      </c>
      <c r="P66" s="4">
        <f>IF(OR($B66="",D66=""),"",IF($B66=1,--(D66=1),""))</f>
        <v/>
      </c>
      <c r="Q66" s="4">
        <f>IF(OR($B66="",D66=""),"",IF($B66=0,--(D66=0),""))</f>
        <v/>
      </c>
      <c r="R66" s="4">
        <f>IF(D66="","",--(D66=1))</f>
        <v/>
      </c>
      <c r="S66" s="4">
        <f>IF(OR($B66="",E66=""),"",--(E66=$B66))</f>
        <v/>
      </c>
      <c r="T66" s="4">
        <f>IF(OR($B66="",E66=""),"",IF($B66=1,--(E66=1),""))</f>
        <v/>
      </c>
      <c r="U66" s="4">
        <f>IF(OR($B66="",E66=""),"",IF($B66=0,--(E66=0),""))</f>
        <v/>
      </c>
      <c r="V66" s="4">
        <f>IF(E66="","",--(E66=1))</f>
        <v/>
      </c>
      <c r="W66" s="4">
        <f>IF(OR($B66="",F66=""),"",--(F66=$B66))</f>
        <v/>
      </c>
      <c r="X66" s="4">
        <f>IF(OR($B66="",F66=""),"",IF($B66=1,--(F66=1),""))</f>
        <v/>
      </c>
      <c r="Y66" s="4">
        <f>IF(OR($B66="",F66=""),"",IF($B66=0,--(F66=0),""))</f>
        <v/>
      </c>
      <c r="Z66" s="4">
        <f>IF(F66="","",--(F66=1))</f>
        <v/>
      </c>
      <c r="AA66" s="4">
        <f>IF(OR($B66="",G66=""),"",--(G66=$B66))</f>
        <v/>
      </c>
      <c r="AB66" s="4">
        <f>IF(OR($B66="",G66=""),"",IF($B66=1,--(G66=1),""))</f>
        <v/>
      </c>
      <c r="AC66" s="4">
        <f>IF(OR($B66="",G66=""),"",IF($B66=0,--(G66=0),""))</f>
        <v/>
      </c>
      <c r="AD66" s="4">
        <f>IF(G66="","",--(G66=1))</f>
        <v/>
      </c>
      <c r="AE66" s="4">
        <f>IF(OR($B66="",H66=""),"",--(H66=$B66))</f>
        <v/>
      </c>
      <c r="AF66" s="4">
        <f>IF(OR($B66="",H66=""),"",IF($B66=1,--(H66=1),""))</f>
        <v/>
      </c>
      <c r="AG66" s="4">
        <f>IF(OR($B66="",H66=""),"",IF($B66=0,--(H66=0),""))</f>
        <v/>
      </c>
      <c r="AH66" s="4">
        <f>IF(H66="","",--(H66=1))</f>
        <v/>
      </c>
      <c r="AI66" s="4">
        <f>IF(OR($B66="",I66=""),"",--(I66=$B66))</f>
        <v/>
      </c>
      <c r="AJ66" s="4">
        <f>IF(OR($B66="",I66=""),"",IF($B66=1,--(I66=1),""))</f>
        <v/>
      </c>
      <c r="AK66" s="4">
        <f>IF(OR($B66="",I66=""),"",IF($B66=0,--(I66=0),""))</f>
        <v/>
      </c>
      <c r="AL66" s="4">
        <f>IF(I66="","",--(I66=1))</f>
        <v/>
      </c>
      <c r="AM66" s="4">
        <f>IF(OR($B66="",J66=""),"",--(J66=$B66))</f>
        <v/>
      </c>
      <c r="AN66" s="4">
        <f>IF(OR($B66="",J66=""),"",IF($B66=1,--(J66=1),""))</f>
        <v/>
      </c>
      <c r="AO66" s="4">
        <f>IF(OR($B66="",J66=""),"",IF($B66=0,--(J66=0),""))</f>
        <v/>
      </c>
      <c r="AP66" s="4">
        <f>IF(J66="","",--(J66=1))</f>
        <v/>
      </c>
      <c r="AQ66" s="4">
        <f>IF(OR($B66="",K66=""),"",--(K66=$B66))</f>
        <v/>
      </c>
      <c r="AR66" s="4">
        <f>IF(OR($B66="",K66=""),"",IF($B66=1,--(K66=1),""))</f>
        <v/>
      </c>
      <c r="AS66" s="4">
        <f>IF(OR($B66="",K66=""),"",IF($B66=0,--(K66=0),""))</f>
        <v/>
      </c>
      <c r="AT66" s="4">
        <f>IF(K66="","",--(K66=1))</f>
        <v/>
      </c>
      <c r="AU66" s="4">
        <f>IF(OR($B66="",L66=""),"",--(L66=$B66))</f>
        <v/>
      </c>
      <c r="AV66" s="4">
        <f>IF(OR($B66="",L66=""),"",IF($B66=1,--(L66=1),""))</f>
        <v/>
      </c>
      <c r="AW66" s="4">
        <f>IF(OR($B66="",L66=""),"",IF($B66=0,--(L66=0),""))</f>
        <v/>
      </c>
      <c r="AX66" s="4">
        <f>IF(L66="","",--(L66=1))</f>
        <v/>
      </c>
      <c r="AY66" s="4">
        <f>IF(OR($B66="",M66=""),"",--(M66=$B66))</f>
        <v/>
      </c>
      <c r="AZ66" s="4">
        <f>IF(OR($B66="",M66=""),"",IF($B66=1,--(M66=1),""))</f>
        <v/>
      </c>
      <c r="BA66" s="4">
        <f>IF(OR($B66="",M66=""),"",IF($B66=0,--(M66=0),""))</f>
        <v/>
      </c>
      <c r="BB66" s="4">
        <f>IF(M66="","",--(M66=1))</f>
        <v/>
      </c>
      <c r="BC66" s="4">
        <f>IF(OR($B66="",N66=""),"",--(N66=$B66))</f>
        <v/>
      </c>
      <c r="BD66" s="4">
        <f>IF(OR($B66="",N66=""),"",IF($B66=1,--(N66=1),""))</f>
        <v/>
      </c>
      <c r="BE66" s="4">
        <f>IF(OR($B66="",N66=""),"",IF($B66=0,--(N66=0),""))</f>
        <v/>
      </c>
      <c r="BF66" s="4">
        <f>IF(N66="","",--(N66=1))</f>
        <v/>
      </c>
    </row>
    <row r="67">
      <c r="A67" s="3" t="inlineStr">
        <is>
          <t>202016988</t>
        </is>
      </c>
      <c r="B67" s="3" t="inlineStr">
        <is>
          <t>0</t>
        </is>
      </c>
      <c r="C67" s="3" t="inlineStr">
        <is>
          <t>Direct</t>
        </is>
      </c>
      <c r="D67" s="3" t="inlineStr">
        <is>
          <t>1</t>
        </is>
      </c>
      <c r="E67" s="3" t="inlineStr">
        <is>
          <t>1</t>
        </is>
      </c>
      <c r="F67" s="3" t="inlineStr">
        <is>
          <t>1</t>
        </is>
      </c>
      <c r="G67" s="3" t="inlineStr">
        <is>
          <t>1</t>
        </is>
      </c>
      <c r="H67" s="3" t="inlineStr">
        <is>
          <t>1</t>
        </is>
      </c>
      <c r="I67" s="3" t="inlineStr">
        <is>
          <t>1</t>
        </is>
      </c>
      <c r="J67" s="3" t="inlineStr">
        <is>
          <t>1</t>
        </is>
      </c>
      <c r="K67" s="3" t="inlineStr">
        <is>
          <t>1</t>
        </is>
      </c>
      <c r="L67" s="3" t="inlineStr">
        <is>
          <t>1</t>
        </is>
      </c>
      <c r="M67" s="3" t="inlineStr">
        <is>
          <t>1</t>
        </is>
      </c>
      <c r="N67" s="3" t="inlineStr">
        <is>
          <t>1</t>
        </is>
      </c>
      <c r="O67" s="4">
        <f>IF(OR($B67="",D67=""),"",--(D67=$B67))</f>
        <v/>
      </c>
      <c r="P67" s="4">
        <f>IF(OR($B67="",D67=""),"",IF($B67=1,--(D67=1),""))</f>
        <v/>
      </c>
      <c r="Q67" s="4">
        <f>IF(OR($B67="",D67=""),"",IF($B67=0,--(D67=0),""))</f>
        <v/>
      </c>
      <c r="R67" s="4">
        <f>IF(D67="","",--(D67=1))</f>
        <v/>
      </c>
      <c r="S67" s="4">
        <f>IF(OR($B67="",E67=""),"",--(E67=$B67))</f>
        <v/>
      </c>
      <c r="T67" s="4">
        <f>IF(OR($B67="",E67=""),"",IF($B67=1,--(E67=1),""))</f>
        <v/>
      </c>
      <c r="U67" s="4">
        <f>IF(OR($B67="",E67=""),"",IF($B67=0,--(E67=0),""))</f>
        <v/>
      </c>
      <c r="V67" s="4">
        <f>IF(E67="","",--(E67=1))</f>
        <v/>
      </c>
      <c r="W67" s="4">
        <f>IF(OR($B67="",F67=""),"",--(F67=$B67))</f>
        <v/>
      </c>
      <c r="X67" s="4">
        <f>IF(OR($B67="",F67=""),"",IF($B67=1,--(F67=1),""))</f>
        <v/>
      </c>
      <c r="Y67" s="4">
        <f>IF(OR($B67="",F67=""),"",IF($B67=0,--(F67=0),""))</f>
        <v/>
      </c>
      <c r="Z67" s="4">
        <f>IF(F67="","",--(F67=1))</f>
        <v/>
      </c>
      <c r="AA67" s="4">
        <f>IF(OR($B67="",G67=""),"",--(G67=$B67))</f>
        <v/>
      </c>
      <c r="AB67" s="4">
        <f>IF(OR($B67="",G67=""),"",IF($B67=1,--(G67=1),""))</f>
        <v/>
      </c>
      <c r="AC67" s="4">
        <f>IF(OR($B67="",G67=""),"",IF($B67=0,--(G67=0),""))</f>
        <v/>
      </c>
      <c r="AD67" s="4">
        <f>IF(G67="","",--(G67=1))</f>
        <v/>
      </c>
      <c r="AE67" s="4">
        <f>IF(OR($B67="",H67=""),"",--(H67=$B67))</f>
        <v/>
      </c>
      <c r="AF67" s="4">
        <f>IF(OR($B67="",H67=""),"",IF($B67=1,--(H67=1),""))</f>
        <v/>
      </c>
      <c r="AG67" s="4">
        <f>IF(OR($B67="",H67=""),"",IF($B67=0,--(H67=0),""))</f>
        <v/>
      </c>
      <c r="AH67" s="4">
        <f>IF(H67="","",--(H67=1))</f>
        <v/>
      </c>
      <c r="AI67" s="4">
        <f>IF(OR($B67="",I67=""),"",--(I67=$B67))</f>
        <v/>
      </c>
      <c r="AJ67" s="4">
        <f>IF(OR($B67="",I67=""),"",IF($B67=1,--(I67=1),""))</f>
        <v/>
      </c>
      <c r="AK67" s="4">
        <f>IF(OR($B67="",I67=""),"",IF($B67=0,--(I67=0),""))</f>
        <v/>
      </c>
      <c r="AL67" s="4">
        <f>IF(I67="","",--(I67=1))</f>
        <v/>
      </c>
      <c r="AM67" s="4">
        <f>IF(OR($B67="",J67=""),"",--(J67=$B67))</f>
        <v/>
      </c>
      <c r="AN67" s="4">
        <f>IF(OR($B67="",J67=""),"",IF($B67=1,--(J67=1),""))</f>
        <v/>
      </c>
      <c r="AO67" s="4">
        <f>IF(OR($B67="",J67=""),"",IF($B67=0,--(J67=0),""))</f>
        <v/>
      </c>
      <c r="AP67" s="4">
        <f>IF(J67="","",--(J67=1))</f>
        <v/>
      </c>
      <c r="AQ67" s="4">
        <f>IF(OR($B67="",K67=""),"",--(K67=$B67))</f>
        <v/>
      </c>
      <c r="AR67" s="4">
        <f>IF(OR($B67="",K67=""),"",IF($B67=1,--(K67=1),""))</f>
        <v/>
      </c>
      <c r="AS67" s="4">
        <f>IF(OR($B67="",K67=""),"",IF($B67=0,--(K67=0),""))</f>
        <v/>
      </c>
      <c r="AT67" s="4">
        <f>IF(K67="","",--(K67=1))</f>
        <v/>
      </c>
      <c r="AU67" s="4">
        <f>IF(OR($B67="",L67=""),"",--(L67=$B67))</f>
        <v/>
      </c>
      <c r="AV67" s="4">
        <f>IF(OR($B67="",L67=""),"",IF($B67=1,--(L67=1),""))</f>
        <v/>
      </c>
      <c r="AW67" s="4">
        <f>IF(OR($B67="",L67=""),"",IF($B67=0,--(L67=0),""))</f>
        <v/>
      </c>
      <c r="AX67" s="4">
        <f>IF(L67="","",--(L67=1))</f>
        <v/>
      </c>
      <c r="AY67" s="4">
        <f>IF(OR($B67="",M67=""),"",--(M67=$B67))</f>
        <v/>
      </c>
      <c r="AZ67" s="4">
        <f>IF(OR($B67="",M67=""),"",IF($B67=1,--(M67=1),""))</f>
        <v/>
      </c>
      <c r="BA67" s="4">
        <f>IF(OR($B67="",M67=""),"",IF($B67=0,--(M67=0),""))</f>
        <v/>
      </c>
      <c r="BB67" s="4">
        <f>IF(M67="","",--(M67=1))</f>
        <v/>
      </c>
      <c r="BC67" s="4">
        <f>IF(OR($B67="",N67=""),"",--(N67=$B67))</f>
        <v/>
      </c>
      <c r="BD67" s="4">
        <f>IF(OR($B67="",N67=""),"",IF($B67=1,--(N67=1),""))</f>
        <v/>
      </c>
      <c r="BE67" s="4">
        <f>IF(OR($B67="",N67=""),"",IF($B67=0,--(N67=0),""))</f>
        <v/>
      </c>
      <c r="BF67" s="4">
        <f>IF(N67="","",--(N67=1))</f>
        <v/>
      </c>
    </row>
    <row r="68">
      <c r="A68" s="3" t="inlineStr">
        <is>
          <t>202017577</t>
        </is>
      </c>
      <c r="B68" s="3" t="inlineStr">
        <is>
          <t>0</t>
        </is>
      </c>
      <c r="C68" s="3" t="inlineStr">
        <is>
          <t>Direct</t>
        </is>
      </c>
      <c r="D68" s="3" t="inlineStr">
        <is>
          <t>1</t>
        </is>
      </c>
      <c r="E68" s="3" t="inlineStr">
        <is>
          <t>0</t>
        </is>
      </c>
      <c r="F68" s="3" t="inlineStr">
        <is>
          <t>1</t>
        </is>
      </c>
      <c r="G68" s="3" t="inlineStr">
        <is>
          <t>1</t>
        </is>
      </c>
      <c r="H68" s="3" t="inlineStr">
        <is>
          <t>1</t>
        </is>
      </c>
      <c r="I68" s="3" t="inlineStr">
        <is>
          <t>1</t>
        </is>
      </c>
      <c r="J68" s="3" t="inlineStr">
        <is>
          <t>1</t>
        </is>
      </c>
      <c r="K68" s="3" t="inlineStr">
        <is>
          <t>1</t>
        </is>
      </c>
      <c r="L68" s="3" t="inlineStr">
        <is>
          <t>1</t>
        </is>
      </c>
      <c r="M68" s="3" t="inlineStr">
        <is>
          <t>1</t>
        </is>
      </c>
      <c r="N68" s="3" t="inlineStr">
        <is>
          <t>1</t>
        </is>
      </c>
      <c r="O68" s="4">
        <f>IF(OR($B68="",D68=""),"",--(D68=$B68))</f>
        <v/>
      </c>
      <c r="P68" s="4">
        <f>IF(OR($B68="",D68=""),"",IF($B68=1,--(D68=1),""))</f>
        <v/>
      </c>
      <c r="Q68" s="4">
        <f>IF(OR($B68="",D68=""),"",IF($B68=0,--(D68=0),""))</f>
        <v/>
      </c>
      <c r="R68" s="4">
        <f>IF(D68="","",--(D68=1))</f>
        <v/>
      </c>
      <c r="S68" s="4">
        <f>IF(OR($B68="",E68=""),"",--(E68=$B68))</f>
        <v/>
      </c>
      <c r="T68" s="4">
        <f>IF(OR($B68="",E68=""),"",IF($B68=1,--(E68=1),""))</f>
        <v/>
      </c>
      <c r="U68" s="4">
        <f>IF(OR($B68="",E68=""),"",IF($B68=0,--(E68=0),""))</f>
        <v/>
      </c>
      <c r="V68" s="4">
        <f>IF(E68="","",--(E68=1))</f>
        <v/>
      </c>
      <c r="W68" s="4">
        <f>IF(OR($B68="",F68=""),"",--(F68=$B68))</f>
        <v/>
      </c>
      <c r="X68" s="4">
        <f>IF(OR($B68="",F68=""),"",IF($B68=1,--(F68=1),""))</f>
        <v/>
      </c>
      <c r="Y68" s="4">
        <f>IF(OR($B68="",F68=""),"",IF($B68=0,--(F68=0),""))</f>
        <v/>
      </c>
      <c r="Z68" s="4">
        <f>IF(F68="","",--(F68=1))</f>
        <v/>
      </c>
      <c r="AA68" s="4">
        <f>IF(OR($B68="",G68=""),"",--(G68=$B68))</f>
        <v/>
      </c>
      <c r="AB68" s="4">
        <f>IF(OR($B68="",G68=""),"",IF($B68=1,--(G68=1),""))</f>
        <v/>
      </c>
      <c r="AC68" s="4">
        <f>IF(OR($B68="",G68=""),"",IF($B68=0,--(G68=0),""))</f>
        <v/>
      </c>
      <c r="AD68" s="4">
        <f>IF(G68="","",--(G68=1))</f>
        <v/>
      </c>
      <c r="AE68" s="4">
        <f>IF(OR($B68="",H68=""),"",--(H68=$B68))</f>
        <v/>
      </c>
      <c r="AF68" s="4">
        <f>IF(OR($B68="",H68=""),"",IF($B68=1,--(H68=1),""))</f>
        <v/>
      </c>
      <c r="AG68" s="4">
        <f>IF(OR($B68="",H68=""),"",IF($B68=0,--(H68=0),""))</f>
        <v/>
      </c>
      <c r="AH68" s="4">
        <f>IF(H68="","",--(H68=1))</f>
        <v/>
      </c>
      <c r="AI68" s="4">
        <f>IF(OR($B68="",I68=""),"",--(I68=$B68))</f>
        <v/>
      </c>
      <c r="AJ68" s="4">
        <f>IF(OR($B68="",I68=""),"",IF($B68=1,--(I68=1),""))</f>
        <v/>
      </c>
      <c r="AK68" s="4">
        <f>IF(OR($B68="",I68=""),"",IF($B68=0,--(I68=0),""))</f>
        <v/>
      </c>
      <c r="AL68" s="4">
        <f>IF(I68="","",--(I68=1))</f>
        <v/>
      </c>
      <c r="AM68" s="4">
        <f>IF(OR($B68="",J68=""),"",--(J68=$B68))</f>
        <v/>
      </c>
      <c r="AN68" s="4">
        <f>IF(OR($B68="",J68=""),"",IF($B68=1,--(J68=1),""))</f>
        <v/>
      </c>
      <c r="AO68" s="4">
        <f>IF(OR($B68="",J68=""),"",IF($B68=0,--(J68=0),""))</f>
        <v/>
      </c>
      <c r="AP68" s="4">
        <f>IF(J68="","",--(J68=1))</f>
        <v/>
      </c>
      <c r="AQ68" s="4">
        <f>IF(OR($B68="",K68=""),"",--(K68=$B68))</f>
        <v/>
      </c>
      <c r="AR68" s="4">
        <f>IF(OR($B68="",K68=""),"",IF($B68=1,--(K68=1),""))</f>
        <v/>
      </c>
      <c r="AS68" s="4">
        <f>IF(OR($B68="",K68=""),"",IF($B68=0,--(K68=0),""))</f>
        <v/>
      </c>
      <c r="AT68" s="4">
        <f>IF(K68="","",--(K68=1))</f>
        <v/>
      </c>
      <c r="AU68" s="4">
        <f>IF(OR($B68="",L68=""),"",--(L68=$B68))</f>
        <v/>
      </c>
      <c r="AV68" s="4">
        <f>IF(OR($B68="",L68=""),"",IF($B68=1,--(L68=1),""))</f>
        <v/>
      </c>
      <c r="AW68" s="4">
        <f>IF(OR($B68="",L68=""),"",IF($B68=0,--(L68=0),""))</f>
        <v/>
      </c>
      <c r="AX68" s="4">
        <f>IF(L68="","",--(L68=1))</f>
        <v/>
      </c>
      <c r="AY68" s="4">
        <f>IF(OR($B68="",M68=""),"",--(M68=$B68))</f>
        <v/>
      </c>
      <c r="AZ68" s="4">
        <f>IF(OR($B68="",M68=""),"",IF($B68=1,--(M68=1),""))</f>
        <v/>
      </c>
      <c r="BA68" s="4">
        <f>IF(OR($B68="",M68=""),"",IF($B68=0,--(M68=0),""))</f>
        <v/>
      </c>
      <c r="BB68" s="4">
        <f>IF(M68="","",--(M68=1))</f>
        <v/>
      </c>
      <c r="BC68" s="4">
        <f>IF(OR($B68="",N68=""),"",--(N68=$B68))</f>
        <v/>
      </c>
      <c r="BD68" s="4">
        <f>IF(OR($B68="",N68=""),"",IF($B68=1,--(N68=1),""))</f>
        <v/>
      </c>
      <c r="BE68" s="4">
        <f>IF(OR($B68="",N68=""),"",IF($B68=0,--(N68=0),""))</f>
        <v/>
      </c>
      <c r="BF68" s="4">
        <f>IF(N68="","",--(N68=1))</f>
        <v/>
      </c>
    </row>
    <row r="69">
      <c r="A69" s="3" t="inlineStr">
        <is>
          <t>202017667</t>
        </is>
      </c>
      <c r="B69" s="3" t="inlineStr">
        <is>
          <t>0</t>
        </is>
      </c>
      <c r="C69" s="3" t="inlineStr">
        <is>
          <t>Direct</t>
        </is>
      </c>
      <c r="D69" s="3" t="inlineStr">
        <is>
          <t>1</t>
        </is>
      </c>
      <c r="E69" s="3" t="inlineStr">
        <is>
          <t>1</t>
        </is>
      </c>
      <c r="F69" s="3" t="inlineStr">
        <is>
          <t>0</t>
        </is>
      </c>
      <c r="G69" s="3" t="inlineStr">
        <is>
          <t>1</t>
        </is>
      </c>
      <c r="H69" s="3" t="inlineStr">
        <is>
          <t>1</t>
        </is>
      </c>
      <c r="I69" s="3" t="inlineStr">
        <is>
          <t>1</t>
        </is>
      </c>
      <c r="J69" s="3" t="inlineStr">
        <is>
          <t>1</t>
        </is>
      </c>
      <c r="K69" s="3" t="inlineStr">
        <is>
          <t>1</t>
        </is>
      </c>
      <c r="L69" s="3" t="inlineStr">
        <is>
          <t>1</t>
        </is>
      </c>
      <c r="M69" s="3" t="inlineStr">
        <is>
          <t>1</t>
        </is>
      </c>
      <c r="N69" s="3" t="inlineStr">
        <is>
          <t>1</t>
        </is>
      </c>
      <c r="O69" s="4">
        <f>IF(OR($B69="",D69=""),"",--(D69=$B69))</f>
        <v/>
      </c>
      <c r="P69" s="4">
        <f>IF(OR($B69="",D69=""),"",IF($B69=1,--(D69=1),""))</f>
        <v/>
      </c>
      <c r="Q69" s="4">
        <f>IF(OR($B69="",D69=""),"",IF($B69=0,--(D69=0),""))</f>
        <v/>
      </c>
      <c r="R69" s="4">
        <f>IF(D69="","",--(D69=1))</f>
        <v/>
      </c>
      <c r="S69" s="4">
        <f>IF(OR($B69="",E69=""),"",--(E69=$B69))</f>
        <v/>
      </c>
      <c r="T69" s="4">
        <f>IF(OR($B69="",E69=""),"",IF($B69=1,--(E69=1),""))</f>
        <v/>
      </c>
      <c r="U69" s="4">
        <f>IF(OR($B69="",E69=""),"",IF($B69=0,--(E69=0),""))</f>
        <v/>
      </c>
      <c r="V69" s="4">
        <f>IF(E69="","",--(E69=1))</f>
        <v/>
      </c>
      <c r="W69" s="4">
        <f>IF(OR($B69="",F69=""),"",--(F69=$B69))</f>
        <v/>
      </c>
      <c r="X69" s="4">
        <f>IF(OR($B69="",F69=""),"",IF($B69=1,--(F69=1),""))</f>
        <v/>
      </c>
      <c r="Y69" s="4">
        <f>IF(OR($B69="",F69=""),"",IF($B69=0,--(F69=0),""))</f>
        <v/>
      </c>
      <c r="Z69" s="4">
        <f>IF(F69="","",--(F69=1))</f>
        <v/>
      </c>
      <c r="AA69" s="4">
        <f>IF(OR($B69="",G69=""),"",--(G69=$B69))</f>
        <v/>
      </c>
      <c r="AB69" s="4">
        <f>IF(OR($B69="",G69=""),"",IF($B69=1,--(G69=1),""))</f>
        <v/>
      </c>
      <c r="AC69" s="4">
        <f>IF(OR($B69="",G69=""),"",IF($B69=0,--(G69=0),""))</f>
        <v/>
      </c>
      <c r="AD69" s="4">
        <f>IF(G69="","",--(G69=1))</f>
        <v/>
      </c>
      <c r="AE69" s="4">
        <f>IF(OR($B69="",H69=""),"",--(H69=$B69))</f>
        <v/>
      </c>
      <c r="AF69" s="4">
        <f>IF(OR($B69="",H69=""),"",IF($B69=1,--(H69=1),""))</f>
        <v/>
      </c>
      <c r="AG69" s="4">
        <f>IF(OR($B69="",H69=""),"",IF($B69=0,--(H69=0),""))</f>
        <v/>
      </c>
      <c r="AH69" s="4">
        <f>IF(H69="","",--(H69=1))</f>
        <v/>
      </c>
      <c r="AI69" s="4">
        <f>IF(OR($B69="",I69=""),"",--(I69=$B69))</f>
        <v/>
      </c>
      <c r="AJ69" s="4">
        <f>IF(OR($B69="",I69=""),"",IF($B69=1,--(I69=1),""))</f>
        <v/>
      </c>
      <c r="AK69" s="4">
        <f>IF(OR($B69="",I69=""),"",IF($B69=0,--(I69=0),""))</f>
        <v/>
      </c>
      <c r="AL69" s="4">
        <f>IF(I69="","",--(I69=1))</f>
        <v/>
      </c>
      <c r="AM69" s="4">
        <f>IF(OR($B69="",J69=""),"",--(J69=$B69))</f>
        <v/>
      </c>
      <c r="AN69" s="4">
        <f>IF(OR($B69="",J69=""),"",IF($B69=1,--(J69=1),""))</f>
        <v/>
      </c>
      <c r="AO69" s="4">
        <f>IF(OR($B69="",J69=""),"",IF($B69=0,--(J69=0),""))</f>
        <v/>
      </c>
      <c r="AP69" s="4">
        <f>IF(J69="","",--(J69=1))</f>
        <v/>
      </c>
      <c r="AQ69" s="4">
        <f>IF(OR($B69="",K69=""),"",--(K69=$B69))</f>
        <v/>
      </c>
      <c r="AR69" s="4">
        <f>IF(OR($B69="",K69=""),"",IF($B69=1,--(K69=1),""))</f>
        <v/>
      </c>
      <c r="AS69" s="4">
        <f>IF(OR($B69="",K69=""),"",IF($B69=0,--(K69=0),""))</f>
        <v/>
      </c>
      <c r="AT69" s="4">
        <f>IF(K69="","",--(K69=1))</f>
        <v/>
      </c>
      <c r="AU69" s="4">
        <f>IF(OR($B69="",L69=""),"",--(L69=$B69))</f>
        <v/>
      </c>
      <c r="AV69" s="4">
        <f>IF(OR($B69="",L69=""),"",IF($B69=1,--(L69=1),""))</f>
        <v/>
      </c>
      <c r="AW69" s="4">
        <f>IF(OR($B69="",L69=""),"",IF($B69=0,--(L69=0),""))</f>
        <v/>
      </c>
      <c r="AX69" s="4">
        <f>IF(L69="","",--(L69=1))</f>
        <v/>
      </c>
      <c r="AY69" s="4">
        <f>IF(OR($B69="",M69=""),"",--(M69=$B69))</f>
        <v/>
      </c>
      <c r="AZ69" s="4">
        <f>IF(OR($B69="",M69=""),"",IF($B69=1,--(M69=1),""))</f>
        <v/>
      </c>
      <c r="BA69" s="4">
        <f>IF(OR($B69="",M69=""),"",IF($B69=0,--(M69=0),""))</f>
        <v/>
      </c>
      <c r="BB69" s="4">
        <f>IF(M69="","",--(M69=1))</f>
        <v/>
      </c>
      <c r="BC69" s="4">
        <f>IF(OR($B69="",N69=""),"",--(N69=$B69))</f>
        <v/>
      </c>
      <c r="BD69" s="4">
        <f>IF(OR($B69="",N69=""),"",IF($B69=1,--(N69=1),""))</f>
        <v/>
      </c>
      <c r="BE69" s="4">
        <f>IF(OR($B69="",N69=""),"",IF($B69=0,--(N69=0),""))</f>
        <v/>
      </c>
      <c r="BF69" s="4">
        <f>IF(N69="","",--(N69=1))</f>
        <v/>
      </c>
    </row>
    <row r="70">
      <c r="A70" s="3" t="inlineStr">
        <is>
          <t>202017774</t>
        </is>
      </c>
      <c r="B70" s="3" t="inlineStr">
        <is>
          <t>1</t>
        </is>
      </c>
      <c r="C70" s="3" t="inlineStr">
        <is>
          <t>Direct</t>
        </is>
      </c>
      <c r="D70" s="3" t="inlineStr">
        <is>
          <t>1</t>
        </is>
      </c>
      <c r="E70" s="3" t="inlineStr">
        <is>
          <t>1</t>
        </is>
      </c>
      <c r="F70" s="3" t="inlineStr">
        <is>
          <t>0</t>
        </is>
      </c>
      <c r="G70" s="3" t="inlineStr">
        <is>
          <t>0</t>
        </is>
      </c>
      <c r="H70" s="3" t="inlineStr">
        <is>
          <t>0</t>
        </is>
      </c>
      <c r="I70" s="3" t="inlineStr">
        <is>
          <t>1</t>
        </is>
      </c>
      <c r="J70" s="3" t="inlineStr">
        <is>
          <t>1</t>
        </is>
      </c>
      <c r="K70" s="3" t="inlineStr">
        <is>
          <t>1</t>
        </is>
      </c>
      <c r="L70" s="3" t="inlineStr">
        <is>
          <t>1</t>
        </is>
      </c>
      <c r="M70" s="3" t="inlineStr">
        <is>
          <t>1</t>
        </is>
      </c>
      <c r="N70" s="3" t="inlineStr">
        <is>
          <t>1</t>
        </is>
      </c>
      <c r="O70" s="4">
        <f>IF(OR($B70="",D70=""),"",--(D70=$B70))</f>
        <v/>
      </c>
      <c r="P70" s="4">
        <f>IF(OR($B70="",D70=""),"",IF($B70=1,--(D70=1),""))</f>
        <v/>
      </c>
      <c r="Q70" s="4">
        <f>IF(OR($B70="",D70=""),"",IF($B70=0,--(D70=0),""))</f>
        <v/>
      </c>
      <c r="R70" s="4">
        <f>IF(D70="","",--(D70=1))</f>
        <v/>
      </c>
      <c r="S70" s="4">
        <f>IF(OR($B70="",E70=""),"",--(E70=$B70))</f>
        <v/>
      </c>
      <c r="T70" s="4">
        <f>IF(OR($B70="",E70=""),"",IF($B70=1,--(E70=1),""))</f>
        <v/>
      </c>
      <c r="U70" s="4">
        <f>IF(OR($B70="",E70=""),"",IF($B70=0,--(E70=0),""))</f>
        <v/>
      </c>
      <c r="V70" s="4">
        <f>IF(E70="","",--(E70=1))</f>
        <v/>
      </c>
      <c r="W70" s="4">
        <f>IF(OR($B70="",F70=""),"",--(F70=$B70))</f>
        <v/>
      </c>
      <c r="X70" s="4">
        <f>IF(OR($B70="",F70=""),"",IF($B70=1,--(F70=1),""))</f>
        <v/>
      </c>
      <c r="Y70" s="4">
        <f>IF(OR($B70="",F70=""),"",IF($B70=0,--(F70=0),""))</f>
        <v/>
      </c>
      <c r="Z70" s="4">
        <f>IF(F70="","",--(F70=1))</f>
        <v/>
      </c>
      <c r="AA70" s="4">
        <f>IF(OR($B70="",G70=""),"",--(G70=$B70))</f>
        <v/>
      </c>
      <c r="AB70" s="4">
        <f>IF(OR($B70="",G70=""),"",IF($B70=1,--(G70=1),""))</f>
        <v/>
      </c>
      <c r="AC70" s="4">
        <f>IF(OR($B70="",G70=""),"",IF($B70=0,--(G70=0),""))</f>
        <v/>
      </c>
      <c r="AD70" s="4">
        <f>IF(G70="","",--(G70=1))</f>
        <v/>
      </c>
      <c r="AE70" s="4">
        <f>IF(OR($B70="",H70=""),"",--(H70=$B70))</f>
        <v/>
      </c>
      <c r="AF70" s="4">
        <f>IF(OR($B70="",H70=""),"",IF($B70=1,--(H70=1),""))</f>
        <v/>
      </c>
      <c r="AG70" s="4">
        <f>IF(OR($B70="",H70=""),"",IF($B70=0,--(H70=0),""))</f>
        <v/>
      </c>
      <c r="AH70" s="4">
        <f>IF(H70="","",--(H70=1))</f>
        <v/>
      </c>
      <c r="AI70" s="4">
        <f>IF(OR($B70="",I70=""),"",--(I70=$B70))</f>
        <v/>
      </c>
      <c r="AJ70" s="4">
        <f>IF(OR($B70="",I70=""),"",IF($B70=1,--(I70=1),""))</f>
        <v/>
      </c>
      <c r="AK70" s="4">
        <f>IF(OR($B70="",I70=""),"",IF($B70=0,--(I70=0),""))</f>
        <v/>
      </c>
      <c r="AL70" s="4">
        <f>IF(I70="","",--(I70=1))</f>
        <v/>
      </c>
      <c r="AM70" s="4">
        <f>IF(OR($B70="",J70=""),"",--(J70=$B70))</f>
        <v/>
      </c>
      <c r="AN70" s="4">
        <f>IF(OR($B70="",J70=""),"",IF($B70=1,--(J70=1),""))</f>
        <v/>
      </c>
      <c r="AO70" s="4">
        <f>IF(OR($B70="",J70=""),"",IF($B70=0,--(J70=0),""))</f>
        <v/>
      </c>
      <c r="AP70" s="4">
        <f>IF(J70="","",--(J70=1))</f>
        <v/>
      </c>
      <c r="AQ70" s="4">
        <f>IF(OR($B70="",K70=""),"",--(K70=$B70))</f>
        <v/>
      </c>
      <c r="AR70" s="4">
        <f>IF(OR($B70="",K70=""),"",IF($B70=1,--(K70=1),""))</f>
        <v/>
      </c>
      <c r="AS70" s="4">
        <f>IF(OR($B70="",K70=""),"",IF($B70=0,--(K70=0),""))</f>
        <v/>
      </c>
      <c r="AT70" s="4">
        <f>IF(K70="","",--(K70=1))</f>
        <v/>
      </c>
      <c r="AU70" s="4">
        <f>IF(OR($B70="",L70=""),"",--(L70=$B70))</f>
        <v/>
      </c>
      <c r="AV70" s="4">
        <f>IF(OR($B70="",L70=""),"",IF($B70=1,--(L70=1),""))</f>
        <v/>
      </c>
      <c r="AW70" s="4">
        <f>IF(OR($B70="",L70=""),"",IF($B70=0,--(L70=0),""))</f>
        <v/>
      </c>
      <c r="AX70" s="4">
        <f>IF(L70="","",--(L70=1))</f>
        <v/>
      </c>
      <c r="AY70" s="4">
        <f>IF(OR($B70="",M70=""),"",--(M70=$B70))</f>
        <v/>
      </c>
      <c r="AZ70" s="4">
        <f>IF(OR($B70="",M70=""),"",IF($B70=1,--(M70=1),""))</f>
        <v/>
      </c>
      <c r="BA70" s="4">
        <f>IF(OR($B70="",M70=""),"",IF($B70=0,--(M70=0),""))</f>
        <v/>
      </c>
      <c r="BB70" s="4">
        <f>IF(M70="","",--(M70=1))</f>
        <v/>
      </c>
      <c r="BC70" s="4">
        <f>IF(OR($B70="",N70=""),"",--(N70=$B70))</f>
        <v/>
      </c>
      <c r="BD70" s="4">
        <f>IF(OR($B70="",N70=""),"",IF($B70=1,--(N70=1),""))</f>
        <v/>
      </c>
      <c r="BE70" s="4">
        <f>IF(OR($B70="",N70=""),"",IF($B70=0,--(N70=0),""))</f>
        <v/>
      </c>
      <c r="BF70" s="4">
        <f>IF(N70="","",--(N70=1))</f>
        <v/>
      </c>
    </row>
    <row r="71">
      <c r="A71" s="3" t="inlineStr">
        <is>
          <t>202018122</t>
        </is>
      </c>
      <c r="B71" s="3" t="inlineStr">
        <is>
          <t>0</t>
        </is>
      </c>
      <c r="C71" s="3" t="inlineStr">
        <is>
          <t>Direct</t>
        </is>
      </c>
      <c r="D71" s="3" t="inlineStr">
        <is>
          <t>1</t>
        </is>
      </c>
      <c r="E71" s="3" t="inlineStr">
        <is>
          <t>1</t>
        </is>
      </c>
      <c r="F71" s="3" t="inlineStr">
        <is>
          <t>0</t>
        </is>
      </c>
      <c r="G71" s="3" t="inlineStr">
        <is>
          <t>0</t>
        </is>
      </c>
      <c r="H71" s="3" t="inlineStr">
        <is>
          <t>0</t>
        </is>
      </c>
      <c r="I71" s="3" t="inlineStr">
        <is>
          <t>1</t>
        </is>
      </c>
      <c r="J71" s="3" t="inlineStr">
        <is>
          <t>1</t>
        </is>
      </c>
      <c r="K71" s="3" t="inlineStr">
        <is>
          <t>1</t>
        </is>
      </c>
      <c r="L71" s="3" t="inlineStr">
        <is>
          <t>1</t>
        </is>
      </c>
      <c r="M71" s="3" t="inlineStr">
        <is>
          <t>1</t>
        </is>
      </c>
      <c r="N71" s="3" t="inlineStr">
        <is>
          <t>1</t>
        </is>
      </c>
      <c r="O71" s="4">
        <f>IF(OR($B71="",D71=""),"",--(D71=$B71))</f>
        <v/>
      </c>
      <c r="P71" s="4">
        <f>IF(OR($B71="",D71=""),"",IF($B71=1,--(D71=1),""))</f>
        <v/>
      </c>
      <c r="Q71" s="4">
        <f>IF(OR($B71="",D71=""),"",IF($B71=0,--(D71=0),""))</f>
        <v/>
      </c>
      <c r="R71" s="4">
        <f>IF(D71="","",--(D71=1))</f>
        <v/>
      </c>
      <c r="S71" s="4">
        <f>IF(OR($B71="",E71=""),"",--(E71=$B71))</f>
        <v/>
      </c>
      <c r="T71" s="4">
        <f>IF(OR($B71="",E71=""),"",IF($B71=1,--(E71=1),""))</f>
        <v/>
      </c>
      <c r="U71" s="4">
        <f>IF(OR($B71="",E71=""),"",IF($B71=0,--(E71=0),""))</f>
        <v/>
      </c>
      <c r="V71" s="4">
        <f>IF(E71="","",--(E71=1))</f>
        <v/>
      </c>
      <c r="W71" s="4">
        <f>IF(OR($B71="",F71=""),"",--(F71=$B71))</f>
        <v/>
      </c>
      <c r="X71" s="4">
        <f>IF(OR($B71="",F71=""),"",IF($B71=1,--(F71=1),""))</f>
        <v/>
      </c>
      <c r="Y71" s="4">
        <f>IF(OR($B71="",F71=""),"",IF($B71=0,--(F71=0),""))</f>
        <v/>
      </c>
      <c r="Z71" s="4">
        <f>IF(F71="","",--(F71=1))</f>
        <v/>
      </c>
      <c r="AA71" s="4">
        <f>IF(OR($B71="",G71=""),"",--(G71=$B71))</f>
        <v/>
      </c>
      <c r="AB71" s="4">
        <f>IF(OR($B71="",G71=""),"",IF($B71=1,--(G71=1),""))</f>
        <v/>
      </c>
      <c r="AC71" s="4">
        <f>IF(OR($B71="",G71=""),"",IF($B71=0,--(G71=0),""))</f>
        <v/>
      </c>
      <c r="AD71" s="4">
        <f>IF(G71="","",--(G71=1))</f>
        <v/>
      </c>
      <c r="AE71" s="4">
        <f>IF(OR($B71="",H71=""),"",--(H71=$B71))</f>
        <v/>
      </c>
      <c r="AF71" s="4">
        <f>IF(OR($B71="",H71=""),"",IF($B71=1,--(H71=1),""))</f>
        <v/>
      </c>
      <c r="AG71" s="4">
        <f>IF(OR($B71="",H71=""),"",IF($B71=0,--(H71=0),""))</f>
        <v/>
      </c>
      <c r="AH71" s="4">
        <f>IF(H71="","",--(H71=1))</f>
        <v/>
      </c>
      <c r="AI71" s="4">
        <f>IF(OR($B71="",I71=""),"",--(I71=$B71))</f>
        <v/>
      </c>
      <c r="AJ71" s="4">
        <f>IF(OR($B71="",I71=""),"",IF($B71=1,--(I71=1),""))</f>
        <v/>
      </c>
      <c r="AK71" s="4">
        <f>IF(OR($B71="",I71=""),"",IF($B71=0,--(I71=0),""))</f>
        <v/>
      </c>
      <c r="AL71" s="4">
        <f>IF(I71="","",--(I71=1))</f>
        <v/>
      </c>
      <c r="AM71" s="4">
        <f>IF(OR($B71="",J71=""),"",--(J71=$B71))</f>
        <v/>
      </c>
      <c r="AN71" s="4">
        <f>IF(OR($B71="",J71=""),"",IF($B71=1,--(J71=1),""))</f>
        <v/>
      </c>
      <c r="AO71" s="4">
        <f>IF(OR($B71="",J71=""),"",IF($B71=0,--(J71=0),""))</f>
        <v/>
      </c>
      <c r="AP71" s="4">
        <f>IF(J71="","",--(J71=1))</f>
        <v/>
      </c>
      <c r="AQ71" s="4">
        <f>IF(OR($B71="",K71=""),"",--(K71=$B71))</f>
        <v/>
      </c>
      <c r="AR71" s="4">
        <f>IF(OR($B71="",K71=""),"",IF($B71=1,--(K71=1),""))</f>
        <v/>
      </c>
      <c r="AS71" s="4">
        <f>IF(OR($B71="",K71=""),"",IF($B71=0,--(K71=0),""))</f>
        <v/>
      </c>
      <c r="AT71" s="4">
        <f>IF(K71="","",--(K71=1))</f>
        <v/>
      </c>
      <c r="AU71" s="4">
        <f>IF(OR($B71="",L71=""),"",--(L71=$B71))</f>
        <v/>
      </c>
      <c r="AV71" s="4">
        <f>IF(OR($B71="",L71=""),"",IF($B71=1,--(L71=1),""))</f>
        <v/>
      </c>
      <c r="AW71" s="4">
        <f>IF(OR($B71="",L71=""),"",IF($B71=0,--(L71=0),""))</f>
        <v/>
      </c>
      <c r="AX71" s="4">
        <f>IF(L71="","",--(L71=1))</f>
        <v/>
      </c>
      <c r="AY71" s="4">
        <f>IF(OR($B71="",M71=""),"",--(M71=$B71))</f>
        <v/>
      </c>
      <c r="AZ71" s="4">
        <f>IF(OR($B71="",M71=""),"",IF($B71=1,--(M71=1),""))</f>
        <v/>
      </c>
      <c r="BA71" s="4">
        <f>IF(OR($B71="",M71=""),"",IF($B71=0,--(M71=0),""))</f>
        <v/>
      </c>
      <c r="BB71" s="4">
        <f>IF(M71="","",--(M71=1))</f>
        <v/>
      </c>
      <c r="BC71" s="4">
        <f>IF(OR($B71="",N71=""),"",--(N71=$B71))</f>
        <v/>
      </c>
      <c r="BD71" s="4">
        <f>IF(OR($B71="",N71=""),"",IF($B71=1,--(N71=1),""))</f>
        <v/>
      </c>
      <c r="BE71" s="4">
        <f>IF(OR($B71="",N71=""),"",IF($B71=0,--(N71=0),""))</f>
        <v/>
      </c>
      <c r="BF71" s="4">
        <f>IF(N71="","",--(N71=1))</f>
        <v/>
      </c>
    </row>
    <row r="72">
      <c r="A72" s="3" t="inlineStr">
        <is>
          <t>202018367</t>
        </is>
      </c>
      <c r="B72" s="3" t="inlineStr">
        <is>
          <t>0</t>
        </is>
      </c>
      <c r="C72" s="3" t="inlineStr">
        <is>
          <t>Direct</t>
        </is>
      </c>
      <c r="D72" s="3" t="inlineStr">
        <is>
          <t>1</t>
        </is>
      </c>
      <c r="E72" s="3" t="inlineStr">
        <is>
          <t>0</t>
        </is>
      </c>
      <c r="F72" s="3" t="inlineStr">
        <is>
          <t>0</t>
        </is>
      </c>
      <c r="G72" s="3" t="inlineStr">
        <is>
          <t>0</t>
        </is>
      </c>
      <c r="H72" s="3" t="inlineStr">
        <is>
          <t>0</t>
        </is>
      </c>
      <c r="I72" s="3" t="inlineStr">
        <is>
          <t>1</t>
        </is>
      </c>
      <c r="J72" s="3" t="inlineStr">
        <is>
          <t>1</t>
        </is>
      </c>
      <c r="K72" s="3" t="inlineStr">
        <is>
          <t>1</t>
        </is>
      </c>
      <c r="L72" s="3" t="inlineStr">
        <is>
          <t>1</t>
        </is>
      </c>
      <c r="M72" s="3" t="inlineStr">
        <is>
          <t>0</t>
        </is>
      </c>
      <c r="N72" s="3" t="inlineStr">
        <is>
          <t>1</t>
        </is>
      </c>
      <c r="O72" s="4">
        <f>IF(OR($B72="",D72=""),"",--(D72=$B72))</f>
        <v/>
      </c>
      <c r="P72" s="4">
        <f>IF(OR($B72="",D72=""),"",IF($B72=1,--(D72=1),""))</f>
        <v/>
      </c>
      <c r="Q72" s="4">
        <f>IF(OR($B72="",D72=""),"",IF($B72=0,--(D72=0),""))</f>
        <v/>
      </c>
      <c r="R72" s="4">
        <f>IF(D72="","",--(D72=1))</f>
        <v/>
      </c>
      <c r="S72" s="4">
        <f>IF(OR($B72="",E72=""),"",--(E72=$B72))</f>
        <v/>
      </c>
      <c r="T72" s="4">
        <f>IF(OR($B72="",E72=""),"",IF($B72=1,--(E72=1),""))</f>
        <v/>
      </c>
      <c r="U72" s="4">
        <f>IF(OR($B72="",E72=""),"",IF($B72=0,--(E72=0),""))</f>
        <v/>
      </c>
      <c r="V72" s="4">
        <f>IF(E72="","",--(E72=1))</f>
        <v/>
      </c>
      <c r="W72" s="4">
        <f>IF(OR($B72="",F72=""),"",--(F72=$B72))</f>
        <v/>
      </c>
      <c r="X72" s="4">
        <f>IF(OR($B72="",F72=""),"",IF($B72=1,--(F72=1),""))</f>
        <v/>
      </c>
      <c r="Y72" s="4">
        <f>IF(OR($B72="",F72=""),"",IF($B72=0,--(F72=0),""))</f>
        <v/>
      </c>
      <c r="Z72" s="4">
        <f>IF(F72="","",--(F72=1))</f>
        <v/>
      </c>
      <c r="AA72" s="4">
        <f>IF(OR($B72="",G72=""),"",--(G72=$B72))</f>
        <v/>
      </c>
      <c r="AB72" s="4">
        <f>IF(OR($B72="",G72=""),"",IF($B72=1,--(G72=1),""))</f>
        <v/>
      </c>
      <c r="AC72" s="4">
        <f>IF(OR($B72="",G72=""),"",IF($B72=0,--(G72=0),""))</f>
        <v/>
      </c>
      <c r="AD72" s="4">
        <f>IF(G72="","",--(G72=1))</f>
        <v/>
      </c>
      <c r="AE72" s="4">
        <f>IF(OR($B72="",H72=""),"",--(H72=$B72))</f>
        <v/>
      </c>
      <c r="AF72" s="4">
        <f>IF(OR($B72="",H72=""),"",IF($B72=1,--(H72=1),""))</f>
        <v/>
      </c>
      <c r="AG72" s="4">
        <f>IF(OR($B72="",H72=""),"",IF($B72=0,--(H72=0),""))</f>
        <v/>
      </c>
      <c r="AH72" s="4">
        <f>IF(H72="","",--(H72=1))</f>
        <v/>
      </c>
      <c r="AI72" s="4">
        <f>IF(OR($B72="",I72=""),"",--(I72=$B72))</f>
        <v/>
      </c>
      <c r="AJ72" s="4">
        <f>IF(OR($B72="",I72=""),"",IF($B72=1,--(I72=1),""))</f>
        <v/>
      </c>
      <c r="AK72" s="4">
        <f>IF(OR($B72="",I72=""),"",IF($B72=0,--(I72=0),""))</f>
        <v/>
      </c>
      <c r="AL72" s="4">
        <f>IF(I72="","",--(I72=1))</f>
        <v/>
      </c>
      <c r="AM72" s="4">
        <f>IF(OR($B72="",J72=""),"",--(J72=$B72))</f>
        <v/>
      </c>
      <c r="AN72" s="4">
        <f>IF(OR($B72="",J72=""),"",IF($B72=1,--(J72=1),""))</f>
        <v/>
      </c>
      <c r="AO72" s="4">
        <f>IF(OR($B72="",J72=""),"",IF($B72=0,--(J72=0),""))</f>
        <v/>
      </c>
      <c r="AP72" s="4">
        <f>IF(J72="","",--(J72=1))</f>
        <v/>
      </c>
      <c r="AQ72" s="4">
        <f>IF(OR($B72="",K72=""),"",--(K72=$B72))</f>
        <v/>
      </c>
      <c r="AR72" s="4">
        <f>IF(OR($B72="",K72=""),"",IF($B72=1,--(K72=1),""))</f>
        <v/>
      </c>
      <c r="AS72" s="4">
        <f>IF(OR($B72="",K72=""),"",IF($B72=0,--(K72=0),""))</f>
        <v/>
      </c>
      <c r="AT72" s="4">
        <f>IF(K72="","",--(K72=1))</f>
        <v/>
      </c>
      <c r="AU72" s="4">
        <f>IF(OR($B72="",L72=""),"",--(L72=$B72))</f>
        <v/>
      </c>
      <c r="AV72" s="4">
        <f>IF(OR($B72="",L72=""),"",IF($B72=1,--(L72=1),""))</f>
        <v/>
      </c>
      <c r="AW72" s="4">
        <f>IF(OR($B72="",L72=""),"",IF($B72=0,--(L72=0),""))</f>
        <v/>
      </c>
      <c r="AX72" s="4">
        <f>IF(L72="","",--(L72=1))</f>
        <v/>
      </c>
      <c r="AY72" s="4">
        <f>IF(OR($B72="",M72=""),"",--(M72=$B72))</f>
        <v/>
      </c>
      <c r="AZ72" s="4">
        <f>IF(OR($B72="",M72=""),"",IF($B72=1,--(M72=1),""))</f>
        <v/>
      </c>
      <c r="BA72" s="4">
        <f>IF(OR($B72="",M72=""),"",IF($B72=0,--(M72=0),""))</f>
        <v/>
      </c>
      <c r="BB72" s="4">
        <f>IF(M72="","",--(M72=1))</f>
        <v/>
      </c>
      <c r="BC72" s="4">
        <f>IF(OR($B72="",N72=""),"",--(N72=$B72))</f>
        <v/>
      </c>
      <c r="BD72" s="4">
        <f>IF(OR($B72="",N72=""),"",IF($B72=1,--(N72=1),""))</f>
        <v/>
      </c>
      <c r="BE72" s="4">
        <f>IF(OR($B72="",N72=""),"",IF($B72=0,--(N72=0),""))</f>
        <v/>
      </c>
      <c r="BF72" s="4">
        <f>IF(N72="","",--(N72=1))</f>
        <v/>
      </c>
    </row>
    <row r="73">
      <c r="A73" s="3" t="inlineStr">
        <is>
          <t>202018490</t>
        </is>
      </c>
      <c r="B73" s="3" t="inlineStr">
        <is>
          <t>0</t>
        </is>
      </c>
      <c r="C73" s="3" t="inlineStr">
        <is>
          <t>Direct</t>
        </is>
      </c>
      <c r="D73" s="3" t="inlineStr">
        <is>
          <t>0</t>
        </is>
      </c>
      <c r="E73" s="3" t="inlineStr">
        <is>
          <t>0</t>
        </is>
      </c>
      <c r="F73" s="3" t="inlineStr">
        <is>
          <t>0</t>
        </is>
      </c>
      <c r="G73" s="3" t="inlineStr">
        <is>
          <t>0</t>
        </is>
      </c>
      <c r="H73" s="3" t="inlineStr">
        <is>
          <t>0</t>
        </is>
      </c>
      <c r="I73" s="3" t="inlineStr">
        <is>
          <t>0</t>
        </is>
      </c>
      <c r="J73" s="3" t="inlineStr">
        <is>
          <t>0</t>
        </is>
      </c>
      <c r="K73" s="3" t="inlineStr">
        <is>
          <t>0</t>
        </is>
      </c>
      <c r="L73" s="3" t="inlineStr">
        <is>
          <t>0</t>
        </is>
      </c>
      <c r="M73" s="3" t="inlineStr">
        <is>
          <t>0</t>
        </is>
      </c>
      <c r="N73" s="3" t="inlineStr">
        <is>
          <t>0</t>
        </is>
      </c>
      <c r="O73" s="4">
        <f>IF(OR($B73="",D73=""),"",--(D73=$B73))</f>
        <v/>
      </c>
      <c r="P73" s="4">
        <f>IF(OR($B73="",D73=""),"",IF($B73=1,--(D73=1),""))</f>
        <v/>
      </c>
      <c r="Q73" s="4">
        <f>IF(OR($B73="",D73=""),"",IF($B73=0,--(D73=0),""))</f>
        <v/>
      </c>
      <c r="R73" s="4">
        <f>IF(D73="","",--(D73=1))</f>
        <v/>
      </c>
      <c r="S73" s="4">
        <f>IF(OR($B73="",E73=""),"",--(E73=$B73))</f>
        <v/>
      </c>
      <c r="T73" s="4">
        <f>IF(OR($B73="",E73=""),"",IF($B73=1,--(E73=1),""))</f>
        <v/>
      </c>
      <c r="U73" s="4">
        <f>IF(OR($B73="",E73=""),"",IF($B73=0,--(E73=0),""))</f>
        <v/>
      </c>
      <c r="V73" s="4">
        <f>IF(E73="","",--(E73=1))</f>
        <v/>
      </c>
      <c r="W73" s="4">
        <f>IF(OR($B73="",F73=""),"",--(F73=$B73))</f>
        <v/>
      </c>
      <c r="X73" s="4">
        <f>IF(OR($B73="",F73=""),"",IF($B73=1,--(F73=1),""))</f>
        <v/>
      </c>
      <c r="Y73" s="4">
        <f>IF(OR($B73="",F73=""),"",IF($B73=0,--(F73=0),""))</f>
        <v/>
      </c>
      <c r="Z73" s="4">
        <f>IF(F73="","",--(F73=1))</f>
        <v/>
      </c>
      <c r="AA73" s="4">
        <f>IF(OR($B73="",G73=""),"",--(G73=$B73))</f>
        <v/>
      </c>
      <c r="AB73" s="4">
        <f>IF(OR($B73="",G73=""),"",IF($B73=1,--(G73=1),""))</f>
        <v/>
      </c>
      <c r="AC73" s="4">
        <f>IF(OR($B73="",G73=""),"",IF($B73=0,--(G73=0),""))</f>
        <v/>
      </c>
      <c r="AD73" s="4">
        <f>IF(G73="","",--(G73=1))</f>
        <v/>
      </c>
      <c r="AE73" s="4">
        <f>IF(OR($B73="",H73=""),"",--(H73=$B73))</f>
        <v/>
      </c>
      <c r="AF73" s="4">
        <f>IF(OR($B73="",H73=""),"",IF($B73=1,--(H73=1),""))</f>
        <v/>
      </c>
      <c r="AG73" s="4">
        <f>IF(OR($B73="",H73=""),"",IF($B73=0,--(H73=0),""))</f>
        <v/>
      </c>
      <c r="AH73" s="4">
        <f>IF(H73="","",--(H73=1))</f>
        <v/>
      </c>
      <c r="AI73" s="4">
        <f>IF(OR($B73="",I73=""),"",--(I73=$B73))</f>
        <v/>
      </c>
      <c r="AJ73" s="4">
        <f>IF(OR($B73="",I73=""),"",IF($B73=1,--(I73=1),""))</f>
        <v/>
      </c>
      <c r="AK73" s="4">
        <f>IF(OR($B73="",I73=""),"",IF($B73=0,--(I73=0),""))</f>
        <v/>
      </c>
      <c r="AL73" s="4">
        <f>IF(I73="","",--(I73=1))</f>
        <v/>
      </c>
      <c r="AM73" s="4">
        <f>IF(OR($B73="",J73=""),"",--(J73=$B73))</f>
        <v/>
      </c>
      <c r="AN73" s="4">
        <f>IF(OR($B73="",J73=""),"",IF($B73=1,--(J73=1),""))</f>
        <v/>
      </c>
      <c r="AO73" s="4">
        <f>IF(OR($B73="",J73=""),"",IF($B73=0,--(J73=0),""))</f>
        <v/>
      </c>
      <c r="AP73" s="4">
        <f>IF(J73="","",--(J73=1))</f>
        <v/>
      </c>
      <c r="AQ73" s="4">
        <f>IF(OR($B73="",K73=""),"",--(K73=$B73))</f>
        <v/>
      </c>
      <c r="AR73" s="4">
        <f>IF(OR($B73="",K73=""),"",IF($B73=1,--(K73=1),""))</f>
        <v/>
      </c>
      <c r="AS73" s="4">
        <f>IF(OR($B73="",K73=""),"",IF($B73=0,--(K73=0),""))</f>
        <v/>
      </c>
      <c r="AT73" s="4">
        <f>IF(K73="","",--(K73=1))</f>
        <v/>
      </c>
      <c r="AU73" s="4">
        <f>IF(OR($B73="",L73=""),"",--(L73=$B73))</f>
        <v/>
      </c>
      <c r="AV73" s="4">
        <f>IF(OR($B73="",L73=""),"",IF($B73=1,--(L73=1),""))</f>
        <v/>
      </c>
      <c r="AW73" s="4">
        <f>IF(OR($B73="",L73=""),"",IF($B73=0,--(L73=0),""))</f>
        <v/>
      </c>
      <c r="AX73" s="4">
        <f>IF(L73="","",--(L73=1))</f>
        <v/>
      </c>
      <c r="AY73" s="4">
        <f>IF(OR($B73="",M73=""),"",--(M73=$B73))</f>
        <v/>
      </c>
      <c r="AZ73" s="4">
        <f>IF(OR($B73="",M73=""),"",IF($B73=1,--(M73=1),""))</f>
        <v/>
      </c>
      <c r="BA73" s="4">
        <f>IF(OR($B73="",M73=""),"",IF($B73=0,--(M73=0),""))</f>
        <v/>
      </c>
      <c r="BB73" s="4">
        <f>IF(M73="","",--(M73=1))</f>
        <v/>
      </c>
      <c r="BC73" s="4">
        <f>IF(OR($B73="",N73=""),"",--(N73=$B73))</f>
        <v/>
      </c>
      <c r="BD73" s="4">
        <f>IF(OR($B73="",N73=""),"",IF($B73=1,--(N73=1),""))</f>
        <v/>
      </c>
      <c r="BE73" s="4">
        <f>IF(OR($B73="",N73=""),"",IF($B73=0,--(N73=0),""))</f>
        <v/>
      </c>
      <c r="BF73" s="4">
        <f>IF(N73="","",--(N73=1))</f>
        <v/>
      </c>
    </row>
    <row r="74">
      <c r="A74" s="3" t="inlineStr">
        <is>
          <t>202018871</t>
        </is>
      </c>
      <c r="B74" s="3" t="inlineStr">
        <is>
          <t>1</t>
        </is>
      </c>
      <c r="C74" s="3" t="inlineStr">
        <is>
          <t>Direct</t>
        </is>
      </c>
      <c r="D74" s="3" t="inlineStr">
        <is>
          <t>1</t>
        </is>
      </c>
      <c r="E74" s="3" t="inlineStr">
        <is>
          <t>0</t>
        </is>
      </c>
      <c r="F74" s="3" t="inlineStr">
        <is>
          <t>0</t>
        </is>
      </c>
      <c r="G74" s="3" t="inlineStr">
        <is>
          <t>1</t>
        </is>
      </c>
      <c r="H74" s="3" t="inlineStr">
        <is>
          <t>1</t>
        </is>
      </c>
      <c r="I74" s="3" t="inlineStr">
        <is>
          <t>1</t>
        </is>
      </c>
      <c r="J74" s="3" t="inlineStr">
        <is>
          <t>1</t>
        </is>
      </c>
      <c r="K74" s="3" t="inlineStr">
        <is>
          <t>1</t>
        </is>
      </c>
      <c r="L74" s="3" t="inlineStr">
        <is>
          <t>1</t>
        </is>
      </c>
      <c r="M74" s="3" t="inlineStr">
        <is>
          <t>1</t>
        </is>
      </c>
      <c r="N74" s="3" t="inlineStr">
        <is>
          <t>1</t>
        </is>
      </c>
      <c r="O74" s="4">
        <f>IF(OR($B74="",D74=""),"",--(D74=$B74))</f>
        <v/>
      </c>
      <c r="P74" s="4">
        <f>IF(OR($B74="",D74=""),"",IF($B74=1,--(D74=1),""))</f>
        <v/>
      </c>
      <c r="Q74" s="4">
        <f>IF(OR($B74="",D74=""),"",IF($B74=0,--(D74=0),""))</f>
        <v/>
      </c>
      <c r="R74" s="4">
        <f>IF(D74="","",--(D74=1))</f>
        <v/>
      </c>
      <c r="S74" s="4">
        <f>IF(OR($B74="",E74=""),"",--(E74=$B74))</f>
        <v/>
      </c>
      <c r="T74" s="4">
        <f>IF(OR($B74="",E74=""),"",IF($B74=1,--(E74=1),""))</f>
        <v/>
      </c>
      <c r="U74" s="4">
        <f>IF(OR($B74="",E74=""),"",IF($B74=0,--(E74=0),""))</f>
        <v/>
      </c>
      <c r="V74" s="4">
        <f>IF(E74="","",--(E74=1))</f>
        <v/>
      </c>
      <c r="W74" s="4">
        <f>IF(OR($B74="",F74=""),"",--(F74=$B74))</f>
        <v/>
      </c>
      <c r="X74" s="4">
        <f>IF(OR($B74="",F74=""),"",IF($B74=1,--(F74=1),""))</f>
        <v/>
      </c>
      <c r="Y74" s="4">
        <f>IF(OR($B74="",F74=""),"",IF($B74=0,--(F74=0),""))</f>
        <v/>
      </c>
      <c r="Z74" s="4">
        <f>IF(F74="","",--(F74=1))</f>
        <v/>
      </c>
      <c r="AA74" s="4">
        <f>IF(OR($B74="",G74=""),"",--(G74=$B74))</f>
        <v/>
      </c>
      <c r="AB74" s="4">
        <f>IF(OR($B74="",G74=""),"",IF($B74=1,--(G74=1),""))</f>
        <v/>
      </c>
      <c r="AC74" s="4">
        <f>IF(OR($B74="",G74=""),"",IF($B74=0,--(G74=0),""))</f>
        <v/>
      </c>
      <c r="AD74" s="4">
        <f>IF(G74="","",--(G74=1))</f>
        <v/>
      </c>
      <c r="AE74" s="4">
        <f>IF(OR($B74="",H74=""),"",--(H74=$B74))</f>
        <v/>
      </c>
      <c r="AF74" s="4">
        <f>IF(OR($B74="",H74=""),"",IF($B74=1,--(H74=1),""))</f>
        <v/>
      </c>
      <c r="AG74" s="4">
        <f>IF(OR($B74="",H74=""),"",IF($B74=0,--(H74=0),""))</f>
        <v/>
      </c>
      <c r="AH74" s="4">
        <f>IF(H74="","",--(H74=1))</f>
        <v/>
      </c>
      <c r="AI74" s="4">
        <f>IF(OR($B74="",I74=""),"",--(I74=$B74))</f>
        <v/>
      </c>
      <c r="AJ74" s="4">
        <f>IF(OR($B74="",I74=""),"",IF($B74=1,--(I74=1),""))</f>
        <v/>
      </c>
      <c r="AK74" s="4">
        <f>IF(OR($B74="",I74=""),"",IF($B74=0,--(I74=0),""))</f>
        <v/>
      </c>
      <c r="AL74" s="4">
        <f>IF(I74="","",--(I74=1))</f>
        <v/>
      </c>
      <c r="AM74" s="4">
        <f>IF(OR($B74="",J74=""),"",--(J74=$B74))</f>
        <v/>
      </c>
      <c r="AN74" s="4">
        <f>IF(OR($B74="",J74=""),"",IF($B74=1,--(J74=1),""))</f>
        <v/>
      </c>
      <c r="AO74" s="4">
        <f>IF(OR($B74="",J74=""),"",IF($B74=0,--(J74=0),""))</f>
        <v/>
      </c>
      <c r="AP74" s="4">
        <f>IF(J74="","",--(J74=1))</f>
        <v/>
      </c>
      <c r="AQ74" s="4">
        <f>IF(OR($B74="",K74=""),"",--(K74=$B74))</f>
        <v/>
      </c>
      <c r="AR74" s="4">
        <f>IF(OR($B74="",K74=""),"",IF($B74=1,--(K74=1),""))</f>
        <v/>
      </c>
      <c r="AS74" s="4">
        <f>IF(OR($B74="",K74=""),"",IF($B74=0,--(K74=0),""))</f>
        <v/>
      </c>
      <c r="AT74" s="4">
        <f>IF(K74="","",--(K74=1))</f>
        <v/>
      </c>
      <c r="AU74" s="4">
        <f>IF(OR($B74="",L74=""),"",--(L74=$B74))</f>
        <v/>
      </c>
      <c r="AV74" s="4">
        <f>IF(OR($B74="",L74=""),"",IF($B74=1,--(L74=1),""))</f>
        <v/>
      </c>
      <c r="AW74" s="4">
        <f>IF(OR($B74="",L74=""),"",IF($B74=0,--(L74=0),""))</f>
        <v/>
      </c>
      <c r="AX74" s="4">
        <f>IF(L74="","",--(L74=1))</f>
        <v/>
      </c>
      <c r="AY74" s="4">
        <f>IF(OR($B74="",M74=""),"",--(M74=$B74))</f>
        <v/>
      </c>
      <c r="AZ74" s="4">
        <f>IF(OR($B74="",M74=""),"",IF($B74=1,--(M74=1),""))</f>
        <v/>
      </c>
      <c r="BA74" s="4">
        <f>IF(OR($B74="",M74=""),"",IF($B74=0,--(M74=0),""))</f>
        <v/>
      </c>
      <c r="BB74" s="4">
        <f>IF(M74="","",--(M74=1))</f>
        <v/>
      </c>
      <c r="BC74" s="4">
        <f>IF(OR($B74="",N74=""),"",--(N74=$B74))</f>
        <v/>
      </c>
      <c r="BD74" s="4">
        <f>IF(OR($B74="",N74=""),"",IF($B74=1,--(N74=1),""))</f>
        <v/>
      </c>
      <c r="BE74" s="4">
        <f>IF(OR($B74="",N74=""),"",IF($B74=0,--(N74=0),""))</f>
        <v/>
      </c>
      <c r="BF74" s="4">
        <f>IF(N74="","",--(N74=1))</f>
        <v/>
      </c>
    </row>
    <row r="75">
      <c r="A75" s="3" t="inlineStr">
        <is>
          <t>202018929</t>
        </is>
      </c>
      <c r="B75" s="3" t="inlineStr">
        <is>
          <t>1</t>
        </is>
      </c>
      <c r="C75" s="3" t="inlineStr">
        <is>
          <t>Direct</t>
        </is>
      </c>
      <c r="D75" s="3" t="inlineStr">
        <is>
          <t>1</t>
        </is>
      </c>
      <c r="E75" s="3" t="inlineStr">
        <is>
          <t>0</t>
        </is>
      </c>
      <c r="F75" s="3" t="inlineStr">
        <is>
          <t>0</t>
        </is>
      </c>
      <c r="G75" s="3" t="inlineStr">
        <is>
          <t>1</t>
        </is>
      </c>
      <c r="H75" s="3" t="inlineStr">
        <is>
          <t>0</t>
        </is>
      </c>
      <c r="I75" s="3" t="inlineStr">
        <is>
          <t>1</t>
        </is>
      </c>
      <c r="J75" s="3" t="inlineStr">
        <is>
          <t>1</t>
        </is>
      </c>
      <c r="K75" s="3" t="inlineStr">
        <is>
          <t>1</t>
        </is>
      </c>
      <c r="L75" s="3" t="inlineStr">
        <is>
          <t>1</t>
        </is>
      </c>
      <c r="M75" s="3" t="inlineStr">
        <is>
          <t>1</t>
        </is>
      </c>
      <c r="N75" s="3" t="inlineStr">
        <is>
          <t>1</t>
        </is>
      </c>
      <c r="O75" s="4">
        <f>IF(OR($B75="",D75=""),"",--(D75=$B75))</f>
        <v/>
      </c>
      <c r="P75" s="4">
        <f>IF(OR($B75="",D75=""),"",IF($B75=1,--(D75=1),""))</f>
        <v/>
      </c>
      <c r="Q75" s="4">
        <f>IF(OR($B75="",D75=""),"",IF($B75=0,--(D75=0),""))</f>
        <v/>
      </c>
      <c r="R75" s="4">
        <f>IF(D75="","",--(D75=1))</f>
        <v/>
      </c>
      <c r="S75" s="4">
        <f>IF(OR($B75="",E75=""),"",--(E75=$B75))</f>
        <v/>
      </c>
      <c r="T75" s="4">
        <f>IF(OR($B75="",E75=""),"",IF($B75=1,--(E75=1),""))</f>
        <v/>
      </c>
      <c r="U75" s="4">
        <f>IF(OR($B75="",E75=""),"",IF($B75=0,--(E75=0),""))</f>
        <v/>
      </c>
      <c r="V75" s="4">
        <f>IF(E75="","",--(E75=1))</f>
        <v/>
      </c>
      <c r="W75" s="4">
        <f>IF(OR($B75="",F75=""),"",--(F75=$B75))</f>
        <v/>
      </c>
      <c r="X75" s="4">
        <f>IF(OR($B75="",F75=""),"",IF($B75=1,--(F75=1),""))</f>
        <v/>
      </c>
      <c r="Y75" s="4">
        <f>IF(OR($B75="",F75=""),"",IF($B75=0,--(F75=0),""))</f>
        <v/>
      </c>
      <c r="Z75" s="4">
        <f>IF(F75="","",--(F75=1))</f>
        <v/>
      </c>
      <c r="AA75" s="4">
        <f>IF(OR($B75="",G75=""),"",--(G75=$B75))</f>
        <v/>
      </c>
      <c r="AB75" s="4">
        <f>IF(OR($B75="",G75=""),"",IF($B75=1,--(G75=1),""))</f>
        <v/>
      </c>
      <c r="AC75" s="4">
        <f>IF(OR($B75="",G75=""),"",IF($B75=0,--(G75=0),""))</f>
        <v/>
      </c>
      <c r="AD75" s="4">
        <f>IF(G75="","",--(G75=1))</f>
        <v/>
      </c>
      <c r="AE75" s="4">
        <f>IF(OR($B75="",H75=""),"",--(H75=$B75))</f>
        <v/>
      </c>
      <c r="AF75" s="4">
        <f>IF(OR($B75="",H75=""),"",IF($B75=1,--(H75=1),""))</f>
        <v/>
      </c>
      <c r="AG75" s="4">
        <f>IF(OR($B75="",H75=""),"",IF($B75=0,--(H75=0),""))</f>
        <v/>
      </c>
      <c r="AH75" s="4">
        <f>IF(H75="","",--(H75=1))</f>
        <v/>
      </c>
      <c r="AI75" s="4">
        <f>IF(OR($B75="",I75=""),"",--(I75=$B75))</f>
        <v/>
      </c>
      <c r="AJ75" s="4">
        <f>IF(OR($B75="",I75=""),"",IF($B75=1,--(I75=1),""))</f>
        <v/>
      </c>
      <c r="AK75" s="4">
        <f>IF(OR($B75="",I75=""),"",IF($B75=0,--(I75=0),""))</f>
        <v/>
      </c>
      <c r="AL75" s="4">
        <f>IF(I75="","",--(I75=1))</f>
        <v/>
      </c>
      <c r="AM75" s="4">
        <f>IF(OR($B75="",J75=""),"",--(J75=$B75))</f>
        <v/>
      </c>
      <c r="AN75" s="4">
        <f>IF(OR($B75="",J75=""),"",IF($B75=1,--(J75=1),""))</f>
        <v/>
      </c>
      <c r="AO75" s="4">
        <f>IF(OR($B75="",J75=""),"",IF($B75=0,--(J75=0),""))</f>
        <v/>
      </c>
      <c r="AP75" s="4">
        <f>IF(J75="","",--(J75=1))</f>
        <v/>
      </c>
      <c r="AQ75" s="4">
        <f>IF(OR($B75="",K75=""),"",--(K75=$B75))</f>
        <v/>
      </c>
      <c r="AR75" s="4">
        <f>IF(OR($B75="",K75=""),"",IF($B75=1,--(K75=1),""))</f>
        <v/>
      </c>
      <c r="AS75" s="4">
        <f>IF(OR($B75="",K75=""),"",IF($B75=0,--(K75=0),""))</f>
        <v/>
      </c>
      <c r="AT75" s="4">
        <f>IF(K75="","",--(K75=1))</f>
        <v/>
      </c>
      <c r="AU75" s="4">
        <f>IF(OR($B75="",L75=""),"",--(L75=$B75))</f>
        <v/>
      </c>
      <c r="AV75" s="4">
        <f>IF(OR($B75="",L75=""),"",IF($B75=1,--(L75=1),""))</f>
        <v/>
      </c>
      <c r="AW75" s="4">
        <f>IF(OR($B75="",L75=""),"",IF($B75=0,--(L75=0),""))</f>
        <v/>
      </c>
      <c r="AX75" s="4">
        <f>IF(L75="","",--(L75=1))</f>
        <v/>
      </c>
      <c r="AY75" s="4">
        <f>IF(OR($B75="",M75=""),"",--(M75=$B75))</f>
        <v/>
      </c>
      <c r="AZ75" s="4">
        <f>IF(OR($B75="",M75=""),"",IF($B75=1,--(M75=1),""))</f>
        <v/>
      </c>
      <c r="BA75" s="4">
        <f>IF(OR($B75="",M75=""),"",IF($B75=0,--(M75=0),""))</f>
        <v/>
      </c>
      <c r="BB75" s="4">
        <f>IF(M75="","",--(M75=1))</f>
        <v/>
      </c>
      <c r="BC75" s="4">
        <f>IF(OR($B75="",N75=""),"",--(N75=$B75))</f>
        <v/>
      </c>
      <c r="BD75" s="4">
        <f>IF(OR($B75="",N75=""),"",IF($B75=1,--(N75=1),""))</f>
        <v/>
      </c>
      <c r="BE75" s="4">
        <f>IF(OR($B75="",N75=""),"",IF($B75=0,--(N75=0),""))</f>
        <v/>
      </c>
      <c r="BF75" s="4">
        <f>IF(N75="","",--(N75=1))</f>
        <v/>
      </c>
    </row>
    <row r="76">
      <c r="A76" s="3" t="inlineStr">
        <is>
          <t>202019132</t>
        </is>
      </c>
      <c r="B76" s="3" t="inlineStr">
        <is>
          <t>0</t>
        </is>
      </c>
      <c r="C76" s="3" t="inlineStr">
        <is>
          <t>Direct</t>
        </is>
      </c>
      <c r="D76" s="3" t="inlineStr">
        <is>
          <t>0</t>
        </is>
      </c>
      <c r="E76" s="3" t="inlineStr">
        <is>
          <t>0</t>
        </is>
      </c>
      <c r="F76" s="3" t="inlineStr">
        <is>
          <t>0</t>
        </is>
      </c>
      <c r="G76" s="3" t="inlineStr">
        <is>
          <t>0</t>
        </is>
      </c>
      <c r="H76" s="3" t="inlineStr">
        <is>
          <t>0</t>
        </is>
      </c>
      <c r="I76" s="3" t="inlineStr">
        <is>
          <t>0</t>
        </is>
      </c>
      <c r="J76" s="3" t="inlineStr">
        <is>
          <t>1</t>
        </is>
      </c>
      <c r="K76" s="3" t="inlineStr">
        <is>
          <t>1</t>
        </is>
      </c>
      <c r="L76" s="3" t="inlineStr">
        <is>
          <t>0</t>
        </is>
      </c>
      <c r="M76" s="3" t="inlineStr">
        <is>
          <t>0</t>
        </is>
      </c>
      <c r="N76" s="3" t="inlineStr">
        <is>
          <t>1</t>
        </is>
      </c>
      <c r="O76" s="4">
        <f>IF(OR($B76="",D76=""),"",--(D76=$B76))</f>
        <v/>
      </c>
      <c r="P76" s="4">
        <f>IF(OR($B76="",D76=""),"",IF($B76=1,--(D76=1),""))</f>
        <v/>
      </c>
      <c r="Q76" s="4">
        <f>IF(OR($B76="",D76=""),"",IF($B76=0,--(D76=0),""))</f>
        <v/>
      </c>
      <c r="R76" s="4">
        <f>IF(D76="","",--(D76=1))</f>
        <v/>
      </c>
      <c r="S76" s="4">
        <f>IF(OR($B76="",E76=""),"",--(E76=$B76))</f>
        <v/>
      </c>
      <c r="T76" s="4">
        <f>IF(OR($B76="",E76=""),"",IF($B76=1,--(E76=1),""))</f>
        <v/>
      </c>
      <c r="U76" s="4">
        <f>IF(OR($B76="",E76=""),"",IF($B76=0,--(E76=0),""))</f>
        <v/>
      </c>
      <c r="V76" s="4">
        <f>IF(E76="","",--(E76=1))</f>
        <v/>
      </c>
      <c r="W76" s="4">
        <f>IF(OR($B76="",F76=""),"",--(F76=$B76))</f>
        <v/>
      </c>
      <c r="X76" s="4">
        <f>IF(OR($B76="",F76=""),"",IF($B76=1,--(F76=1),""))</f>
        <v/>
      </c>
      <c r="Y76" s="4">
        <f>IF(OR($B76="",F76=""),"",IF($B76=0,--(F76=0),""))</f>
        <v/>
      </c>
      <c r="Z76" s="4">
        <f>IF(F76="","",--(F76=1))</f>
        <v/>
      </c>
      <c r="AA76" s="4">
        <f>IF(OR($B76="",G76=""),"",--(G76=$B76))</f>
        <v/>
      </c>
      <c r="AB76" s="4">
        <f>IF(OR($B76="",G76=""),"",IF($B76=1,--(G76=1),""))</f>
        <v/>
      </c>
      <c r="AC76" s="4">
        <f>IF(OR($B76="",G76=""),"",IF($B76=0,--(G76=0),""))</f>
        <v/>
      </c>
      <c r="AD76" s="4">
        <f>IF(G76="","",--(G76=1))</f>
        <v/>
      </c>
      <c r="AE76" s="4">
        <f>IF(OR($B76="",H76=""),"",--(H76=$B76))</f>
        <v/>
      </c>
      <c r="AF76" s="4">
        <f>IF(OR($B76="",H76=""),"",IF($B76=1,--(H76=1),""))</f>
        <v/>
      </c>
      <c r="AG76" s="4">
        <f>IF(OR($B76="",H76=""),"",IF($B76=0,--(H76=0),""))</f>
        <v/>
      </c>
      <c r="AH76" s="4">
        <f>IF(H76="","",--(H76=1))</f>
        <v/>
      </c>
      <c r="AI76" s="4">
        <f>IF(OR($B76="",I76=""),"",--(I76=$B76))</f>
        <v/>
      </c>
      <c r="AJ76" s="4">
        <f>IF(OR($B76="",I76=""),"",IF($B76=1,--(I76=1),""))</f>
        <v/>
      </c>
      <c r="AK76" s="4">
        <f>IF(OR($B76="",I76=""),"",IF($B76=0,--(I76=0),""))</f>
        <v/>
      </c>
      <c r="AL76" s="4">
        <f>IF(I76="","",--(I76=1))</f>
        <v/>
      </c>
      <c r="AM76" s="4">
        <f>IF(OR($B76="",J76=""),"",--(J76=$B76))</f>
        <v/>
      </c>
      <c r="AN76" s="4">
        <f>IF(OR($B76="",J76=""),"",IF($B76=1,--(J76=1),""))</f>
        <v/>
      </c>
      <c r="AO76" s="4">
        <f>IF(OR($B76="",J76=""),"",IF($B76=0,--(J76=0),""))</f>
        <v/>
      </c>
      <c r="AP76" s="4">
        <f>IF(J76="","",--(J76=1))</f>
        <v/>
      </c>
      <c r="AQ76" s="4">
        <f>IF(OR($B76="",K76=""),"",--(K76=$B76))</f>
        <v/>
      </c>
      <c r="AR76" s="4">
        <f>IF(OR($B76="",K76=""),"",IF($B76=1,--(K76=1),""))</f>
        <v/>
      </c>
      <c r="AS76" s="4">
        <f>IF(OR($B76="",K76=""),"",IF($B76=0,--(K76=0),""))</f>
        <v/>
      </c>
      <c r="AT76" s="4">
        <f>IF(K76="","",--(K76=1))</f>
        <v/>
      </c>
      <c r="AU76" s="4">
        <f>IF(OR($B76="",L76=""),"",--(L76=$B76))</f>
        <v/>
      </c>
      <c r="AV76" s="4">
        <f>IF(OR($B76="",L76=""),"",IF($B76=1,--(L76=1),""))</f>
        <v/>
      </c>
      <c r="AW76" s="4">
        <f>IF(OR($B76="",L76=""),"",IF($B76=0,--(L76=0),""))</f>
        <v/>
      </c>
      <c r="AX76" s="4">
        <f>IF(L76="","",--(L76=1))</f>
        <v/>
      </c>
      <c r="AY76" s="4">
        <f>IF(OR($B76="",M76=""),"",--(M76=$B76))</f>
        <v/>
      </c>
      <c r="AZ76" s="4">
        <f>IF(OR($B76="",M76=""),"",IF($B76=1,--(M76=1),""))</f>
        <v/>
      </c>
      <c r="BA76" s="4">
        <f>IF(OR($B76="",M76=""),"",IF($B76=0,--(M76=0),""))</f>
        <v/>
      </c>
      <c r="BB76" s="4">
        <f>IF(M76="","",--(M76=1))</f>
        <v/>
      </c>
      <c r="BC76" s="4">
        <f>IF(OR($B76="",N76=""),"",--(N76=$B76))</f>
        <v/>
      </c>
      <c r="BD76" s="4">
        <f>IF(OR($B76="",N76=""),"",IF($B76=1,--(N76=1),""))</f>
        <v/>
      </c>
      <c r="BE76" s="4">
        <f>IF(OR($B76="",N76=""),"",IF($B76=0,--(N76=0),""))</f>
        <v/>
      </c>
      <c r="BF76" s="4">
        <f>IF(N76="","",--(N76=1))</f>
        <v/>
      </c>
    </row>
    <row r="77">
      <c r="A77" s="3" t="inlineStr">
        <is>
          <t>202019315</t>
        </is>
      </c>
      <c r="B77" s="3" t="inlineStr">
        <is>
          <t>1</t>
        </is>
      </c>
      <c r="C77" s="3" t="inlineStr">
        <is>
          <t>Direct</t>
        </is>
      </c>
      <c r="D77" s="3" t="inlineStr">
        <is>
          <t>0</t>
        </is>
      </c>
      <c r="E77" s="3" t="inlineStr">
        <is>
          <t>1</t>
        </is>
      </c>
      <c r="F77" s="3" t="inlineStr">
        <is>
          <t>1</t>
        </is>
      </c>
      <c r="G77" s="3" t="inlineStr">
        <is>
          <t>1</t>
        </is>
      </c>
      <c r="H77" s="3" t="inlineStr">
        <is>
          <t>1</t>
        </is>
      </c>
      <c r="I77" s="3" t="inlineStr">
        <is>
          <t>1</t>
        </is>
      </c>
      <c r="J77" s="3" t="inlineStr">
        <is>
          <t>1</t>
        </is>
      </c>
      <c r="K77" s="3" t="inlineStr">
        <is>
          <t>1</t>
        </is>
      </c>
      <c r="L77" s="3" t="inlineStr">
        <is>
          <t>1</t>
        </is>
      </c>
      <c r="M77" s="3" t="inlineStr">
        <is>
          <t>1</t>
        </is>
      </c>
      <c r="N77" s="3" t="inlineStr">
        <is>
          <t>1</t>
        </is>
      </c>
      <c r="O77" s="4">
        <f>IF(OR($B77="",D77=""),"",--(D77=$B77))</f>
        <v/>
      </c>
      <c r="P77" s="4">
        <f>IF(OR($B77="",D77=""),"",IF($B77=1,--(D77=1),""))</f>
        <v/>
      </c>
      <c r="Q77" s="4">
        <f>IF(OR($B77="",D77=""),"",IF($B77=0,--(D77=0),""))</f>
        <v/>
      </c>
      <c r="R77" s="4">
        <f>IF(D77="","",--(D77=1))</f>
        <v/>
      </c>
      <c r="S77" s="4">
        <f>IF(OR($B77="",E77=""),"",--(E77=$B77))</f>
        <v/>
      </c>
      <c r="T77" s="4">
        <f>IF(OR($B77="",E77=""),"",IF($B77=1,--(E77=1),""))</f>
        <v/>
      </c>
      <c r="U77" s="4">
        <f>IF(OR($B77="",E77=""),"",IF($B77=0,--(E77=0),""))</f>
        <v/>
      </c>
      <c r="V77" s="4">
        <f>IF(E77="","",--(E77=1))</f>
        <v/>
      </c>
      <c r="W77" s="4">
        <f>IF(OR($B77="",F77=""),"",--(F77=$B77))</f>
        <v/>
      </c>
      <c r="X77" s="4">
        <f>IF(OR($B77="",F77=""),"",IF($B77=1,--(F77=1),""))</f>
        <v/>
      </c>
      <c r="Y77" s="4">
        <f>IF(OR($B77="",F77=""),"",IF($B77=0,--(F77=0),""))</f>
        <v/>
      </c>
      <c r="Z77" s="4">
        <f>IF(F77="","",--(F77=1))</f>
        <v/>
      </c>
      <c r="AA77" s="4">
        <f>IF(OR($B77="",G77=""),"",--(G77=$B77))</f>
        <v/>
      </c>
      <c r="AB77" s="4">
        <f>IF(OR($B77="",G77=""),"",IF($B77=1,--(G77=1),""))</f>
        <v/>
      </c>
      <c r="AC77" s="4">
        <f>IF(OR($B77="",G77=""),"",IF($B77=0,--(G77=0),""))</f>
        <v/>
      </c>
      <c r="AD77" s="4">
        <f>IF(G77="","",--(G77=1))</f>
        <v/>
      </c>
      <c r="AE77" s="4">
        <f>IF(OR($B77="",H77=""),"",--(H77=$B77))</f>
        <v/>
      </c>
      <c r="AF77" s="4">
        <f>IF(OR($B77="",H77=""),"",IF($B77=1,--(H77=1),""))</f>
        <v/>
      </c>
      <c r="AG77" s="4">
        <f>IF(OR($B77="",H77=""),"",IF($B77=0,--(H77=0),""))</f>
        <v/>
      </c>
      <c r="AH77" s="4">
        <f>IF(H77="","",--(H77=1))</f>
        <v/>
      </c>
      <c r="AI77" s="4">
        <f>IF(OR($B77="",I77=""),"",--(I77=$B77))</f>
        <v/>
      </c>
      <c r="AJ77" s="4">
        <f>IF(OR($B77="",I77=""),"",IF($B77=1,--(I77=1),""))</f>
        <v/>
      </c>
      <c r="AK77" s="4">
        <f>IF(OR($B77="",I77=""),"",IF($B77=0,--(I77=0),""))</f>
        <v/>
      </c>
      <c r="AL77" s="4">
        <f>IF(I77="","",--(I77=1))</f>
        <v/>
      </c>
      <c r="AM77" s="4">
        <f>IF(OR($B77="",J77=""),"",--(J77=$B77))</f>
        <v/>
      </c>
      <c r="AN77" s="4">
        <f>IF(OR($B77="",J77=""),"",IF($B77=1,--(J77=1),""))</f>
        <v/>
      </c>
      <c r="AO77" s="4">
        <f>IF(OR($B77="",J77=""),"",IF($B77=0,--(J77=0),""))</f>
        <v/>
      </c>
      <c r="AP77" s="4">
        <f>IF(J77="","",--(J77=1))</f>
        <v/>
      </c>
      <c r="AQ77" s="4">
        <f>IF(OR($B77="",K77=""),"",--(K77=$B77))</f>
        <v/>
      </c>
      <c r="AR77" s="4">
        <f>IF(OR($B77="",K77=""),"",IF($B77=1,--(K77=1),""))</f>
        <v/>
      </c>
      <c r="AS77" s="4">
        <f>IF(OR($B77="",K77=""),"",IF($B77=0,--(K77=0),""))</f>
        <v/>
      </c>
      <c r="AT77" s="4">
        <f>IF(K77="","",--(K77=1))</f>
        <v/>
      </c>
      <c r="AU77" s="4">
        <f>IF(OR($B77="",L77=""),"",--(L77=$B77))</f>
        <v/>
      </c>
      <c r="AV77" s="4">
        <f>IF(OR($B77="",L77=""),"",IF($B77=1,--(L77=1),""))</f>
        <v/>
      </c>
      <c r="AW77" s="4">
        <f>IF(OR($B77="",L77=""),"",IF($B77=0,--(L77=0),""))</f>
        <v/>
      </c>
      <c r="AX77" s="4">
        <f>IF(L77="","",--(L77=1))</f>
        <v/>
      </c>
      <c r="AY77" s="4">
        <f>IF(OR($B77="",M77=""),"",--(M77=$B77))</f>
        <v/>
      </c>
      <c r="AZ77" s="4">
        <f>IF(OR($B77="",M77=""),"",IF($B77=1,--(M77=1),""))</f>
        <v/>
      </c>
      <c r="BA77" s="4">
        <f>IF(OR($B77="",M77=""),"",IF($B77=0,--(M77=0),""))</f>
        <v/>
      </c>
      <c r="BB77" s="4">
        <f>IF(M77="","",--(M77=1))</f>
        <v/>
      </c>
      <c r="BC77" s="4">
        <f>IF(OR($B77="",N77=""),"",--(N77=$B77))</f>
        <v/>
      </c>
      <c r="BD77" s="4">
        <f>IF(OR($B77="",N77=""),"",IF($B77=1,--(N77=1),""))</f>
        <v/>
      </c>
      <c r="BE77" s="4">
        <f>IF(OR($B77="",N77=""),"",IF($B77=0,--(N77=0),""))</f>
        <v/>
      </c>
      <c r="BF77" s="4">
        <f>IF(N77="","",--(N77=1))</f>
        <v/>
      </c>
    </row>
    <row r="78">
      <c r="A78" s="3" t="inlineStr">
        <is>
          <t>202019316</t>
        </is>
      </c>
      <c r="B78" s="3" t="inlineStr">
        <is>
          <t>1</t>
        </is>
      </c>
      <c r="C78" s="3" t="inlineStr">
        <is>
          <t>RQ</t>
        </is>
      </c>
      <c r="D78" s="3" t="inlineStr">
        <is>
          <t>1</t>
        </is>
      </c>
      <c r="E78" s="3" t="inlineStr">
        <is>
          <t>1</t>
        </is>
      </c>
      <c r="F78" s="3" t="inlineStr">
        <is>
          <t>1</t>
        </is>
      </c>
      <c r="G78" s="3" t="inlineStr">
        <is>
          <t>0</t>
        </is>
      </c>
      <c r="H78" s="3" t="inlineStr">
        <is>
          <t>0</t>
        </is>
      </c>
      <c r="I78" s="3" t="inlineStr">
        <is>
          <t>1</t>
        </is>
      </c>
      <c r="J78" s="3" t="inlineStr">
        <is>
          <t>1</t>
        </is>
      </c>
      <c r="K78" s="3" t="inlineStr">
        <is>
          <t>1</t>
        </is>
      </c>
      <c r="L78" s="3" t="inlineStr">
        <is>
          <t>1</t>
        </is>
      </c>
      <c r="M78" s="3" t="inlineStr">
        <is>
          <t>1</t>
        </is>
      </c>
      <c r="N78" s="3" t="inlineStr">
        <is>
          <t>1</t>
        </is>
      </c>
      <c r="O78" s="4">
        <f>IF(OR($B78="",D78=""),"",--(D78=$B78))</f>
        <v/>
      </c>
      <c r="P78" s="4">
        <f>IF(OR($B78="",D78=""),"",IF($B78=1,--(D78=1),""))</f>
        <v/>
      </c>
      <c r="Q78" s="4">
        <f>IF(OR($B78="",D78=""),"",IF($B78=0,--(D78=0),""))</f>
        <v/>
      </c>
      <c r="R78" s="4">
        <f>IF(D78="","",--(D78=1))</f>
        <v/>
      </c>
      <c r="S78" s="4">
        <f>IF(OR($B78="",E78=""),"",--(E78=$B78))</f>
        <v/>
      </c>
      <c r="T78" s="4">
        <f>IF(OR($B78="",E78=""),"",IF($B78=1,--(E78=1),""))</f>
        <v/>
      </c>
      <c r="U78" s="4">
        <f>IF(OR($B78="",E78=""),"",IF($B78=0,--(E78=0),""))</f>
        <v/>
      </c>
      <c r="V78" s="4">
        <f>IF(E78="","",--(E78=1))</f>
        <v/>
      </c>
      <c r="W78" s="4">
        <f>IF(OR($B78="",F78=""),"",--(F78=$B78))</f>
        <v/>
      </c>
      <c r="X78" s="4">
        <f>IF(OR($B78="",F78=""),"",IF($B78=1,--(F78=1),""))</f>
        <v/>
      </c>
      <c r="Y78" s="4">
        <f>IF(OR($B78="",F78=""),"",IF($B78=0,--(F78=0),""))</f>
        <v/>
      </c>
      <c r="Z78" s="4">
        <f>IF(F78="","",--(F78=1))</f>
        <v/>
      </c>
      <c r="AA78" s="4">
        <f>IF(OR($B78="",G78=""),"",--(G78=$B78))</f>
        <v/>
      </c>
      <c r="AB78" s="4">
        <f>IF(OR($B78="",G78=""),"",IF($B78=1,--(G78=1),""))</f>
        <v/>
      </c>
      <c r="AC78" s="4">
        <f>IF(OR($B78="",G78=""),"",IF($B78=0,--(G78=0),""))</f>
        <v/>
      </c>
      <c r="AD78" s="4">
        <f>IF(G78="","",--(G78=1))</f>
        <v/>
      </c>
      <c r="AE78" s="4">
        <f>IF(OR($B78="",H78=""),"",--(H78=$B78))</f>
        <v/>
      </c>
      <c r="AF78" s="4">
        <f>IF(OR($B78="",H78=""),"",IF($B78=1,--(H78=1),""))</f>
        <v/>
      </c>
      <c r="AG78" s="4">
        <f>IF(OR($B78="",H78=""),"",IF($B78=0,--(H78=0),""))</f>
        <v/>
      </c>
      <c r="AH78" s="4">
        <f>IF(H78="","",--(H78=1))</f>
        <v/>
      </c>
      <c r="AI78" s="4">
        <f>IF(OR($B78="",I78=""),"",--(I78=$B78))</f>
        <v/>
      </c>
      <c r="AJ78" s="4">
        <f>IF(OR($B78="",I78=""),"",IF($B78=1,--(I78=1),""))</f>
        <v/>
      </c>
      <c r="AK78" s="4">
        <f>IF(OR($B78="",I78=""),"",IF($B78=0,--(I78=0),""))</f>
        <v/>
      </c>
      <c r="AL78" s="4">
        <f>IF(I78="","",--(I78=1))</f>
        <v/>
      </c>
      <c r="AM78" s="4">
        <f>IF(OR($B78="",J78=""),"",--(J78=$B78))</f>
        <v/>
      </c>
      <c r="AN78" s="4">
        <f>IF(OR($B78="",J78=""),"",IF($B78=1,--(J78=1),""))</f>
        <v/>
      </c>
      <c r="AO78" s="4">
        <f>IF(OR($B78="",J78=""),"",IF($B78=0,--(J78=0),""))</f>
        <v/>
      </c>
      <c r="AP78" s="4">
        <f>IF(J78="","",--(J78=1))</f>
        <v/>
      </c>
      <c r="AQ78" s="4">
        <f>IF(OR($B78="",K78=""),"",--(K78=$B78))</f>
        <v/>
      </c>
      <c r="AR78" s="4">
        <f>IF(OR($B78="",K78=""),"",IF($B78=1,--(K78=1),""))</f>
        <v/>
      </c>
      <c r="AS78" s="4">
        <f>IF(OR($B78="",K78=""),"",IF($B78=0,--(K78=0),""))</f>
        <v/>
      </c>
      <c r="AT78" s="4">
        <f>IF(K78="","",--(K78=1))</f>
        <v/>
      </c>
      <c r="AU78" s="4">
        <f>IF(OR($B78="",L78=""),"",--(L78=$B78))</f>
        <v/>
      </c>
      <c r="AV78" s="4">
        <f>IF(OR($B78="",L78=""),"",IF($B78=1,--(L78=1),""))</f>
        <v/>
      </c>
      <c r="AW78" s="4">
        <f>IF(OR($B78="",L78=""),"",IF($B78=0,--(L78=0),""))</f>
        <v/>
      </c>
      <c r="AX78" s="4">
        <f>IF(L78="","",--(L78=1))</f>
        <v/>
      </c>
      <c r="AY78" s="4">
        <f>IF(OR($B78="",M78=""),"",--(M78=$B78))</f>
        <v/>
      </c>
      <c r="AZ78" s="4">
        <f>IF(OR($B78="",M78=""),"",IF($B78=1,--(M78=1),""))</f>
        <v/>
      </c>
      <c r="BA78" s="4">
        <f>IF(OR($B78="",M78=""),"",IF($B78=0,--(M78=0),""))</f>
        <v/>
      </c>
      <c r="BB78" s="4">
        <f>IF(M78="","",--(M78=1))</f>
        <v/>
      </c>
      <c r="BC78" s="4">
        <f>IF(OR($B78="",N78=""),"",--(N78=$B78))</f>
        <v/>
      </c>
      <c r="BD78" s="4">
        <f>IF(OR($B78="",N78=""),"",IF($B78=1,--(N78=1),""))</f>
        <v/>
      </c>
      <c r="BE78" s="4">
        <f>IF(OR($B78="",N78=""),"",IF($B78=0,--(N78=0),""))</f>
        <v/>
      </c>
      <c r="BF78" s="4">
        <f>IF(N78="","",--(N78=1))</f>
        <v/>
      </c>
    </row>
    <row r="79">
      <c r="A79" s="3" t="inlineStr">
        <is>
          <t>202019601</t>
        </is>
      </c>
      <c r="B79" s="3" t="inlineStr">
        <is>
          <t>1</t>
        </is>
      </c>
      <c r="C79" s="3" t="inlineStr">
        <is>
          <t>Direct</t>
        </is>
      </c>
      <c r="D79" s="3" t="inlineStr">
        <is>
          <t>1</t>
        </is>
      </c>
      <c r="E79" s="3" t="inlineStr">
        <is>
          <t>1</t>
        </is>
      </c>
      <c r="F79" s="3" t="inlineStr">
        <is>
          <t>0</t>
        </is>
      </c>
      <c r="G79" s="3" t="inlineStr">
        <is>
          <t>0</t>
        </is>
      </c>
      <c r="H79" s="3" t="inlineStr">
        <is>
          <t>1</t>
        </is>
      </c>
      <c r="I79" s="3" t="inlineStr">
        <is>
          <t>1</t>
        </is>
      </c>
      <c r="J79" s="3" t="inlineStr">
        <is>
          <t>1</t>
        </is>
      </c>
      <c r="K79" s="3" t="inlineStr">
        <is>
          <t>0</t>
        </is>
      </c>
      <c r="L79" s="3" t="inlineStr">
        <is>
          <t>1</t>
        </is>
      </c>
      <c r="M79" s="3" t="inlineStr">
        <is>
          <t>1</t>
        </is>
      </c>
      <c r="N79" s="3" t="inlineStr">
        <is>
          <t>1</t>
        </is>
      </c>
      <c r="O79" s="4">
        <f>IF(OR($B79="",D79=""),"",--(D79=$B79))</f>
        <v/>
      </c>
      <c r="P79" s="4">
        <f>IF(OR($B79="",D79=""),"",IF($B79=1,--(D79=1),""))</f>
        <v/>
      </c>
      <c r="Q79" s="4">
        <f>IF(OR($B79="",D79=""),"",IF($B79=0,--(D79=0),""))</f>
        <v/>
      </c>
      <c r="R79" s="4">
        <f>IF(D79="","",--(D79=1))</f>
        <v/>
      </c>
      <c r="S79" s="4">
        <f>IF(OR($B79="",E79=""),"",--(E79=$B79))</f>
        <v/>
      </c>
      <c r="T79" s="4">
        <f>IF(OR($B79="",E79=""),"",IF($B79=1,--(E79=1),""))</f>
        <v/>
      </c>
      <c r="U79" s="4">
        <f>IF(OR($B79="",E79=""),"",IF($B79=0,--(E79=0),""))</f>
        <v/>
      </c>
      <c r="V79" s="4">
        <f>IF(E79="","",--(E79=1))</f>
        <v/>
      </c>
      <c r="W79" s="4">
        <f>IF(OR($B79="",F79=""),"",--(F79=$B79))</f>
        <v/>
      </c>
      <c r="X79" s="4">
        <f>IF(OR($B79="",F79=""),"",IF($B79=1,--(F79=1),""))</f>
        <v/>
      </c>
      <c r="Y79" s="4">
        <f>IF(OR($B79="",F79=""),"",IF($B79=0,--(F79=0),""))</f>
        <v/>
      </c>
      <c r="Z79" s="4">
        <f>IF(F79="","",--(F79=1))</f>
        <v/>
      </c>
      <c r="AA79" s="4">
        <f>IF(OR($B79="",G79=""),"",--(G79=$B79))</f>
        <v/>
      </c>
      <c r="AB79" s="4">
        <f>IF(OR($B79="",G79=""),"",IF($B79=1,--(G79=1),""))</f>
        <v/>
      </c>
      <c r="AC79" s="4">
        <f>IF(OR($B79="",G79=""),"",IF($B79=0,--(G79=0),""))</f>
        <v/>
      </c>
      <c r="AD79" s="4">
        <f>IF(G79="","",--(G79=1))</f>
        <v/>
      </c>
      <c r="AE79" s="4">
        <f>IF(OR($B79="",H79=""),"",--(H79=$B79))</f>
        <v/>
      </c>
      <c r="AF79" s="4">
        <f>IF(OR($B79="",H79=""),"",IF($B79=1,--(H79=1),""))</f>
        <v/>
      </c>
      <c r="AG79" s="4">
        <f>IF(OR($B79="",H79=""),"",IF($B79=0,--(H79=0),""))</f>
        <v/>
      </c>
      <c r="AH79" s="4">
        <f>IF(H79="","",--(H79=1))</f>
        <v/>
      </c>
      <c r="AI79" s="4">
        <f>IF(OR($B79="",I79=""),"",--(I79=$B79))</f>
        <v/>
      </c>
      <c r="AJ79" s="4">
        <f>IF(OR($B79="",I79=""),"",IF($B79=1,--(I79=1),""))</f>
        <v/>
      </c>
      <c r="AK79" s="4">
        <f>IF(OR($B79="",I79=""),"",IF($B79=0,--(I79=0),""))</f>
        <v/>
      </c>
      <c r="AL79" s="4">
        <f>IF(I79="","",--(I79=1))</f>
        <v/>
      </c>
      <c r="AM79" s="4">
        <f>IF(OR($B79="",J79=""),"",--(J79=$B79))</f>
        <v/>
      </c>
      <c r="AN79" s="4">
        <f>IF(OR($B79="",J79=""),"",IF($B79=1,--(J79=1),""))</f>
        <v/>
      </c>
      <c r="AO79" s="4">
        <f>IF(OR($B79="",J79=""),"",IF($B79=0,--(J79=0),""))</f>
        <v/>
      </c>
      <c r="AP79" s="4">
        <f>IF(J79="","",--(J79=1))</f>
        <v/>
      </c>
      <c r="AQ79" s="4">
        <f>IF(OR($B79="",K79=""),"",--(K79=$B79))</f>
        <v/>
      </c>
      <c r="AR79" s="4">
        <f>IF(OR($B79="",K79=""),"",IF($B79=1,--(K79=1),""))</f>
        <v/>
      </c>
      <c r="AS79" s="4">
        <f>IF(OR($B79="",K79=""),"",IF($B79=0,--(K79=0),""))</f>
        <v/>
      </c>
      <c r="AT79" s="4">
        <f>IF(K79="","",--(K79=1))</f>
        <v/>
      </c>
      <c r="AU79" s="4">
        <f>IF(OR($B79="",L79=""),"",--(L79=$B79))</f>
        <v/>
      </c>
      <c r="AV79" s="4">
        <f>IF(OR($B79="",L79=""),"",IF($B79=1,--(L79=1),""))</f>
        <v/>
      </c>
      <c r="AW79" s="4">
        <f>IF(OR($B79="",L79=""),"",IF($B79=0,--(L79=0),""))</f>
        <v/>
      </c>
      <c r="AX79" s="4">
        <f>IF(L79="","",--(L79=1))</f>
        <v/>
      </c>
      <c r="AY79" s="4">
        <f>IF(OR($B79="",M79=""),"",--(M79=$B79))</f>
        <v/>
      </c>
      <c r="AZ79" s="4">
        <f>IF(OR($B79="",M79=""),"",IF($B79=1,--(M79=1),""))</f>
        <v/>
      </c>
      <c r="BA79" s="4">
        <f>IF(OR($B79="",M79=""),"",IF($B79=0,--(M79=0),""))</f>
        <v/>
      </c>
      <c r="BB79" s="4">
        <f>IF(M79="","",--(M79=1))</f>
        <v/>
      </c>
      <c r="BC79" s="4">
        <f>IF(OR($B79="",N79=""),"",--(N79=$B79))</f>
        <v/>
      </c>
      <c r="BD79" s="4">
        <f>IF(OR($B79="",N79=""),"",IF($B79=1,--(N79=1),""))</f>
        <v/>
      </c>
      <c r="BE79" s="4">
        <f>IF(OR($B79="",N79=""),"",IF($B79=0,--(N79=0),""))</f>
        <v/>
      </c>
      <c r="BF79" s="4">
        <f>IF(N79="","",--(N79=1))</f>
        <v/>
      </c>
    </row>
    <row r="80">
      <c r="A80" s="3" t="inlineStr">
        <is>
          <t>202019914</t>
        </is>
      </c>
      <c r="B80" s="3" t="inlineStr">
        <is>
          <t>0</t>
        </is>
      </c>
      <c r="C80" s="3" t="inlineStr">
        <is>
          <t>Direct</t>
        </is>
      </c>
      <c r="D80" s="3" t="inlineStr">
        <is>
          <t>0</t>
        </is>
      </c>
      <c r="E80" s="3" t="inlineStr">
        <is>
          <t>0</t>
        </is>
      </c>
      <c r="F80" s="3" t="inlineStr">
        <is>
          <t>0</t>
        </is>
      </c>
      <c r="G80" s="3" t="inlineStr">
        <is>
          <t>0</t>
        </is>
      </c>
      <c r="H80" s="3" t="inlineStr">
        <is>
          <t>0</t>
        </is>
      </c>
      <c r="I80" s="3" t="inlineStr">
        <is>
          <t>1</t>
        </is>
      </c>
      <c r="J80" s="3" t="inlineStr">
        <is>
          <t>1</t>
        </is>
      </c>
      <c r="K80" s="3" t="inlineStr">
        <is>
          <t>1</t>
        </is>
      </c>
      <c r="L80" s="3" t="inlineStr">
        <is>
          <t>1</t>
        </is>
      </c>
      <c r="M80" s="3" t="inlineStr">
        <is>
          <t>1</t>
        </is>
      </c>
      <c r="N80" s="3" t="inlineStr">
        <is>
          <t>1</t>
        </is>
      </c>
      <c r="O80" s="4">
        <f>IF(OR($B80="",D80=""),"",--(D80=$B80))</f>
        <v/>
      </c>
      <c r="P80" s="4">
        <f>IF(OR($B80="",D80=""),"",IF($B80=1,--(D80=1),""))</f>
        <v/>
      </c>
      <c r="Q80" s="4">
        <f>IF(OR($B80="",D80=""),"",IF($B80=0,--(D80=0),""))</f>
        <v/>
      </c>
      <c r="R80" s="4">
        <f>IF(D80="","",--(D80=1))</f>
        <v/>
      </c>
      <c r="S80" s="4">
        <f>IF(OR($B80="",E80=""),"",--(E80=$B80))</f>
        <v/>
      </c>
      <c r="T80" s="4">
        <f>IF(OR($B80="",E80=""),"",IF($B80=1,--(E80=1),""))</f>
        <v/>
      </c>
      <c r="U80" s="4">
        <f>IF(OR($B80="",E80=""),"",IF($B80=0,--(E80=0),""))</f>
        <v/>
      </c>
      <c r="V80" s="4">
        <f>IF(E80="","",--(E80=1))</f>
        <v/>
      </c>
      <c r="W80" s="4">
        <f>IF(OR($B80="",F80=""),"",--(F80=$B80))</f>
        <v/>
      </c>
      <c r="X80" s="4">
        <f>IF(OR($B80="",F80=""),"",IF($B80=1,--(F80=1),""))</f>
        <v/>
      </c>
      <c r="Y80" s="4">
        <f>IF(OR($B80="",F80=""),"",IF($B80=0,--(F80=0),""))</f>
        <v/>
      </c>
      <c r="Z80" s="4">
        <f>IF(F80="","",--(F80=1))</f>
        <v/>
      </c>
      <c r="AA80" s="4">
        <f>IF(OR($B80="",G80=""),"",--(G80=$B80))</f>
        <v/>
      </c>
      <c r="AB80" s="4">
        <f>IF(OR($B80="",G80=""),"",IF($B80=1,--(G80=1),""))</f>
        <v/>
      </c>
      <c r="AC80" s="4">
        <f>IF(OR($B80="",G80=""),"",IF($B80=0,--(G80=0),""))</f>
        <v/>
      </c>
      <c r="AD80" s="4">
        <f>IF(G80="","",--(G80=1))</f>
        <v/>
      </c>
      <c r="AE80" s="4">
        <f>IF(OR($B80="",H80=""),"",--(H80=$B80))</f>
        <v/>
      </c>
      <c r="AF80" s="4">
        <f>IF(OR($B80="",H80=""),"",IF($B80=1,--(H80=1),""))</f>
        <v/>
      </c>
      <c r="AG80" s="4">
        <f>IF(OR($B80="",H80=""),"",IF($B80=0,--(H80=0),""))</f>
        <v/>
      </c>
      <c r="AH80" s="4">
        <f>IF(H80="","",--(H80=1))</f>
        <v/>
      </c>
      <c r="AI80" s="4">
        <f>IF(OR($B80="",I80=""),"",--(I80=$B80))</f>
        <v/>
      </c>
      <c r="AJ80" s="4">
        <f>IF(OR($B80="",I80=""),"",IF($B80=1,--(I80=1),""))</f>
        <v/>
      </c>
      <c r="AK80" s="4">
        <f>IF(OR($B80="",I80=""),"",IF($B80=0,--(I80=0),""))</f>
        <v/>
      </c>
      <c r="AL80" s="4">
        <f>IF(I80="","",--(I80=1))</f>
        <v/>
      </c>
      <c r="AM80" s="4">
        <f>IF(OR($B80="",J80=""),"",--(J80=$B80))</f>
        <v/>
      </c>
      <c r="AN80" s="4">
        <f>IF(OR($B80="",J80=""),"",IF($B80=1,--(J80=1),""))</f>
        <v/>
      </c>
      <c r="AO80" s="4">
        <f>IF(OR($B80="",J80=""),"",IF($B80=0,--(J80=0),""))</f>
        <v/>
      </c>
      <c r="AP80" s="4">
        <f>IF(J80="","",--(J80=1))</f>
        <v/>
      </c>
      <c r="AQ80" s="4">
        <f>IF(OR($B80="",K80=""),"",--(K80=$B80))</f>
        <v/>
      </c>
      <c r="AR80" s="4">
        <f>IF(OR($B80="",K80=""),"",IF($B80=1,--(K80=1),""))</f>
        <v/>
      </c>
      <c r="AS80" s="4">
        <f>IF(OR($B80="",K80=""),"",IF($B80=0,--(K80=0),""))</f>
        <v/>
      </c>
      <c r="AT80" s="4">
        <f>IF(K80="","",--(K80=1))</f>
        <v/>
      </c>
      <c r="AU80" s="4">
        <f>IF(OR($B80="",L80=""),"",--(L80=$B80))</f>
        <v/>
      </c>
      <c r="AV80" s="4">
        <f>IF(OR($B80="",L80=""),"",IF($B80=1,--(L80=1),""))</f>
        <v/>
      </c>
      <c r="AW80" s="4">
        <f>IF(OR($B80="",L80=""),"",IF($B80=0,--(L80=0),""))</f>
        <v/>
      </c>
      <c r="AX80" s="4">
        <f>IF(L80="","",--(L80=1))</f>
        <v/>
      </c>
      <c r="AY80" s="4">
        <f>IF(OR($B80="",M80=""),"",--(M80=$B80))</f>
        <v/>
      </c>
      <c r="AZ80" s="4">
        <f>IF(OR($B80="",M80=""),"",IF($B80=1,--(M80=1),""))</f>
        <v/>
      </c>
      <c r="BA80" s="4">
        <f>IF(OR($B80="",M80=""),"",IF($B80=0,--(M80=0),""))</f>
        <v/>
      </c>
      <c r="BB80" s="4">
        <f>IF(M80="","",--(M80=1))</f>
        <v/>
      </c>
      <c r="BC80" s="4">
        <f>IF(OR($B80="",N80=""),"",--(N80=$B80))</f>
        <v/>
      </c>
      <c r="BD80" s="4">
        <f>IF(OR($B80="",N80=""),"",IF($B80=1,--(N80=1),""))</f>
        <v/>
      </c>
      <c r="BE80" s="4">
        <f>IF(OR($B80="",N80=""),"",IF($B80=0,--(N80=0),""))</f>
        <v/>
      </c>
      <c r="BF80" s="4">
        <f>IF(N80="","",--(N80=1))</f>
        <v/>
      </c>
    </row>
    <row r="81">
      <c r="A81" s="3" t="inlineStr">
        <is>
          <t>20202019</t>
        </is>
      </c>
      <c r="B81" s="3" t="inlineStr">
        <is>
          <t>1</t>
        </is>
      </c>
      <c r="C81" s="3" t="inlineStr">
        <is>
          <t>Direct</t>
        </is>
      </c>
      <c r="D81" s="3" t="inlineStr">
        <is>
          <t>1</t>
        </is>
      </c>
      <c r="E81" s="3" t="inlineStr">
        <is>
          <t>0</t>
        </is>
      </c>
      <c r="F81" s="3" t="inlineStr">
        <is>
          <t>0</t>
        </is>
      </c>
      <c r="G81" s="3" t="inlineStr">
        <is>
          <t>0</t>
        </is>
      </c>
      <c r="H81" s="3" t="inlineStr">
        <is>
          <t>0</t>
        </is>
      </c>
      <c r="I81" s="3" t="inlineStr">
        <is>
          <t>0</t>
        </is>
      </c>
      <c r="J81" s="3" t="inlineStr">
        <is>
          <t>1</t>
        </is>
      </c>
      <c r="K81" s="3" t="inlineStr">
        <is>
          <t>0</t>
        </is>
      </c>
      <c r="L81" s="3" t="inlineStr">
        <is>
          <t>1</t>
        </is>
      </c>
      <c r="M81" s="3" t="inlineStr">
        <is>
          <t>1</t>
        </is>
      </c>
      <c r="N81" s="3" t="inlineStr">
        <is>
          <t>1</t>
        </is>
      </c>
      <c r="O81" s="4">
        <f>IF(OR($B81="",D81=""),"",--(D81=$B81))</f>
        <v/>
      </c>
      <c r="P81" s="4">
        <f>IF(OR($B81="",D81=""),"",IF($B81=1,--(D81=1),""))</f>
        <v/>
      </c>
      <c r="Q81" s="4">
        <f>IF(OR($B81="",D81=""),"",IF($B81=0,--(D81=0),""))</f>
        <v/>
      </c>
      <c r="R81" s="4">
        <f>IF(D81="","",--(D81=1))</f>
        <v/>
      </c>
      <c r="S81" s="4">
        <f>IF(OR($B81="",E81=""),"",--(E81=$B81))</f>
        <v/>
      </c>
      <c r="T81" s="4">
        <f>IF(OR($B81="",E81=""),"",IF($B81=1,--(E81=1),""))</f>
        <v/>
      </c>
      <c r="U81" s="4">
        <f>IF(OR($B81="",E81=""),"",IF($B81=0,--(E81=0),""))</f>
        <v/>
      </c>
      <c r="V81" s="4">
        <f>IF(E81="","",--(E81=1))</f>
        <v/>
      </c>
      <c r="W81" s="4">
        <f>IF(OR($B81="",F81=""),"",--(F81=$B81))</f>
        <v/>
      </c>
      <c r="X81" s="4">
        <f>IF(OR($B81="",F81=""),"",IF($B81=1,--(F81=1),""))</f>
        <v/>
      </c>
      <c r="Y81" s="4">
        <f>IF(OR($B81="",F81=""),"",IF($B81=0,--(F81=0),""))</f>
        <v/>
      </c>
      <c r="Z81" s="4">
        <f>IF(F81="","",--(F81=1))</f>
        <v/>
      </c>
      <c r="AA81" s="4">
        <f>IF(OR($B81="",G81=""),"",--(G81=$B81))</f>
        <v/>
      </c>
      <c r="AB81" s="4">
        <f>IF(OR($B81="",G81=""),"",IF($B81=1,--(G81=1),""))</f>
        <v/>
      </c>
      <c r="AC81" s="4">
        <f>IF(OR($B81="",G81=""),"",IF($B81=0,--(G81=0),""))</f>
        <v/>
      </c>
      <c r="AD81" s="4">
        <f>IF(G81="","",--(G81=1))</f>
        <v/>
      </c>
      <c r="AE81" s="4">
        <f>IF(OR($B81="",H81=""),"",--(H81=$B81))</f>
        <v/>
      </c>
      <c r="AF81" s="4">
        <f>IF(OR($B81="",H81=""),"",IF($B81=1,--(H81=1),""))</f>
        <v/>
      </c>
      <c r="AG81" s="4">
        <f>IF(OR($B81="",H81=""),"",IF($B81=0,--(H81=0),""))</f>
        <v/>
      </c>
      <c r="AH81" s="4">
        <f>IF(H81="","",--(H81=1))</f>
        <v/>
      </c>
      <c r="AI81" s="4">
        <f>IF(OR($B81="",I81=""),"",--(I81=$B81))</f>
        <v/>
      </c>
      <c r="AJ81" s="4">
        <f>IF(OR($B81="",I81=""),"",IF($B81=1,--(I81=1),""))</f>
        <v/>
      </c>
      <c r="AK81" s="4">
        <f>IF(OR($B81="",I81=""),"",IF($B81=0,--(I81=0),""))</f>
        <v/>
      </c>
      <c r="AL81" s="4">
        <f>IF(I81="","",--(I81=1))</f>
        <v/>
      </c>
      <c r="AM81" s="4">
        <f>IF(OR($B81="",J81=""),"",--(J81=$B81))</f>
        <v/>
      </c>
      <c r="AN81" s="4">
        <f>IF(OR($B81="",J81=""),"",IF($B81=1,--(J81=1),""))</f>
        <v/>
      </c>
      <c r="AO81" s="4">
        <f>IF(OR($B81="",J81=""),"",IF($B81=0,--(J81=0),""))</f>
        <v/>
      </c>
      <c r="AP81" s="4">
        <f>IF(J81="","",--(J81=1))</f>
        <v/>
      </c>
      <c r="AQ81" s="4">
        <f>IF(OR($B81="",K81=""),"",--(K81=$B81))</f>
        <v/>
      </c>
      <c r="AR81" s="4">
        <f>IF(OR($B81="",K81=""),"",IF($B81=1,--(K81=1),""))</f>
        <v/>
      </c>
      <c r="AS81" s="4">
        <f>IF(OR($B81="",K81=""),"",IF($B81=0,--(K81=0),""))</f>
        <v/>
      </c>
      <c r="AT81" s="4">
        <f>IF(K81="","",--(K81=1))</f>
        <v/>
      </c>
      <c r="AU81" s="4">
        <f>IF(OR($B81="",L81=""),"",--(L81=$B81))</f>
        <v/>
      </c>
      <c r="AV81" s="4">
        <f>IF(OR($B81="",L81=""),"",IF($B81=1,--(L81=1),""))</f>
        <v/>
      </c>
      <c r="AW81" s="4">
        <f>IF(OR($B81="",L81=""),"",IF($B81=0,--(L81=0),""))</f>
        <v/>
      </c>
      <c r="AX81" s="4">
        <f>IF(L81="","",--(L81=1))</f>
        <v/>
      </c>
      <c r="AY81" s="4">
        <f>IF(OR($B81="",M81=""),"",--(M81=$B81))</f>
        <v/>
      </c>
      <c r="AZ81" s="4">
        <f>IF(OR($B81="",M81=""),"",IF($B81=1,--(M81=1),""))</f>
        <v/>
      </c>
      <c r="BA81" s="4">
        <f>IF(OR($B81="",M81=""),"",IF($B81=0,--(M81=0),""))</f>
        <v/>
      </c>
      <c r="BB81" s="4">
        <f>IF(M81="","",--(M81=1))</f>
        <v/>
      </c>
      <c r="BC81" s="4">
        <f>IF(OR($B81="",N81=""),"",--(N81=$B81))</f>
        <v/>
      </c>
      <c r="BD81" s="4">
        <f>IF(OR($B81="",N81=""),"",IF($B81=1,--(N81=1),""))</f>
        <v/>
      </c>
      <c r="BE81" s="4">
        <f>IF(OR($B81="",N81=""),"",IF($B81=0,--(N81=0),""))</f>
        <v/>
      </c>
      <c r="BF81" s="4">
        <f>IF(N81="","",--(N81=1))</f>
        <v/>
      </c>
    </row>
    <row r="82">
      <c r="A82" s="3" t="inlineStr">
        <is>
          <t>202020568</t>
        </is>
      </c>
      <c r="B82" s="3" t="inlineStr">
        <is>
          <t>0</t>
        </is>
      </c>
      <c r="C82" s="3" t="inlineStr">
        <is>
          <t>RQ</t>
        </is>
      </c>
      <c r="D82" s="3" t="inlineStr">
        <is>
          <t>0</t>
        </is>
      </c>
      <c r="E82" s="3" t="inlineStr">
        <is>
          <t>0</t>
        </is>
      </c>
      <c r="F82" s="3" t="inlineStr">
        <is>
          <t>0</t>
        </is>
      </c>
      <c r="G82" s="3" t="inlineStr">
        <is>
          <t>0</t>
        </is>
      </c>
      <c r="H82" s="3" t="inlineStr">
        <is>
          <t>0</t>
        </is>
      </c>
      <c r="I82" s="3" t="inlineStr">
        <is>
          <t>1</t>
        </is>
      </c>
      <c r="J82" s="3" t="inlineStr">
        <is>
          <t>0</t>
        </is>
      </c>
      <c r="K82" s="3" t="inlineStr">
        <is>
          <t>0</t>
        </is>
      </c>
      <c r="L82" s="3" t="inlineStr">
        <is>
          <t>0</t>
        </is>
      </c>
      <c r="M82" s="3" t="inlineStr">
        <is>
          <t>0</t>
        </is>
      </c>
      <c r="N82" s="3" t="inlineStr">
        <is>
          <t>0</t>
        </is>
      </c>
      <c r="O82" s="4">
        <f>IF(OR($B82="",D82=""),"",--(D82=$B82))</f>
        <v/>
      </c>
      <c r="P82" s="4">
        <f>IF(OR($B82="",D82=""),"",IF($B82=1,--(D82=1),""))</f>
        <v/>
      </c>
      <c r="Q82" s="4">
        <f>IF(OR($B82="",D82=""),"",IF($B82=0,--(D82=0),""))</f>
        <v/>
      </c>
      <c r="R82" s="4">
        <f>IF(D82="","",--(D82=1))</f>
        <v/>
      </c>
      <c r="S82" s="4">
        <f>IF(OR($B82="",E82=""),"",--(E82=$B82))</f>
        <v/>
      </c>
      <c r="T82" s="4">
        <f>IF(OR($B82="",E82=""),"",IF($B82=1,--(E82=1),""))</f>
        <v/>
      </c>
      <c r="U82" s="4">
        <f>IF(OR($B82="",E82=""),"",IF($B82=0,--(E82=0),""))</f>
        <v/>
      </c>
      <c r="V82" s="4">
        <f>IF(E82="","",--(E82=1))</f>
        <v/>
      </c>
      <c r="W82" s="4">
        <f>IF(OR($B82="",F82=""),"",--(F82=$B82))</f>
        <v/>
      </c>
      <c r="X82" s="4">
        <f>IF(OR($B82="",F82=""),"",IF($B82=1,--(F82=1),""))</f>
        <v/>
      </c>
      <c r="Y82" s="4">
        <f>IF(OR($B82="",F82=""),"",IF($B82=0,--(F82=0),""))</f>
        <v/>
      </c>
      <c r="Z82" s="4">
        <f>IF(F82="","",--(F82=1))</f>
        <v/>
      </c>
      <c r="AA82" s="4">
        <f>IF(OR($B82="",G82=""),"",--(G82=$B82))</f>
        <v/>
      </c>
      <c r="AB82" s="4">
        <f>IF(OR($B82="",G82=""),"",IF($B82=1,--(G82=1),""))</f>
        <v/>
      </c>
      <c r="AC82" s="4">
        <f>IF(OR($B82="",G82=""),"",IF($B82=0,--(G82=0),""))</f>
        <v/>
      </c>
      <c r="AD82" s="4">
        <f>IF(G82="","",--(G82=1))</f>
        <v/>
      </c>
      <c r="AE82" s="4">
        <f>IF(OR($B82="",H82=""),"",--(H82=$B82))</f>
        <v/>
      </c>
      <c r="AF82" s="4">
        <f>IF(OR($B82="",H82=""),"",IF($B82=1,--(H82=1),""))</f>
        <v/>
      </c>
      <c r="AG82" s="4">
        <f>IF(OR($B82="",H82=""),"",IF($B82=0,--(H82=0),""))</f>
        <v/>
      </c>
      <c r="AH82" s="4">
        <f>IF(H82="","",--(H82=1))</f>
        <v/>
      </c>
      <c r="AI82" s="4">
        <f>IF(OR($B82="",I82=""),"",--(I82=$B82))</f>
        <v/>
      </c>
      <c r="AJ82" s="4">
        <f>IF(OR($B82="",I82=""),"",IF($B82=1,--(I82=1),""))</f>
        <v/>
      </c>
      <c r="AK82" s="4">
        <f>IF(OR($B82="",I82=""),"",IF($B82=0,--(I82=0),""))</f>
        <v/>
      </c>
      <c r="AL82" s="4">
        <f>IF(I82="","",--(I82=1))</f>
        <v/>
      </c>
      <c r="AM82" s="4">
        <f>IF(OR($B82="",J82=""),"",--(J82=$B82))</f>
        <v/>
      </c>
      <c r="AN82" s="4">
        <f>IF(OR($B82="",J82=""),"",IF($B82=1,--(J82=1),""))</f>
        <v/>
      </c>
      <c r="AO82" s="4">
        <f>IF(OR($B82="",J82=""),"",IF($B82=0,--(J82=0),""))</f>
        <v/>
      </c>
      <c r="AP82" s="4">
        <f>IF(J82="","",--(J82=1))</f>
        <v/>
      </c>
      <c r="AQ82" s="4">
        <f>IF(OR($B82="",K82=""),"",--(K82=$B82))</f>
        <v/>
      </c>
      <c r="AR82" s="4">
        <f>IF(OR($B82="",K82=""),"",IF($B82=1,--(K82=1),""))</f>
        <v/>
      </c>
      <c r="AS82" s="4">
        <f>IF(OR($B82="",K82=""),"",IF($B82=0,--(K82=0),""))</f>
        <v/>
      </c>
      <c r="AT82" s="4">
        <f>IF(K82="","",--(K82=1))</f>
        <v/>
      </c>
      <c r="AU82" s="4">
        <f>IF(OR($B82="",L82=""),"",--(L82=$B82))</f>
        <v/>
      </c>
      <c r="AV82" s="4">
        <f>IF(OR($B82="",L82=""),"",IF($B82=1,--(L82=1),""))</f>
        <v/>
      </c>
      <c r="AW82" s="4">
        <f>IF(OR($B82="",L82=""),"",IF($B82=0,--(L82=0),""))</f>
        <v/>
      </c>
      <c r="AX82" s="4">
        <f>IF(L82="","",--(L82=1))</f>
        <v/>
      </c>
      <c r="AY82" s="4">
        <f>IF(OR($B82="",M82=""),"",--(M82=$B82))</f>
        <v/>
      </c>
      <c r="AZ82" s="4">
        <f>IF(OR($B82="",M82=""),"",IF($B82=1,--(M82=1),""))</f>
        <v/>
      </c>
      <c r="BA82" s="4">
        <f>IF(OR($B82="",M82=""),"",IF($B82=0,--(M82=0),""))</f>
        <v/>
      </c>
      <c r="BB82" s="4">
        <f>IF(M82="","",--(M82=1))</f>
        <v/>
      </c>
      <c r="BC82" s="4">
        <f>IF(OR($B82="",N82=""),"",--(N82=$B82))</f>
        <v/>
      </c>
      <c r="BD82" s="4">
        <f>IF(OR($B82="",N82=""),"",IF($B82=1,--(N82=1),""))</f>
        <v/>
      </c>
      <c r="BE82" s="4">
        <f>IF(OR($B82="",N82=""),"",IF($B82=0,--(N82=0),""))</f>
        <v/>
      </c>
      <c r="BF82" s="4">
        <f>IF(N82="","",--(N82=1))</f>
        <v/>
      </c>
    </row>
    <row r="83">
      <c r="A83" s="3" t="inlineStr">
        <is>
          <t>202020885</t>
        </is>
      </c>
      <c r="B83" s="3" t="inlineStr">
        <is>
          <t>1</t>
        </is>
      </c>
      <c r="C83" s="3" t="inlineStr">
        <is>
          <t>Direct</t>
        </is>
      </c>
      <c r="D83" s="3" t="inlineStr">
        <is>
          <t>1</t>
        </is>
      </c>
      <c r="E83" s="3" t="inlineStr">
        <is>
          <t>1</t>
        </is>
      </c>
      <c r="F83" s="3" t="inlineStr">
        <is>
          <t>0</t>
        </is>
      </c>
      <c r="G83" s="3" t="inlineStr">
        <is>
          <t>0</t>
        </is>
      </c>
      <c r="H83" s="3" t="inlineStr">
        <is>
          <t>1</t>
        </is>
      </c>
      <c r="I83" s="3" t="inlineStr">
        <is>
          <t>1</t>
        </is>
      </c>
      <c r="J83" s="3" t="inlineStr">
        <is>
          <t>1</t>
        </is>
      </c>
      <c r="K83" s="3" t="inlineStr">
        <is>
          <t>1</t>
        </is>
      </c>
      <c r="L83" s="3" t="inlineStr">
        <is>
          <t>1</t>
        </is>
      </c>
      <c r="M83" s="3" t="inlineStr">
        <is>
          <t>1</t>
        </is>
      </c>
      <c r="N83" s="3" t="inlineStr">
        <is>
          <t>1</t>
        </is>
      </c>
      <c r="O83" s="4">
        <f>IF(OR($B83="",D83=""),"",--(D83=$B83))</f>
        <v/>
      </c>
      <c r="P83" s="4">
        <f>IF(OR($B83="",D83=""),"",IF($B83=1,--(D83=1),""))</f>
        <v/>
      </c>
      <c r="Q83" s="4">
        <f>IF(OR($B83="",D83=""),"",IF($B83=0,--(D83=0),""))</f>
        <v/>
      </c>
      <c r="R83" s="4">
        <f>IF(D83="","",--(D83=1))</f>
        <v/>
      </c>
      <c r="S83" s="4">
        <f>IF(OR($B83="",E83=""),"",--(E83=$B83))</f>
        <v/>
      </c>
      <c r="T83" s="4">
        <f>IF(OR($B83="",E83=""),"",IF($B83=1,--(E83=1),""))</f>
        <v/>
      </c>
      <c r="U83" s="4">
        <f>IF(OR($B83="",E83=""),"",IF($B83=0,--(E83=0),""))</f>
        <v/>
      </c>
      <c r="V83" s="4">
        <f>IF(E83="","",--(E83=1))</f>
        <v/>
      </c>
      <c r="W83" s="4">
        <f>IF(OR($B83="",F83=""),"",--(F83=$B83))</f>
        <v/>
      </c>
      <c r="X83" s="4">
        <f>IF(OR($B83="",F83=""),"",IF($B83=1,--(F83=1),""))</f>
        <v/>
      </c>
      <c r="Y83" s="4">
        <f>IF(OR($B83="",F83=""),"",IF($B83=0,--(F83=0),""))</f>
        <v/>
      </c>
      <c r="Z83" s="4">
        <f>IF(F83="","",--(F83=1))</f>
        <v/>
      </c>
      <c r="AA83" s="4">
        <f>IF(OR($B83="",G83=""),"",--(G83=$B83))</f>
        <v/>
      </c>
      <c r="AB83" s="4">
        <f>IF(OR($B83="",G83=""),"",IF($B83=1,--(G83=1),""))</f>
        <v/>
      </c>
      <c r="AC83" s="4">
        <f>IF(OR($B83="",G83=""),"",IF($B83=0,--(G83=0),""))</f>
        <v/>
      </c>
      <c r="AD83" s="4">
        <f>IF(G83="","",--(G83=1))</f>
        <v/>
      </c>
      <c r="AE83" s="4">
        <f>IF(OR($B83="",H83=""),"",--(H83=$B83))</f>
        <v/>
      </c>
      <c r="AF83" s="4">
        <f>IF(OR($B83="",H83=""),"",IF($B83=1,--(H83=1),""))</f>
        <v/>
      </c>
      <c r="AG83" s="4">
        <f>IF(OR($B83="",H83=""),"",IF($B83=0,--(H83=0),""))</f>
        <v/>
      </c>
      <c r="AH83" s="4">
        <f>IF(H83="","",--(H83=1))</f>
        <v/>
      </c>
      <c r="AI83" s="4">
        <f>IF(OR($B83="",I83=""),"",--(I83=$B83))</f>
        <v/>
      </c>
      <c r="AJ83" s="4">
        <f>IF(OR($B83="",I83=""),"",IF($B83=1,--(I83=1),""))</f>
        <v/>
      </c>
      <c r="AK83" s="4">
        <f>IF(OR($B83="",I83=""),"",IF($B83=0,--(I83=0),""))</f>
        <v/>
      </c>
      <c r="AL83" s="4">
        <f>IF(I83="","",--(I83=1))</f>
        <v/>
      </c>
      <c r="AM83" s="4">
        <f>IF(OR($B83="",J83=""),"",--(J83=$B83))</f>
        <v/>
      </c>
      <c r="AN83" s="4">
        <f>IF(OR($B83="",J83=""),"",IF($B83=1,--(J83=1),""))</f>
        <v/>
      </c>
      <c r="AO83" s="4">
        <f>IF(OR($B83="",J83=""),"",IF($B83=0,--(J83=0),""))</f>
        <v/>
      </c>
      <c r="AP83" s="4">
        <f>IF(J83="","",--(J83=1))</f>
        <v/>
      </c>
      <c r="AQ83" s="4">
        <f>IF(OR($B83="",K83=""),"",--(K83=$B83))</f>
        <v/>
      </c>
      <c r="AR83" s="4">
        <f>IF(OR($B83="",K83=""),"",IF($B83=1,--(K83=1),""))</f>
        <v/>
      </c>
      <c r="AS83" s="4">
        <f>IF(OR($B83="",K83=""),"",IF($B83=0,--(K83=0),""))</f>
        <v/>
      </c>
      <c r="AT83" s="4">
        <f>IF(K83="","",--(K83=1))</f>
        <v/>
      </c>
      <c r="AU83" s="4">
        <f>IF(OR($B83="",L83=""),"",--(L83=$B83))</f>
        <v/>
      </c>
      <c r="AV83" s="4">
        <f>IF(OR($B83="",L83=""),"",IF($B83=1,--(L83=1),""))</f>
        <v/>
      </c>
      <c r="AW83" s="4">
        <f>IF(OR($B83="",L83=""),"",IF($B83=0,--(L83=0),""))</f>
        <v/>
      </c>
      <c r="AX83" s="4">
        <f>IF(L83="","",--(L83=1))</f>
        <v/>
      </c>
      <c r="AY83" s="4">
        <f>IF(OR($B83="",M83=""),"",--(M83=$B83))</f>
        <v/>
      </c>
      <c r="AZ83" s="4">
        <f>IF(OR($B83="",M83=""),"",IF($B83=1,--(M83=1),""))</f>
        <v/>
      </c>
      <c r="BA83" s="4">
        <f>IF(OR($B83="",M83=""),"",IF($B83=0,--(M83=0),""))</f>
        <v/>
      </c>
      <c r="BB83" s="4">
        <f>IF(M83="","",--(M83=1))</f>
        <v/>
      </c>
      <c r="BC83" s="4">
        <f>IF(OR($B83="",N83=""),"",--(N83=$B83))</f>
        <v/>
      </c>
      <c r="BD83" s="4">
        <f>IF(OR($B83="",N83=""),"",IF($B83=1,--(N83=1),""))</f>
        <v/>
      </c>
      <c r="BE83" s="4">
        <f>IF(OR($B83="",N83=""),"",IF($B83=0,--(N83=0),""))</f>
        <v/>
      </c>
      <c r="BF83" s="4">
        <f>IF(N83="","",--(N83=1))</f>
        <v/>
      </c>
    </row>
    <row r="84">
      <c r="A84" s="3" t="inlineStr">
        <is>
          <t>202021354</t>
        </is>
      </c>
      <c r="B84" s="3" t="inlineStr">
        <is>
          <t>1</t>
        </is>
      </c>
      <c r="C84" s="3" t="inlineStr">
        <is>
          <t>Direct</t>
        </is>
      </c>
      <c r="D84" s="3" t="inlineStr">
        <is>
          <t>1</t>
        </is>
      </c>
      <c r="E84" s="3" t="inlineStr">
        <is>
          <t>1</t>
        </is>
      </c>
      <c r="F84" s="3" t="inlineStr">
        <is>
          <t>0</t>
        </is>
      </c>
      <c r="G84" s="3" t="inlineStr">
        <is>
          <t>0</t>
        </is>
      </c>
      <c r="H84" s="3" t="inlineStr">
        <is>
          <t>1</t>
        </is>
      </c>
      <c r="I84" s="3" t="inlineStr">
        <is>
          <t>0</t>
        </is>
      </c>
      <c r="J84" s="3" t="inlineStr">
        <is>
          <t>0</t>
        </is>
      </c>
      <c r="K84" s="3" t="inlineStr">
        <is>
          <t>1</t>
        </is>
      </c>
      <c r="L84" s="3" t="inlineStr">
        <is>
          <t>1</t>
        </is>
      </c>
      <c r="M84" s="3" t="inlineStr">
        <is>
          <t>1</t>
        </is>
      </c>
      <c r="N84" s="3" t="inlineStr">
        <is>
          <t>1</t>
        </is>
      </c>
      <c r="O84" s="4">
        <f>IF(OR($B84="",D84=""),"",--(D84=$B84))</f>
        <v/>
      </c>
      <c r="P84" s="4">
        <f>IF(OR($B84="",D84=""),"",IF($B84=1,--(D84=1),""))</f>
        <v/>
      </c>
      <c r="Q84" s="4">
        <f>IF(OR($B84="",D84=""),"",IF($B84=0,--(D84=0),""))</f>
        <v/>
      </c>
      <c r="R84" s="4">
        <f>IF(D84="","",--(D84=1))</f>
        <v/>
      </c>
      <c r="S84" s="4">
        <f>IF(OR($B84="",E84=""),"",--(E84=$B84))</f>
        <v/>
      </c>
      <c r="T84" s="4">
        <f>IF(OR($B84="",E84=""),"",IF($B84=1,--(E84=1),""))</f>
        <v/>
      </c>
      <c r="U84" s="4">
        <f>IF(OR($B84="",E84=""),"",IF($B84=0,--(E84=0),""))</f>
        <v/>
      </c>
      <c r="V84" s="4">
        <f>IF(E84="","",--(E84=1))</f>
        <v/>
      </c>
      <c r="W84" s="4">
        <f>IF(OR($B84="",F84=""),"",--(F84=$B84))</f>
        <v/>
      </c>
      <c r="X84" s="4">
        <f>IF(OR($B84="",F84=""),"",IF($B84=1,--(F84=1),""))</f>
        <v/>
      </c>
      <c r="Y84" s="4">
        <f>IF(OR($B84="",F84=""),"",IF($B84=0,--(F84=0),""))</f>
        <v/>
      </c>
      <c r="Z84" s="4">
        <f>IF(F84="","",--(F84=1))</f>
        <v/>
      </c>
      <c r="AA84" s="4">
        <f>IF(OR($B84="",G84=""),"",--(G84=$B84))</f>
        <v/>
      </c>
      <c r="AB84" s="4">
        <f>IF(OR($B84="",G84=""),"",IF($B84=1,--(G84=1),""))</f>
        <v/>
      </c>
      <c r="AC84" s="4">
        <f>IF(OR($B84="",G84=""),"",IF($B84=0,--(G84=0),""))</f>
        <v/>
      </c>
      <c r="AD84" s="4">
        <f>IF(G84="","",--(G84=1))</f>
        <v/>
      </c>
      <c r="AE84" s="4">
        <f>IF(OR($B84="",H84=""),"",--(H84=$B84))</f>
        <v/>
      </c>
      <c r="AF84" s="4">
        <f>IF(OR($B84="",H84=""),"",IF($B84=1,--(H84=1),""))</f>
        <v/>
      </c>
      <c r="AG84" s="4">
        <f>IF(OR($B84="",H84=""),"",IF($B84=0,--(H84=0),""))</f>
        <v/>
      </c>
      <c r="AH84" s="4">
        <f>IF(H84="","",--(H84=1))</f>
        <v/>
      </c>
      <c r="AI84" s="4">
        <f>IF(OR($B84="",I84=""),"",--(I84=$B84))</f>
        <v/>
      </c>
      <c r="AJ84" s="4">
        <f>IF(OR($B84="",I84=""),"",IF($B84=1,--(I84=1),""))</f>
        <v/>
      </c>
      <c r="AK84" s="4">
        <f>IF(OR($B84="",I84=""),"",IF($B84=0,--(I84=0),""))</f>
        <v/>
      </c>
      <c r="AL84" s="4">
        <f>IF(I84="","",--(I84=1))</f>
        <v/>
      </c>
      <c r="AM84" s="4">
        <f>IF(OR($B84="",J84=""),"",--(J84=$B84))</f>
        <v/>
      </c>
      <c r="AN84" s="4">
        <f>IF(OR($B84="",J84=""),"",IF($B84=1,--(J84=1),""))</f>
        <v/>
      </c>
      <c r="AO84" s="4">
        <f>IF(OR($B84="",J84=""),"",IF($B84=0,--(J84=0),""))</f>
        <v/>
      </c>
      <c r="AP84" s="4">
        <f>IF(J84="","",--(J84=1))</f>
        <v/>
      </c>
      <c r="AQ84" s="4">
        <f>IF(OR($B84="",K84=""),"",--(K84=$B84))</f>
        <v/>
      </c>
      <c r="AR84" s="4">
        <f>IF(OR($B84="",K84=""),"",IF($B84=1,--(K84=1),""))</f>
        <v/>
      </c>
      <c r="AS84" s="4">
        <f>IF(OR($B84="",K84=""),"",IF($B84=0,--(K84=0),""))</f>
        <v/>
      </c>
      <c r="AT84" s="4">
        <f>IF(K84="","",--(K84=1))</f>
        <v/>
      </c>
      <c r="AU84" s="4">
        <f>IF(OR($B84="",L84=""),"",--(L84=$B84))</f>
        <v/>
      </c>
      <c r="AV84" s="4">
        <f>IF(OR($B84="",L84=""),"",IF($B84=1,--(L84=1),""))</f>
        <v/>
      </c>
      <c r="AW84" s="4">
        <f>IF(OR($B84="",L84=""),"",IF($B84=0,--(L84=0),""))</f>
        <v/>
      </c>
      <c r="AX84" s="4">
        <f>IF(L84="","",--(L84=1))</f>
        <v/>
      </c>
      <c r="AY84" s="4">
        <f>IF(OR($B84="",M84=""),"",--(M84=$B84))</f>
        <v/>
      </c>
      <c r="AZ84" s="4">
        <f>IF(OR($B84="",M84=""),"",IF($B84=1,--(M84=1),""))</f>
        <v/>
      </c>
      <c r="BA84" s="4">
        <f>IF(OR($B84="",M84=""),"",IF($B84=0,--(M84=0),""))</f>
        <v/>
      </c>
      <c r="BB84" s="4">
        <f>IF(M84="","",--(M84=1))</f>
        <v/>
      </c>
      <c r="BC84" s="4">
        <f>IF(OR($B84="",N84=""),"",--(N84=$B84))</f>
        <v/>
      </c>
      <c r="BD84" s="4">
        <f>IF(OR($B84="",N84=""),"",IF($B84=1,--(N84=1),""))</f>
        <v/>
      </c>
      <c r="BE84" s="4">
        <f>IF(OR($B84="",N84=""),"",IF($B84=0,--(N84=0),""))</f>
        <v/>
      </c>
      <c r="BF84" s="4">
        <f>IF(N84="","",--(N84=1))</f>
        <v/>
      </c>
    </row>
    <row r="85">
      <c r="A85" s="3" t="inlineStr">
        <is>
          <t>202021439</t>
        </is>
      </c>
      <c r="B85" s="3" t="inlineStr">
        <is>
          <t>1</t>
        </is>
      </c>
      <c r="C85" s="3" t="inlineStr">
        <is>
          <t>Direct</t>
        </is>
      </c>
      <c r="D85" s="3" t="inlineStr">
        <is>
          <t>0</t>
        </is>
      </c>
      <c r="E85" s="3" t="inlineStr">
        <is>
          <t>0</t>
        </is>
      </c>
      <c r="F85" s="3" t="inlineStr">
        <is>
          <t>0</t>
        </is>
      </c>
      <c r="G85" s="3" t="inlineStr">
        <is>
          <t>0</t>
        </is>
      </c>
      <c r="H85" s="3" t="inlineStr">
        <is>
          <t>0</t>
        </is>
      </c>
      <c r="I85" s="3" t="inlineStr">
        <is>
          <t>0</t>
        </is>
      </c>
      <c r="J85" s="3" t="inlineStr">
        <is>
          <t>0</t>
        </is>
      </c>
      <c r="K85" s="3" t="inlineStr">
        <is>
          <t>0</t>
        </is>
      </c>
      <c r="L85" s="3" t="inlineStr">
        <is>
          <t>1</t>
        </is>
      </c>
      <c r="M85" s="3" t="inlineStr">
        <is>
          <t>0</t>
        </is>
      </c>
      <c r="N85" s="3" t="inlineStr">
        <is>
          <t>1</t>
        </is>
      </c>
      <c r="O85" s="4">
        <f>IF(OR($B85="",D85=""),"",--(D85=$B85))</f>
        <v/>
      </c>
      <c r="P85" s="4">
        <f>IF(OR($B85="",D85=""),"",IF($B85=1,--(D85=1),""))</f>
        <v/>
      </c>
      <c r="Q85" s="4">
        <f>IF(OR($B85="",D85=""),"",IF($B85=0,--(D85=0),""))</f>
        <v/>
      </c>
      <c r="R85" s="4">
        <f>IF(D85="","",--(D85=1))</f>
        <v/>
      </c>
      <c r="S85" s="4">
        <f>IF(OR($B85="",E85=""),"",--(E85=$B85))</f>
        <v/>
      </c>
      <c r="T85" s="4">
        <f>IF(OR($B85="",E85=""),"",IF($B85=1,--(E85=1),""))</f>
        <v/>
      </c>
      <c r="U85" s="4">
        <f>IF(OR($B85="",E85=""),"",IF($B85=0,--(E85=0),""))</f>
        <v/>
      </c>
      <c r="V85" s="4">
        <f>IF(E85="","",--(E85=1))</f>
        <v/>
      </c>
      <c r="W85" s="4">
        <f>IF(OR($B85="",F85=""),"",--(F85=$B85))</f>
        <v/>
      </c>
      <c r="X85" s="4">
        <f>IF(OR($B85="",F85=""),"",IF($B85=1,--(F85=1),""))</f>
        <v/>
      </c>
      <c r="Y85" s="4">
        <f>IF(OR($B85="",F85=""),"",IF($B85=0,--(F85=0),""))</f>
        <v/>
      </c>
      <c r="Z85" s="4">
        <f>IF(F85="","",--(F85=1))</f>
        <v/>
      </c>
      <c r="AA85" s="4">
        <f>IF(OR($B85="",G85=""),"",--(G85=$B85))</f>
        <v/>
      </c>
      <c r="AB85" s="4">
        <f>IF(OR($B85="",G85=""),"",IF($B85=1,--(G85=1),""))</f>
        <v/>
      </c>
      <c r="AC85" s="4">
        <f>IF(OR($B85="",G85=""),"",IF($B85=0,--(G85=0),""))</f>
        <v/>
      </c>
      <c r="AD85" s="4">
        <f>IF(G85="","",--(G85=1))</f>
        <v/>
      </c>
      <c r="AE85" s="4">
        <f>IF(OR($B85="",H85=""),"",--(H85=$B85))</f>
        <v/>
      </c>
      <c r="AF85" s="4">
        <f>IF(OR($B85="",H85=""),"",IF($B85=1,--(H85=1),""))</f>
        <v/>
      </c>
      <c r="AG85" s="4">
        <f>IF(OR($B85="",H85=""),"",IF($B85=0,--(H85=0),""))</f>
        <v/>
      </c>
      <c r="AH85" s="4">
        <f>IF(H85="","",--(H85=1))</f>
        <v/>
      </c>
      <c r="AI85" s="4">
        <f>IF(OR($B85="",I85=""),"",--(I85=$B85))</f>
        <v/>
      </c>
      <c r="AJ85" s="4">
        <f>IF(OR($B85="",I85=""),"",IF($B85=1,--(I85=1),""))</f>
        <v/>
      </c>
      <c r="AK85" s="4">
        <f>IF(OR($B85="",I85=""),"",IF($B85=0,--(I85=0),""))</f>
        <v/>
      </c>
      <c r="AL85" s="4">
        <f>IF(I85="","",--(I85=1))</f>
        <v/>
      </c>
      <c r="AM85" s="4">
        <f>IF(OR($B85="",J85=""),"",--(J85=$B85))</f>
        <v/>
      </c>
      <c r="AN85" s="4">
        <f>IF(OR($B85="",J85=""),"",IF($B85=1,--(J85=1),""))</f>
        <v/>
      </c>
      <c r="AO85" s="4">
        <f>IF(OR($B85="",J85=""),"",IF($B85=0,--(J85=0),""))</f>
        <v/>
      </c>
      <c r="AP85" s="4">
        <f>IF(J85="","",--(J85=1))</f>
        <v/>
      </c>
      <c r="AQ85" s="4">
        <f>IF(OR($B85="",K85=""),"",--(K85=$B85))</f>
        <v/>
      </c>
      <c r="AR85" s="4">
        <f>IF(OR($B85="",K85=""),"",IF($B85=1,--(K85=1),""))</f>
        <v/>
      </c>
      <c r="AS85" s="4">
        <f>IF(OR($B85="",K85=""),"",IF($B85=0,--(K85=0),""))</f>
        <v/>
      </c>
      <c r="AT85" s="4">
        <f>IF(K85="","",--(K85=1))</f>
        <v/>
      </c>
      <c r="AU85" s="4">
        <f>IF(OR($B85="",L85=""),"",--(L85=$B85))</f>
        <v/>
      </c>
      <c r="AV85" s="4">
        <f>IF(OR($B85="",L85=""),"",IF($B85=1,--(L85=1),""))</f>
        <v/>
      </c>
      <c r="AW85" s="4">
        <f>IF(OR($B85="",L85=""),"",IF($B85=0,--(L85=0),""))</f>
        <v/>
      </c>
      <c r="AX85" s="4">
        <f>IF(L85="","",--(L85=1))</f>
        <v/>
      </c>
      <c r="AY85" s="4">
        <f>IF(OR($B85="",M85=""),"",--(M85=$B85))</f>
        <v/>
      </c>
      <c r="AZ85" s="4">
        <f>IF(OR($B85="",M85=""),"",IF($B85=1,--(M85=1),""))</f>
        <v/>
      </c>
      <c r="BA85" s="4">
        <f>IF(OR($B85="",M85=""),"",IF($B85=0,--(M85=0),""))</f>
        <v/>
      </c>
      <c r="BB85" s="4">
        <f>IF(M85="","",--(M85=1))</f>
        <v/>
      </c>
      <c r="BC85" s="4">
        <f>IF(OR($B85="",N85=""),"",--(N85=$B85))</f>
        <v/>
      </c>
      <c r="BD85" s="4">
        <f>IF(OR($B85="",N85=""),"",IF($B85=1,--(N85=1),""))</f>
        <v/>
      </c>
      <c r="BE85" s="4">
        <f>IF(OR($B85="",N85=""),"",IF($B85=0,--(N85=0),""))</f>
        <v/>
      </c>
      <c r="BF85" s="4">
        <f>IF(N85="","",--(N85=1))</f>
        <v/>
      </c>
    </row>
    <row r="86">
      <c r="A86" s="3" t="inlineStr">
        <is>
          <t>202021658</t>
        </is>
      </c>
      <c r="B86" s="3" t="inlineStr">
        <is>
          <t>1</t>
        </is>
      </c>
      <c r="C86" s="3" t="inlineStr">
        <is>
          <t>Direct</t>
        </is>
      </c>
      <c r="D86" s="3" t="inlineStr">
        <is>
          <t>1</t>
        </is>
      </c>
      <c r="E86" s="3" t="inlineStr">
        <is>
          <t>0</t>
        </is>
      </c>
      <c r="F86" s="3" t="inlineStr">
        <is>
          <t>0</t>
        </is>
      </c>
      <c r="G86" s="3" t="inlineStr">
        <is>
          <t>0</t>
        </is>
      </c>
      <c r="H86" s="3" t="inlineStr">
        <is>
          <t>0</t>
        </is>
      </c>
      <c r="I86" s="3" t="inlineStr">
        <is>
          <t>0</t>
        </is>
      </c>
      <c r="J86" s="3" t="inlineStr">
        <is>
          <t>1</t>
        </is>
      </c>
      <c r="K86" s="3" t="inlineStr">
        <is>
          <t>1</t>
        </is>
      </c>
      <c r="L86" s="3" t="inlineStr">
        <is>
          <t>1</t>
        </is>
      </c>
      <c r="M86" s="3" t="inlineStr">
        <is>
          <t>1</t>
        </is>
      </c>
      <c r="N86" s="3" t="inlineStr">
        <is>
          <t>1</t>
        </is>
      </c>
      <c r="O86" s="4">
        <f>IF(OR($B86="",D86=""),"",--(D86=$B86))</f>
        <v/>
      </c>
      <c r="P86" s="4">
        <f>IF(OR($B86="",D86=""),"",IF($B86=1,--(D86=1),""))</f>
        <v/>
      </c>
      <c r="Q86" s="4">
        <f>IF(OR($B86="",D86=""),"",IF($B86=0,--(D86=0),""))</f>
        <v/>
      </c>
      <c r="R86" s="4">
        <f>IF(D86="","",--(D86=1))</f>
        <v/>
      </c>
      <c r="S86" s="4">
        <f>IF(OR($B86="",E86=""),"",--(E86=$B86))</f>
        <v/>
      </c>
      <c r="T86" s="4">
        <f>IF(OR($B86="",E86=""),"",IF($B86=1,--(E86=1),""))</f>
        <v/>
      </c>
      <c r="U86" s="4">
        <f>IF(OR($B86="",E86=""),"",IF($B86=0,--(E86=0),""))</f>
        <v/>
      </c>
      <c r="V86" s="4">
        <f>IF(E86="","",--(E86=1))</f>
        <v/>
      </c>
      <c r="W86" s="4">
        <f>IF(OR($B86="",F86=""),"",--(F86=$B86))</f>
        <v/>
      </c>
      <c r="X86" s="4">
        <f>IF(OR($B86="",F86=""),"",IF($B86=1,--(F86=1),""))</f>
        <v/>
      </c>
      <c r="Y86" s="4">
        <f>IF(OR($B86="",F86=""),"",IF($B86=0,--(F86=0),""))</f>
        <v/>
      </c>
      <c r="Z86" s="4">
        <f>IF(F86="","",--(F86=1))</f>
        <v/>
      </c>
      <c r="AA86" s="4">
        <f>IF(OR($B86="",G86=""),"",--(G86=$B86))</f>
        <v/>
      </c>
      <c r="AB86" s="4">
        <f>IF(OR($B86="",G86=""),"",IF($B86=1,--(G86=1),""))</f>
        <v/>
      </c>
      <c r="AC86" s="4">
        <f>IF(OR($B86="",G86=""),"",IF($B86=0,--(G86=0),""))</f>
        <v/>
      </c>
      <c r="AD86" s="4">
        <f>IF(G86="","",--(G86=1))</f>
        <v/>
      </c>
      <c r="AE86" s="4">
        <f>IF(OR($B86="",H86=""),"",--(H86=$B86))</f>
        <v/>
      </c>
      <c r="AF86" s="4">
        <f>IF(OR($B86="",H86=""),"",IF($B86=1,--(H86=1),""))</f>
        <v/>
      </c>
      <c r="AG86" s="4">
        <f>IF(OR($B86="",H86=""),"",IF($B86=0,--(H86=0),""))</f>
        <v/>
      </c>
      <c r="AH86" s="4">
        <f>IF(H86="","",--(H86=1))</f>
        <v/>
      </c>
      <c r="AI86" s="4">
        <f>IF(OR($B86="",I86=""),"",--(I86=$B86))</f>
        <v/>
      </c>
      <c r="AJ86" s="4">
        <f>IF(OR($B86="",I86=""),"",IF($B86=1,--(I86=1),""))</f>
        <v/>
      </c>
      <c r="AK86" s="4">
        <f>IF(OR($B86="",I86=""),"",IF($B86=0,--(I86=0),""))</f>
        <v/>
      </c>
      <c r="AL86" s="4">
        <f>IF(I86="","",--(I86=1))</f>
        <v/>
      </c>
      <c r="AM86" s="4">
        <f>IF(OR($B86="",J86=""),"",--(J86=$B86))</f>
        <v/>
      </c>
      <c r="AN86" s="4">
        <f>IF(OR($B86="",J86=""),"",IF($B86=1,--(J86=1),""))</f>
        <v/>
      </c>
      <c r="AO86" s="4">
        <f>IF(OR($B86="",J86=""),"",IF($B86=0,--(J86=0),""))</f>
        <v/>
      </c>
      <c r="AP86" s="4">
        <f>IF(J86="","",--(J86=1))</f>
        <v/>
      </c>
      <c r="AQ86" s="4">
        <f>IF(OR($B86="",K86=""),"",--(K86=$B86))</f>
        <v/>
      </c>
      <c r="AR86" s="4">
        <f>IF(OR($B86="",K86=""),"",IF($B86=1,--(K86=1),""))</f>
        <v/>
      </c>
      <c r="AS86" s="4">
        <f>IF(OR($B86="",K86=""),"",IF($B86=0,--(K86=0),""))</f>
        <v/>
      </c>
      <c r="AT86" s="4">
        <f>IF(K86="","",--(K86=1))</f>
        <v/>
      </c>
      <c r="AU86" s="4">
        <f>IF(OR($B86="",L86=""),"",--(L86=$B86))</f>
        <v/>
      </c>
      <c r="AV86" s="4">
        <f>IF(OR($B86="",L86=""),"",IF($B86=1,--(L86=1),""))</f>
        <v/>
      </c>
      <c r="AW86" s="4">
        <f>IF(OR($B86="",L86=""),"",IF($B86=0,--(L86=0),""))</f>
        <v/>
      </c>
      <c r="AX86" s="4">
        <f>IF(L86="","",--(L86=1))</f>
        <v/>
      </c>
      <c r="AY86" s="4">
        <f>IF(OR($B86="",M86=""),"",--(M86=$B86))</f>
        <v/>
      </c>
      <c r="AZ86" s="4">
        <f>IF(OR($B86="",M86=""),"",IF($B86=1,--(M86=1),""))</f>
        <v/>
      </c>
      <c r="BA86" s="4">
        <f>IF(OR($B86="",M86=""),"",IF($B86=0,--(M86=0),""))</f>
        <v/>
      </c>
      <c r="BB86" s="4">
        <f>IF(M86="","",--(M86=1))</f>
        <v/>
      </c>
      <c r="BC86" s="4">
        <f>IF(OR($B86="",N86=""),"",--(N86=$B86))</f>
        <v/>
      </c>
      <c r="BD86" s="4">
        <f>IF(OR($B86="",N86=""),"",IF($B86=1,--(N86=1),""))</f>
        <v/>
      </c>
      <c r="BE86" s="4">
        <f>IF(OR($B86="",N86=""),"",IF($B86=0,--(N86=0),""))</f>
        <v/>
      </c>
      <c r="BF86" s="4">
        <f>IF(N86="","",--(N86=1))</f>
        <v/>
      </c>
    </row>
    <row r="87">
      <c r="A87" s="3" t="inlineStr">
        <is>
          <t>202021825</t>
        </is>
      </c>
      <c r="B87" s="3" t="inlineStr">
        <is>
          <t>1</t>
        </is>
      </c>
      <c r="C87" s="3" t="inlineStr">
        <is>
          <t>Direct</t>
        </is>
      </c>
      <c r="D87" s="3" t="inlineStr">
        <is>
          <t>1</t>
        </is>
      </c>
      <c r="E87" s="3" t="inlineStr">
        <is>
          <t>0</t>
        </is>
      </c>
      <c r="F87" s="3" t="inlineStr">
        <is>
          <t>0</t>
        </is>
      </c>
      <c r="G87" s="3" t="inlineStr">
        <is>
          <t>1</t>
        </is>
      </c>
      <c r="H87" s="3" t="inlineStr">
        <is>
          <t>0</t>
        </is>
      </c>
      <c r="I87" s="3" t="inlineStr">
        <is>
          <t>1</t>
        </is>
      </c>
      <c r="J87" s="3" t="inlineStr">
        <is>
          <t>1</t>
        </is>
      </c>
      <c r="K87" s="3" t="inlineStr">
        <is>
          <t>1</t>
        </is>
      </c>
      <c r="L87" s="3" t="inlineStr">
        <is>
          <t>1</t>
        </is>
      </c>
      <c r="M87" s="3" t="inlineStr">
        <is>
          <t>1</t>
        </is>
      </c>
      <c r="N87" s="3" t="inlineStr">
        <is>
          <t>1</t>
        </is>
      </c>
      <c r="O87" s="4">
        <f>IF(OR($B87="",D87=""),"",--(D87=$B87))</f>
        <v/>
      </c>
      <c r="P87" s="4">
        <f>IF(OR($B87="",D87=""),"",IF($B87=1,--(D87=1),""))</f>
        <v/>
      </c>
      <c r="Q87" s="4">
        <f>IF(OR($B87="",D87=""),"",IF($B87=0,--(D87=0),""))</f>
        <v/>
      </c>
      <c r="R87" s="4">
        <f>IF(D87="","",--(D87=1))</f>
        <v/>
      </c>
      <c r="S87" s="4">
        <f>IF(OR($B87="",E87=""),"",--(E87=$B87))</f>
        <v/>
      </c>
      <c r="T87" s="4">
        <f>IF(OR($B87="",E87=""),"",IF($B87=1,--(E87=1),""))</f>
        <v/>
      </c>
      <c r="U87" s="4">
        <f>IF(OR($B87="",E87=""),"",IF($B87=0,--(E87=0),""))</f>
        <v/>
      </c>
      <c r="V87" s="4">
        <f>IF(E87="","",--(E87=1))</f>
        <v/>
      </c>
      <c r="W87" s="4">
        <f>IF(OR($B87="",F87=""),"",--(F87=$B87))</f>
        <v/>
      </c>
      <c r="X87" s="4">
        <f>IF(OR($B87="",F87=""),"",IF($B87=1,--(F87=1),""))</f>
        <v/>
      </c>
      <c r="Y87" s="4">
        <f>IF(OR($B87="",F87=""),"",IF($B87=0,--(F87=0),""))</f>
        <v/>
      </c>
      <c r="Z87" s="4">
        <f>IF(F87="","",--(F87=1))</f>
        <v/>
      </c>
      <c r="AA87" s="4">
        <f>IF(OR($B87="",G87=""),"",--(G87=$B87))</f>
        <v/>
      </c>
      <c r="AB87" s="4">
        <f>IF(OR($B87="",G87=""),"",IF($B87=1,--(G87=1),""))</f>
        <v/>
      </c>
      <c r="AC87" s="4">
        <f>IF(OR($B87="",G87=""),"",IF($B87=0,--(G87=0),""))</f>
        <v/>
      </c>
      <c r="AD87" s="4">
        <f>IF(G87="","",--(G87=1))</f>
        <v/>
      </c>
      <c r="AE87" s="4">
        <f>IF(OR($B87="",H87=""),"",--(H87=$B87))</f>
        <v/>
      </c>
      <c r="AF87" s="4">
        <f>IF(OR($B87="",H87=""),"",IF($B87=1,--(H87=1),""))</f>
        <v/>
      </c>
      <c r="AG87" s="4">
        <f>IF(OR($B87="",H87=""),"",IF($B87=0,--(H87=0),""))</f>
        <v/>
      </c>
      <c r="AH87" s="4">
        <f>IF(H87="","",--(H87=1))</f>
        <v/>
      </c>
      <c r="AI87" s="4">
        <f>IF(OR($B87="",I87=""),"",--(I87=$B87))</f>
        <v/>
      </c>
      <c r="AJ87" s="4">
        <f>IF(OR($B87="",I87=""),"",IF($B87=1,--(I87=1),""))</f>
        <v/>
      </c>
      <c r="AK87" s="4">
        <f>IF(OR($B87="",I87=""),"",IF($B87=0,--(I87=0),""))</f>
        <v/>
      </c>
      <c r="AL87" s="4">
        <f>IF(I87="","",--(I87=1))</f>
        <v/>
      </c>
      <c r="AM87" s="4">
        <f>IF(OR($B87="",J87=""),"",--(J87=$B87))</f>
        <v/>
      </c>
      <c r="AN87" s="4">
        <f>IF(OR($B87="",J87=""),"",IF($B87=1,--(J87=1),""))</f>
        <v/>
      </c>
      <c r="AO87" s="4">
        <f>IF(OR($B87="",J87=""),"",IF($B87=0,--(J87=0),""))</f>
        <v/>
      </c>
      <c r="AP87" s="4">
        <f>IF(J87="","",--(J87=1))</f>
        <v/>
      </c>
      <c r="AQ87" s="4">
        <f>IF(OR($B87="",K87=""),"",--(K87=$B87))</f>
        <v/>
      </c>
      <c r="AR87" s="4">
        <f>IF(OR($B87="",K87=""),"",IF($B87=1,--(K87=1),""))</f>
        <v/>
      </c>
      <c r="AS87" s="4">
        <f>IF(OR($B87="",K87=""),"",IF($B87=0,--(K87=0),""))</f>
        <v/>
      </c>
      <c r="AT87" s="4">
        <f>IF(K87="","",--(K87=1))</f>
        <v/>
      </c>
      <c r="AU87" s="4">
        <f>IF(OR($B87="",L87=""),"",--(L87=$B87))</f>
        <v/>
      </c>
      <c r="AV87" s="4">
        <f>IF(OR($B87="",L87=""),"",IF($B87=1,--(L87=1),""))</f>
        <v/>
      </c>
      <c r="AW87" s="4">
        <f>IF(OR($B87="",L87=""),"",IF($B87=0,--(L87=0),""))</f>
        <v/>
      </c>
      <c r="AX87" s="4">
        <f>IF(L87="","",--(L87=1))</f>
        <v/>
      </c>
      <c r="AY87" s="4">
        <f>IF(OR($B87="",M87=""),"",--(M87=$B87))</f>
        <v/>
      </c>
      <c r="AZ87" s="4">
        <f>IF(OR($B87="",M87=""),"",IF($B87=1,--(M87=1),""))</f>
        <v/>
      </c>
      <c r="BA87" s="4">
        <f>IF(OR($B87="",M87=""),"",IF($B87=0,--(M87=0),""))</f>
        <v/>
      </c>
      <c r="BB87" s="4">
        <f>IF(M87="","",--(M87=1))</f>
        <v/>
      </c>
      <c r="BC87" s="4">
        <f>IF(OR($B87="",N87=""),"",--(N87=$B87))</f>
        <v/>
      </c>
      <c r="BD87" s="4">
        <f>IF(OR($B87="",N87=""),"",IF($B87=1,--(N87=1),""))</f>
        <v/>
      </c>
      <c r="BE87" s="4">
        <f>IF(OR($B87="",N87=""),"",IF($B87=0,--(N87=0),""))</f>
        <v/>
      </c>
      <c r="BF87" s="4">
        <f>IF(N87="","",--(N87=1))</f>
        <v/>
      </c>
    </row>
    <row r="88">
      <c r="A88" s="3" t="inlineStr">
        <is>
          <t>202022028</t>
        </is>
      </c>
      <c r="B88" s="3" t="inlineStr">
        <is>
          <t>0</t>
        </is>
      </c>
      <c r="C88" s="3" t="inlineStr">
        <is>
          <t>RQ</t>
        </is>
      </c>
      <c r="D88" s="3" t="inlineStr">
        <is>
          <t>1</t>
        </is>
      </c>
      <c r="E88" s="3" t="inlineStr">
        <is>
          <t>0</t>
        </is>
      </c>
      <c r="F88" s="3" t="inlineStr">
        <is>
          <t>1</t>
        </is>
      </c>
      <c r="G88" s="3" t="inlineStr">
        <is>
          <t>0</t>
        </is>
      </c>
      <c r="H88" s="3" t="inlineStr">
        <is>
          <t>0</t>
        </is>
      </c>
      <c r="I88" s="3" t="inlineStr">
        <is>
          <t>1</t>
        </is>
      </c>
      <c r="J88" s="3" t="inlineStr">
        <is>
          <t>1</t>
        </is>
      </c>
      <c r="K88" s="3" t="inlineStr">
        <is>
          <t>1</t>
        </is>
      </c>
      <c r="L88" s="3" t="inlineStr">
        <is>
          <t>0</t>
        </is>
      </c>
      <c r="M88" s="3" t="inlineStr">
        <is>
          <t>1</t>
        </is>
      </c>
      <c r="N88" s="3" t="inlineStr">
        <is>
          <t>1</t>
        </is>
      </c>
      <c r="O88" s="4">
        <f>IF(OR($B88="",D88=""),"",--(D88=$B88))</f>
        <v/>
      </c>
      <c r="P88" s="4">
        <f>IF(OR($B88="",D88=""),"",IF($B88=1,--(D88=1),""))</f>
        <v/>
      </c>
      <c r="Q88" s="4">
        <f>IF(OR($B88="",D88=""),"",IF($B88=0,--(D88=0),""))</f>
        <v/>
      </c>
      <c r="R88" s="4">
        <f>IF(D88="","",--(D88=1))</f>
        <v/>
      </c>
      <c r="S88" s="4">
        <f>IF(OR($B88="",E88=""),"",--(E88=$B88))</f>
        <v/>
      </c>
      <c r="T88" s="4">
        <f>IF(OR($B88="",E88=""),"",IF($B88=1,--(E88=1),""))</f>
        <v/>
      </c>
      <c r="U88" s="4">
        <f>IF(OR($B88="",E88=""),"",IF($B88=0,--(E88=0),""))</f>
        <v/>
      </c>
      <c r="V88" s="4">
        <f>IF(E88="","",--(E88=1))</f>
        <v/>
      </c>
      <c r="W88" s="4">
        <f>IF(OR($B88="",F88=""),"",--(F88=$B88))</f>
        <v/>
      </c>
      <c r="X88" s="4">
        <f>IF(OR($B88="",F88=""),"",IF($B88=1,--(F88=1),""))</f>
        <v/>
      </c>
      <c r="Y88" s="4">
        <f>IF(OR($B88="",F88=""),"",IF($B88=0,--(F88=0),""))</f>
        <v/>
      </c>
      <c r="Z88" s="4">
        <f>IF(F88="","",--(F88=1))</f>
        <v/>
      </c>
      <c r="AA88" s="4">
        <f>IF(OR($B88="",G88=""),"",--(G88=$B88))</f>
        <v/>
      </c>
      <c r="AB88" s="4">
        <f>IF(OR($B88="",G88=""),"",IF($B88=1,--(G88=1),""))</f>
        <v/>
      </c>
      <c r="AC88" s="4">
        <f>IF(OR($B88="",G88=""),"",IF($B88=0,--(G88=0),""))</f>
        <v/>
      </c>
      <c r="AD88" s="4">
        <f>IF(G88="","",--(G88=1))</f>
        <v/>
      </c>
      <c r="AE88" s="4">
        <f>IF(OR($B88="",H88=""),"",--(H88=$B88))</f>
        <v/>
      </c>
      <c r="AF88" s="4">
        <f>IF(OR($B88="",H88=""),"",IF($B88=1,--(H88=1),""))</f>
        <v/>
      </c>
      <c r="AG88" s="4">
        <f>IF(OR($B88="",H88=""),"",IF($B88=0,--(H88=0),""))</f>
        <v/>
      </c>
      <c r="AH88" s="4">
        <f>IF(H88="","",--(H88=1))</f>
        <v/>
      </c>
      <c r="AI88" s="4">
        <f>IF(OR($B88="",I88=""),"",--(I88=$B88))</f>
        <v/>
      </c>
      <c r="AJ88" s="4">
        <f>IF(OR($B88="",I88=""),"",IF($B88=1,--(I88=1),""))</f>
        <v/>
      </c>
      <c r="AK88" s="4">
        <f>IF(OR($B88="",I88=""),"",IF($B88=0,--(I88=0),""))</f>
        <v/>
      </c>
      <c r="AL88" s="4">
        <f>IF(I88="","",--(I88=1))</f>
        <v/>
      </c>
      <c r="AM88" s="4">
        <f>IF(OR($B88="",J88=""),"",--(J88=$B88))</f>
        <v/>
      </c>
      <c r="AN88" s="4">
        <f>IF(OR($B88="",J88=""),"",IF($B88=1,--(J88=1),""))</f>
        <v/>
      </c>
      <c r="AO88" s="4">
        <f>IF(OR($B88="",J88=""),"",IF($B88=0,--(J88=0),""))</f>
        <v/>
      </c>
      <c r="AP88" s="4">
        <f>IF(J88="","",--(J88=1))</f>
        <v/>
      </c>
      <c r="AQ88" s="4">
        <f>IF(OR($B88="",K88=""),"",--(K88=$B88))</f>
        <v/>
      </c>
      <c r="AR88" s="4">
        <f>IF(OR($B88="",K88=""),"",IF($B88=1,--(K88=1),""))</f>
        <v/>
      </c>
      <c r="AS88" s="4">
        <f>IF(OR($B88="",K88=""),"",IF($B88=0,--(K88=0),""))</f>
        <v/>
      </c>
      <c r="AT88" s="4">
        <f>IF(K88="","",--(K88=1))</f>
        <v/>
      </c>
      <c r="AU88" s="4">
        <f>IF(OR($B88="",L88=""),"",--(L88=$B88))</f>
        <v/>
      </c>
      <c r="AV88" s="4">
        <f>IF(OR($B88="",L88=""),"",IF($B88=1,--(L88=1),""))</f>
        <v/>
      </c>
      <c r="AW88" s="4">
        <f>IF(OR($B88="",L88=""),"",IF($B88=0,--(L88=0),""))</f>
        <v/>
      </c>
      <c r="AX88" s="4">
        <f>IF(L88="","",--(L88=1))</f>
        <v/>
      </c>
      <c r="AY88" s="4">
        <f>IF(OR($B88="",M88=""),"",--(M88=$B88))</f>
        <v/>
      </c>
      <c r="AZ88" s="4">
        <f>IF(OR($B88="",M88=""),"",IF($B88=1,--(M88=1),""))</f>
        <v/>
      </c>
      <c r="BA88" s="4">
        <f>IF(OR($B88="",M88=""),"",IF($B88=0,--(M88=0),""))</f>
        <v/>
      </c>
      <c r="BB88" s="4">
        <f>IF(M88="","",--(M88=1))</f>
        <v/>
      </c>
      <c r="BC88" s="4">
        <f>IF(OR($B88="",N88=""),"",--(N88=$B88))</f>
        <v/>
      </c>
      <c r="BD88" s="4">
        <f>IF(OR($B88="",N88=""),"",IF($B88=1,--(N88=1),""))</f>
        <v/>
      </c>
      <c r="BE88" s="4">
        <f>IF(OR($B88="",N88=""),"",IF($B88=0,--(N88=0),""))</f>
        <v/>
      </c>
      <c r="BF88" s="4">
        <f>IF(N88="","",--(N88=1))</f>
        <v/>
      </c>
    </row>
    <row r="89">
      <c r="A89" s="3" t="inlineStr">
        <is>
          <t>202022055</t>
        </is>
      </c>
      <c r="B89" s="3" t="inlineStr">
        <is>
          <t>0</t>
        </is>
      </c>
      <c r="C89" s="3" t="inlineStr">
        <is>
          <t>Direct</t>
        </is>
      </c>
      <c r="D89" s="3" t="inlineStr">
        <is>
          <t>0</t>
        </is>
      </c>
      <c r="E89" s="3" t="inlineStr">
        <is>
          <t>0</t>
        </is>
      </c>
      <c r="F89" s="3" t="inlineStr">
        <is>
          <t>0</t>
        </is>
      </c>
      <c r="G89" s="3" t="inlineStr">
        <is>
          <t>1</t>
        </is>
      </c>
      <c r="H89" s="3" t="inlineStr">
        <is>
          <t>0</t>
        </is>
      </c>
      <c r="I89" s="3" t="inlineStr">
        <is>
          <t>1</t>
        </is>
      </c>
      <c r="J89" s="3" t="inlineStr">
        <is>
          <t>1</t>
        </is>
      </c>
      <c r="K89" s="3" t="inlineStr">
        <is>
          <t>1</t>
        </is>
      </c>
      <c r="L89" s="3" t="inlineStr">
        <is>
          <t>1</t>
        </is>
      </c>
      <c r="M89" s="3" t="inlineStr">
        <is>
          <t>1</t>
        </is>
      </c>
      <c r="N89" s="3" t="inlineStr">
        <is>
          <t>1</t>
        </is>
      </c>
      <c r="O89" s="4">
        <f>IF(OR($B89="",D89=""),"",--(D89=$B89))</f>
        <v/>
      </c>
      <c r="P89" s="4">
        <f>IF(OR($B89="",D89=""),"",IF($B89=1,--(D89=1),""))</f>
        <v/>
      </c>
      <c r="Q89" s="4">
        <f>IF(OR($B89="",D89=""),"",IF($B89=0,--(D89=0),""))</f>
        <v/>
      </c>
      <c r="R89" s="4">
        <f>IF(D89="","",--(D89=1))</f>
        <v/>
      </c>
      <c r="S89" s="4">
        <f>IF(OR($B89="",E89=""),"",--(E89=$B89))</f>
        <v/>
      </c>
      <c r="T89" s="4">
        <f>IF(OR($B89="",E89=""),"",IF($B89=1,--(E89=1),""))</f>
        <v/>
      </c>
      <c r="U89" s="4">
        <f>IF(OR($B89="",E89=""),"",IF($B89=0,--(E89=0),""))</f>
        <v/>
      </c>
      <c r="V89" s="4">
        <f>IF(E89="","",--(E89=1))</f>
        <v/>
      </c>
      <c r="W89" s="4">
        <f>IF(OR($B89="",F89=""),"",--(F89=$B89))</f>
        <v/>
      </c>
      <c r="X89" s="4">
        <f>IF(OR($B89="",F89=""),"",IF($B89=1,--(F89=1),""))</f>
        <v/>
      </c>
      <c r="Y89" s="4">
        <f>IF(OR($B89="",F89=""),"",IF($B89=0,--(F89=0),""))</f>
        <v/>
      </c>
      <c r="Z89" s="4">
        <f>IF(F89="","",--(F89=1))</f>
        <v/>
      </c>
      <c r="AA89" s="4">
        <f>IF(OR($B89="",G89=""),"",--(G89=$B89))</f>
        <v/>
      </c>
      <c r="AB89" s="4">
        <f>IF(OR($B89="",G89=""),"",IF($B89=1,--(G89=1),""))</f>
        <v/>
      </c>
      <c r="AC89" s="4">
        <f>IF(OR($B89="",G89=""),"",IF($B89=0,--(G89=0),""))</f>
        <v/>
      </c>
      <c r="AD89" s="4">
        <f>IF(G89="","",--(G89=1))</f>
        <v/>
      </c>
      <c r="AE89" s="4">
        <f>IF(OR($B89="",H89=""),"",--(H89=$B89))</f>
        <v/>
      </c>
      <c r="AF89" s="4">
        <f>IF(OR($B89="",H89=""),"",IF($B89=1,--(H89=1),""))</f>
        <v/>
      </c>
      <c r="AG89" s="4">
        <f>IF(OR($B89="",H89=""),"",IF($B89=0,--(H89=0),""))</f>
        <v/>
      </c>
      <c r="AH89" s="4">
        <f>IF(H89="","",--(H89=1))</f>
        <v/>
      </c>
      <c r="AI89" s="4">
        <f>IF(OR($B89="",I89=""),"",--(I89=$B89))</f>
        <v/>
      </c>
      <c r="AJ89" s="4">
        <f>IF(OR($B89="",I89=""),"",IF($B89=1,--(I89=1),""))</f>
        <v/>
      </c>
      <c r="AK89" s="4">
        <f>IF(OR($B89="",I89=""),"",IF($B89=0,--(I89=0),""))</f>
        <v/>
      </c>
      <c r="AL89" s="4">
        <f>IF(I89="","",--(I89=1))</f>
        <v/>
      </c>
      <c r="AM89" s="4">
        <f>IF(OR($B89="",J89=""),"",--(J89=$B89))</f>
        <v/>
      </c>
      <c r="AN89" s="4">
        <f>IF(OR($B89="",J89=""),"",IF($B89=1,--(J89=1),""))</f>
        <v/>
      </c>
      <c r="AO89" s="4">
        <f>IF(OR($B89="",J89=""),"",IF($B89=0,--(J89=0),""))</f>
        <v/>
      </c>
      <c r="AP89" s="4">
        <f>IF(J89="","",--(J89=1))</f>
        <v/>
      </c>
      <c r="AQ89" s="4">
        <f>IF(OR($B89="",K89=""),"",--(K89=$B89))</f>
        <v/>
      </c>
      <c r="AR89" s="4">
        <f>IF(OR($B89="",K89=""),"",IF($B89=1,--(K89=1),""))</f>
        <v/>
      </c>
      <c r="AS89" s="4">
        <f>IF(OR($B89="",K89=""),"",IF($B89=0,--(K89=0),""))</f>
        <v/>
      </c>
      <c r="AT89" s="4">
        <f>IF(K89="","",--(K89=1))</f>
        <v/>
      </c>
      <c r="AU89" s="4">
        <f>IF(OR($B89="",L89=""),"",--(L89=$B89))</f>
        <v/>
      </c>
      <c r="AV89" s="4">
        <f>IF(OR($B89="",L89=""),"",IF($B89=1,--(L89=1),""))</f>
        <v/>
      </c>
      <c r="AW89" s="4">
        <f>IF(OR($B89="",L89=""),"",IF($B89=0,--(L89=0),""))</f>
        <v/>
      </c>
      <c r="AX89" s="4">
        <f>IF(L89="","",--(L89=1))</f>
        <v/>
      </c>
      <c r="AY89" s="4">
        <f>IF(OR($B89="",M89=""),"",--(M89=$B89))</f>
        <v/>
      </c>
      <c r="AZ89" s="4">
        <f>IF(OR($B89="",M89=""),"",IF($B89=1,--(M89=1),""))</f>
        <v/>
      </c>
      <c r="BA89" s="4">
        <f>IF(OR($B89="",M89=""),"",IF($B89=0,--(M89=0),""))</f>
        <v/>
      </c>
      <c r="BB89" s="4">
        <f>IF(M89="","",--(M89=1))</f>
        <v/>
      </c>
      <c r="BC89" s="4">
        <f>IF(OR($B89="",N89=""),"",--(N89=$B89))</f>
        <v/>
      </c>
      <c r="BD89" s="4">
        <f>IF(OR($B89="",N89=""),"",IF($B89=1,--(N89=1),""))</f>
        <v/>
      </c>
      <c r="BE89" s="4">
        <f>IF(OR($B89="",N89=""),"",IF($B89=0,--(N89=0),""))</f>
        <v/>
      </c>
      <c r="BF89" s="4">
        <f>IF(N89="","",--(N89=1))</f>
        <v/>
      </c>
    </row>
    <row r="90">
      <c r="A90" s="3" t="inlineStr">
        <is>
          <t>202022228</t>
        </is>
      </c>
      <c r="B90" s="3" t="inlineStr">
        <is>
          <t>1</t>
        </is>
      </c>
      <c r="C90" s="3" t="inlineStr">
        <is>
          <t>Direct</t>
        </is>
      </c>
      <c r="D90" s="3" t="inlineStr">
        <is>
          <t>1</t>
        </is>
      </c>
      <c r="E90" s="3" t="inlineStr">
        <is>
          <t>1</t>
        </is>
      </c>
      <c r="F90" s="3" t="inlineStr">
        <is>
          <t>0</t>
        </is>
      </c>
      <c r="G90" s="3" t="inlineStr">
        <is>
          <t>1</t>
        </is>
      </c>
      <c r="H90" s="3" t="inlineStr">
        <is>
          <t>1</t>
        </is>
      </c>
      <c r="I90" s="3" t="inlineStr">
        <is>
          <t>1</t>
        </is>
      </c>
      <c r="J90" s="3" t="inlineStr">
        <is>
          <t>1</t>
        </is>
      </c>
      <c r="K90" s="3" t="inlineStr">
        <is>
          <t>1</t>
        </is>
      </c>
      <c r="L90" s="3" t="inlineStr">
        <is>
          <t>1</t>
        </is>
      </c>
      <c r="M90" s="3" t="inlineStr">
        <is>
          <t>1</t>
        </is>
      </c>
      <c r="N90" s="3" t="inlineStr">
        <is>
          <t>1</t>
        </is>
      </c>
      <c r="O90" s="4">
        <f>IF(OR($B90="",D90=""),"",--(D90=$B90))</f>
        <v/>
      </c>
      <c r="P90" s="4">
        <f>IF(OR($B90="",D90=""),"",IF($B90=1,--(D90=1),""))</f>
        <v/>
      </c>
      <c r="Q90" s="4">
        <f>IF(OR($B90="",D90=""),"",IF($B90=0,--(D90=0),""))</f>
        <v/>
      </c>
      <c r="R90" s="4">
        <f>IF(D90="","",--(D90=1))</f>
        <v/>
      </c>
      <c r="S90" s="4">
        <f>IF(OR($B90="",E90=""),"",--(E90=$B90))</f>
        <v/>
      </c>
      <c r="T90" s="4">
        <f>IF(OR($B90="",E90=""),"",IF($B90=1,--(E90=1),""))</f>
        <v/>
      </c>
      <c r="U90" s="4">
        <f>IF(OR($B90="",E90=""),"",IF($B90=0,--(E90=0),""))</f>
        <v/>
      </c>
      <c r="V90" s="4">
        <f>IF(E90="","",--(E90=1))</f>
        <v/>
      </c>
      <c r="W90" s="4">
        <f>IF(OR($B90="",F90=""),"",--(F90=$B90))</f>
        <v/>
      </c>
      <c r="X90" s="4">
        <f>IF(OR($B90="",F90=""),"",IF($B90=1,--(F90=1),""))</f>
        <v/>
      </c>
      <c r="Y90" s="4">
        <f>IF(OR($B90="",F90=""),"",IF($B90=0,--(F90=0),""))</f>
        <v/>
      </c>
      <c r="Z90" s="4">
        <f>IF(F90="","",--(F90=1))</f>
        <v/>
      </c>
      <c r="AA90" s="4">
        <f>IF(OR($B90="",G90=""),"",--(G90=$B90))</f>
        <v/>
      </c>
      <c r="AB90" s="4">
        <f>IF(OR($B90="",G90=""),"",IF($B90=1,--(G90=1),""))</f>
        <v/>
      </c>
      <c r="AC90" s="4">
        <f>IF(OR($B90="",G90=""),"",IF($B90=0,--(G90=0),""))</f>
        <v/>
      </c>
      <c r="AD90" s="4">
        <f>IF(G90="","",--(G90=1))</f>
        <v/>
      </c>
      <c r="AE90" s="4">
        <f>IF(OR($B90="",H90=""),"",--(H90=$B90))</f>
        <v/>
      </c>
      <c r="AF90" s="4">
        <f>IF(OR($B90="",H90=""),"",IF($B90=1,--(H90=1),""))</f>
        <v/>
      </c>
      <c r="AG90" s="4">
        <f>IF(OR($B90="",H90=""),"",IF($B90=0,--(H90=0),""))</f>
        <v/>
      </c>
      <c r="AH90" s="4">
        <f>IF(H90="","",--(H90=1))</f>
        <v/>
      </c>
      <c r="AI90" s="4">
        <f>IF(OR($B90="",I90=""),"",--(I90=$B90))</f>
        <v/>
      </c>
      <c r="AJ90" s="4">
        <f>IF(OR($B90="",I90=""),"",IF($B90=1,--(I90=1),""))</f>
        <v/>
      </c>
      <c r="AK90" s="4">
        <f>IF(OR($B90="",I90=""),"",IF($B90=0,--(I90=0),""))</f>
        <v/>
      </c>
      <c r="AL90" s="4">
        <f>IF(I90="","",--(I90=1))</f>
        <v/>
      </c>
      <c r="AM90" s="4">
        <f>IF(OR($B90="",J90=""),"",--(J90=$B90))</f>
        <v/>
      </c>
      <c r="AN90" s="4">
        <f>IF(OR($B90="",J90=""),"",IF($B90=1,--(J90=1),""))</f>
        <v/>
      </c>
      <c r="AO90" s="4">
        <f>IF(OR($B90="",J90=""),"",IF($B90=0,--(J90=0),""))</f>
        <v/>
      </c>
      <c r="AP90" s="4">
        <f>IF(J90="","",--(J90=1))</f>
        <v/>
      </c>
      <c r="AQ90" s="4">
        <f>IF(OR($B90="",K90=""),"",--(K90=$B90))</f>
        <v/>
      </c>
      <c r="AR90" s="4">
        <f>IF(OR($B90="",K90=""),"",IF($B90=1,--(K90=1),""))</f>
        <v/>
      </c>
      <c r="AS90" s="4">
        <f>IF(OR($B90="",K90=""),"",IF($B90=0,--(K90=0),""))</f>
        <v/>
      </c>
      <c r="AT90" s="4">
        <f>IF(K90="","",--(K90=1))</f>
        <v/>
      </c>
      <c r="AU90" s="4">
        <f>IF(OR($B90="",L90=""),"",--(L90=$B90))</f>
        <v/>
      </c>
      <c r="AV90" s="4">
        <f>IF(OR($B90="",L90=""),"",IF($B90=1,--(L90=1),""))</f>
        <v/>
      </c>
      <c r="AW90" s="4">
        <f>IF(OR($B90="",L90=""),"",IF($B90=0,--(L90=0),""))</f>
        <v/>
      </c>
      <c r="AX90" s="4">
        <f>IF(L90="","",--(L90=1))</f>
        <v/>
      </c>
      <c r="AY90" s="4">
        <f>IF(OR($B90="",M90=""),"",--(M90=$B90))</f>
        <v/>
      </c>
      <c r="AZ90" s="4">
        <f>IF(OR($B90="",M90=""),"",IF($B90=1,--(M90=1),""))</f>
        <v/>
      </c>
      <c r="BA90" s="4">
        <f>IF(OR($B90="",M90=""),"",IF($B90=0,--(M90=0),""))</f>
        <v/>
      </c>
      <c r="BB90" s="4">
        <f>IF(M90="","",--(M90=1))</f>
        <v/>
      </c>
      <c r="BC90" s="4">
        <f>IF(OR($B90="",N90=""),"",--(N90=$B90))</f>
        <v/>
      </c>
      <c r="BD90" s="4">
        <f>IF(OR($B90="",N90=""),"",IF($B90=1,--(N90=1),""))</f>
        <v/>
      </c>
      <c r="BE90" s="4">
        <f>IF(OR($B90="",N90=""),"",IF($B90=0,--(N90=0),""))</f>
        <v/>
      </c>
      <c r="BF90" s="4">
        <f>IF(N90="","",--(N90=1))</f>
        <v/>
      </c>
    </row>
    <row r="91">
      <c r="A91" s="3" t="inlineStr">
        <is>
          <t>202022401</t>
        </is>
      </c>
      <c r="B91" s="3" t="inlineStr">
        <is>
          <t>0</t>
        </is>
      </c>
      <c r="C91" s="3" t="inlineStr">
        <is>
          <t>Direct</t>
        </is>
      </c>
      <c r="D91" s="3" t="inlineStr">
        <is>
          <t>1</t>
        </is>
      </c>
      <c r="E91" s="3" t="inlineStr">
        <is>
          <t>1</t>
        </is>
      </c>
      <c r="F91" s="3" t="inlineStr">
        <is>
          <t>0</t>
        </is>
      </c>
      <c r="G91" s="3" t="inlineStr">
        <is>
          <t>1</t>
        </is>
      </c>
      <c r="H91" s="3" t="inlineStr">
        <is>
          <t>0</t>
        </is>
      </c>
      <c r="I91" s="3" t="inlineStr">
        <is>
          <t>1</t>
        </is>
      </c>
      <c r="J91" s="3" t="inlineStr">
        <is>
          <t>1</t>
        </is>
      </c>
      <c r="K91" s="3" t="inlineStr">
        <is>
          <t>1</t>
        </is>
      </c>
      <c r="L91" s="3" t="inlineStr">
        <is>
          <t>1</t>
        </is>
      </c>
      <c r="M91" s="3" t="inlineStr">
        <is>
          <t>1</t>
        </is>
      </c>
      <c r="N91" s="3" t="inlineStr">
        <is>
          <t>1</t>
        </is>
      </c>
      <c r="O91" s="4">
        <f>IF(OR($B91="",D91=""),"",--(D91=$B91))</f>
        <v/>
      </c>
      <c r="P91" s="4">
        <f>IF(OR($B91="",D91=""),"",IF($B91=1,--(D91=1),""))</f>
        <v/>
      </c>
      <c r="Q91" s="4">
        <f>IF(OR($B91="",D91=""),"",IF($B91=0,--(D91=0),""))</f>
        <v/>
      </c>
      <c r="R91" s="4">
        <f>IF(D91="","",--(D91=1))</f>
        <v/>
      </c>
      <c r="S91" s="4">
        <f>IF(OR($B91="",E91=""),"",--(E91=$B91))</f>
        <v/>
      </c>
      <c r="T91" s="4">
        <f>IF(OR($B91="",E91=""),"",IF($B91=1,--(E91=1),""))</f>
        <v/>
      </c>
      <c r="U91" s="4">
        <f>IF(OR($B91="",E91=""),"",IF($B91=0,--(E91=0),""))</f>
        <v/>
      </c>
      <c r="V91" s="4">
        <f>IF(E91="","",--(E91=1))</f>
        <v/>
      </c>
      <c r="W91" s="4">
        <f>IF(OR($B91="",F91=""),"",--(F91=$B91))</f>
        <v/>
      </c>
      <c r="X91" s="4">
        <f>IF(OR($B91="",F91=""),"",IF($B91=1,--(F91=1),""))</f>
        <v/>
      </c>
      <c r="Y91" s="4">
        <f>IF(OR($B91="",F91=""),"",IF($B91=0,--(F91=0),""))</f>
        <v/>
      </c>
      <c r="Z91" s="4">
        <f>IF(F91="","",--(F91=1))</f>
        <v/>
      </c>
      <c r="AA91" s="4">
        <f>IF(OR($B91="",G91=""),"",--(G91=$B91))</f>
        <v/>
      </c>
      <c r="AB91" s="4">
        <f>IF(OR($B91="",G91=""),"",IF($B91=1,--(G91=1),""))</f>
        <v/>
      </c>
      <c r="AC91" s="4">
        <f>IF(OR($B91="",G91=""),"",IF($B91=0,--(G91=0),""))</f>
        <v/>
      </c>
      <c r="AD91" s="4">
        <f>IF(G91="","",--(G91=1))</f>
        <v/>
      </c>
      <c r="AE91" s="4">
        <f>IF(OR($B91="",H91=""),"",--(H91=$B91))</f>
        <v/>
      </c>
      <c r="AF91" s="4">
        <f>IF(OR($B91="",H91=""),"",IF($B91=1,--(H91=1),""))</f>
        <v/>
      </c>
      <c r="AG91" s="4">
        <f>IF(OR($B91="",H91=""),"",IF($B91=0,--(H91=0),""))</f>
        <v/>
      </c>
      <c r="AH91" s="4">
        <f>IF(H91="","",--(H91=1))</f>
        <v/>
      </c>
      <c r="AI91" s="4">
        <f>IF(OR($B91="",I91=""),"",--(I91=$B91))</f>
        <v/>
      </c>
      <c r="AJ91" s="4">
        <f>IF(OR($B91="",I91=""),"",IF($B91=1,--(I91=1),""))</f>
        <v/>
      </c>
      <c r="AK91" s="4">
        <f>IF(OR($B91="",I91=""),"",IF($B91=0,--(I91=0),""))</f>
        <v/>
      </c>
      <c r="AL91" s="4">
        <f>IF(I91="","",--(I91=1))</f>
        <v/>
      </c>
      <c r="AM91" s="4">
        <f>IF(OR($B91="",J91=""),"",--(J91=$B91))</f>
        <v/>
      </c>
      <c r="AN91" s="4">
        <f>IF(OR($B91="",J91=""),"",IF($B91=1,--(J91=1),""))</f>
        <v/>
      </c>
      <c r="AO91" s="4">
        <f>IF(OR($B91="",J91=""),"",IF($B91=0,--(J91=0),""))</f>
        <v/>
      </c>
      <c r="AP91" s="4">
        <f>IF(J91="","",--(J91=1))</f>
        <v/>
      </c>
      <c r="AQ91" s="4">
        <f>IF(OR($B91="",K91=""),"",--(K91=$B91))</f>
        <v/>
      </c>
      <c r="AR91" s="4">
        <f>IF(OR($B91="",K91=""),"",IF($B91=1,--(K91=1),""))</f>
        <v/>
      </c>
      <c r="AS91" s="4">
        <f>IF(OR($B91="",K91=""),"",IF($B91=0,--(K91=0),""))</f>
        <v/>
      </c>
      <c r="AT91" s="4">
        <f>IF(K91="","",--(K91=1))</f>
        <v/>
      </c>
      <c r="AU91" s="4">
        <f>IF(OR($B91="",L91=""),"",--(L91=$B91))</f>
        <v/>
      </c>
      <c r="AV91" s="4">
        <f>IF(OR($B91="",L91=""),"",IF($B91=1,--(L91=1),""))</f>
        <v/>
      </c>
      <c r="AW91" s="4">
        <f>IF(OR($B91="",L91=""),"",IF($B91=0,--(L91=0),""))</f>
        <v/>
      </c>
      <c r="AX91" s="4">
        <f>IF(L91="","",--(L91=1))</f>
        <v/>
      </c>
      <c r="AY91" s="4">
        <f>IF(OR($B91="",M91=""),"",--(M91=$B91))</f>
        <v/>
      </c>
      <c r="AZ91" s="4">
        <f>IF(OR($B91="",M91=""),"",IF($B91=1,--(M91=1),""))</f>
        <v/>
      </c>
      <c r="BA91" s="4">
        <f>IF(OR($B91="",M91=""),"",IF($B91=0,--(M91=0),""))</f>
        <v/>
      </c>
      <c r="BB91" s="4">
        <f>IF(M91="","",--(M91=1))</f>
        <v/>
      </c>
      <c r="BC91" s="4">
        <f>IF(OR($B91="",N91=""),"",--(N91=$B91))</f>
        <v/>
      </c>
      <c r="BD91" s="4">
        <f>IF(OR($B91="",N91=""),"",IF($B91=1,--(N91=1),""))</f>
        <v/>
      </c>
      <c r="BE91" s="4">
        <f>IF(OR($B91="",N91=""),"",IF($B91=0,--(N91=0),""))</f>
        <v/>
      </c>
      <c r="BF91" s="4">
        <f>IF(N91="","",--(N91=1))</f>
        <v/>
      </c>
    </row>
    <row r="92">
      <c r="A92" s="3" t="inlineStr">
        <is>
          <t>202022587</t>
        </is>
      </c>
      <c r="B92" s="3" t="inlineStr">
        <is>
          <t>1</t>
        </is>
      </c>
      <c r="C92" s="3" t="inlineStr">
        <is>
          <t>Direct</t>
        </is>
      </c>
      <c r="D92" s="3" t="inlineStr">
        <is>
          <t>1</t>
        </is>
      </c>
      <c r="E92" s="3" t="inlineStr">
        <is>
          <t>0</t>
        </is>
      </c>
      <c r="F92" s="3" t="inlineStr">
        <is>
          <t>0</t>
        </is>
      </c>
      <c r="G92" s="3" t="inlineStr">
        <is>
          <t>1</t>
        </is>
      </c>
      <c r="H92" s="3" t="inlineStr">
        <is>
          <t>0</t>
        </is>
      </c>
      <c r="I92" s="3" t="inlineStr">
        <is>
          <t>1</t>
        </is>
      </c>
      <c r="J92" s="3" t="inlineStr">
        <is>
          <t>1</t>
        </is>
      </c>
      <c r="K92" s="3" t="inlineStr">
        <is>
          <t>1</t>
        </is>
      </c>
      <c r="L92" s="3" t="inlineStr">
        <is>
          <t>1</t>
        </is>
      </c>
      <c r="M92" s="3" t="inlineStr">
        <is>
          <t>1</t>
        </is>
      </c>
      <c r="N92" s="3" t="inlineStr">
        <is>
          <t>1</t>
        </is>
      </c>
      <c r="O92" s="4">
        <f>IF(OR($B92="",D92=""),"",--(D92=$B92))</f>
        <v/>
      </c>
      <c r="P92" s="4">
        <f>IF(OR($B92="",D92=""),"",IF($B92=1,--(D92=1),""))</f>
        <v/>
      </c>
      <c r="Q92" s="4">
        <f>IF(OR($B92="",D92=""),"",IF($B92=0,--(D92=0),""))</f>
        <v/>
      </c>
      <c r="R92" s="4">
        <f>IF(D92="","",--(D92=1))</f>
        <v/>
      </c>
      <c r="S92" s="4">
        <f>IF(OR($B92="",E92=""),"",--(E92=$B92))</f>
        <v/>
      </c>
      <c r="T92" s="4">
        <f>IF(OR($B92="",E92=""),"",IF($B92=1,--(E92=1),""))</f>
        <v/>
      </c>
      <c r="U92" s="4">
        <f>IF(OR($B92="",E92=""),"",IF($B92=0,--(E92=0),""))</f>
        <v/>
      </c>
      <c r="V92" s="4">
        <f>IF(E92="","",--(E92=1))</f>
        <v/>
      </c>
      <c r="W92" s="4">
        <f>IF(OR($B92="",F92=""),"",--(F92=$B92))</f>
        <v/>
      </c>
      <c r="X92" s="4">
        <f>IF(OR($B92="",F92=""),"",IF($B92=1,--(F92=1),""))</f>
        <v/>
      </c>
      <c r="Y92" s="4">
        <f>IF(OR($B92="",F92=""),"",IF($B92=0,--(F92=0),""))</f>
        <v/>
      </c>
      <c r="Z92" s="4">
        <f>IF(F92="","",--(F92=1))</f>
        <v/>
      </c>
      <c r="AA92" s="4">
        <f>IF(OR($B92="",G92=""),"",--(G92=$B92))</f>
        <v/>
      </c>
      <c r="AB92" s="4">
        <f>IF(OR($B92="",G92=""),"",IF($B92=1,--(G92=1),""))</f>
        <v/>
      </c>
      <c r="AC92" s="4">
        <f>IF(OR($B92="",G92=""),"",IF($B92=0,--(G92=0),""))</f>
        <v/>
      </c>
      <c r="AD92" s="4">
        <f>IF(G92="","",--(G92=1))</f>
        <v/>
      </c>
      <c r="AE92" s="4">
        <f>IF(OR($B92="",H92=""),"",--(H92=$B92))</f>
        <v/>
      </c>
      <c r="AF92" s="4">
        <f>IF(OR($B92="",H92=""),"",IF($B92=1,--(H92=1),""))</f>
        <v/>
      </c>
      <c r="AG92" s="4">
        <f>IF(OR($B92="",H92=""),"",IF($B92=0,--(H92=0),""))</f>
        <v/>
      </c>
      <c r="AH92" s="4">
        <f>IF(H92="","",--(H92=1))</f>
        <v/>
      </c>
      <c r="AI92" s="4">
        <f>IF(OR($B92="",I92=""),"",--(I92=$B92))</f>
        <v/>
      </c>
      <c r="AJ92" s="4">
        <f>IF(OR($B92="",I92=""),"",IF($B92=1,--(I92=1),""))</f>
        <v/>
      </c>
      <c r="AK92" s="4">
        <f>IF(OR($B92="",I92=""),"",IF($B92=0,--(I92=0),""))</f>
        <v/>
      </c>
      <c r="AL92" s="4">
        <f>IF(I92="","",--(I92=1))</f>
        <v/>
      </c>
      <c r="AM92" s="4">
        <f>IF(OR($B92="",J92=""),"",--(J92=$B92))</f>
        <v/>
      </c>
      <c r="AN92" s="4">
        <f>IF(OR($B92="",J92=""),"",IF($B92=1,--(J92=1),""))</f>
        <v/>
      </c>
      <c r="AO92" s="4">
        <f>IF(OR($B92="",J92=""),"",IF($B92=0,--(J92=0),""))</f>
        <v/>
      </c>
      <c r="AP92" s="4">
        <f>IF(J92="","",--(J92=1))</f>
        <v/>
      </c>
      <c r="AQ92" s="4">
        <f>IF(OR($B92="",K92=""),"",--(K92=$B92))</f>
        <v/>
      </c>
      <c r="AR92" s="4">
        <f>IF(OR($B92="",K92=""),"",IF($B92=1,--(K92=1),""))</f>
        <v/>
      </c>
      <c r="AS92" s="4">
        <f>IF(OR($B92="",K92=""),"",IF($B92=0,--(K92=0),""))</f>
        <v/>
      </c>
      <c r="AT92" s="4">
        <f>IF(K92="","",--(K92=1))</f>
        <v/>
      </c>
      <c r="AU92" s="4">
        <f>IF(OR($B92="",L92=""),"",--(L92=$B92))</f>
        <v/>
      </c>
      <c r="AV92" s="4">
        <f>IF(OR($B92="",L92=""),"",IF($B92=1,--(L92=1),""))</f>
        <v/>
      </c>
      <c r="AW92" s="4">
        <f>IF(OR($B92="",L92=""),"",IF($B92=0,--(L92=0),""))</f>
        <v/>
      </c>
      <c r="AX92" s="4">
        <f>IF(L92="","",--(L92=1))</f>
        <v/>
      </c>
      <c r="AY92" s="4">
        <f>IF(OR($B92="",M92=""),"",--(M92=$B92))</f>
        <v/>
      </c>
      <c r="AZ92" s="4">
        <f>IF(OR($B92="",M92=""),"",IF($B92=1,--(M92=1),""))</f>
        <v/>
      </c>
      <c r="BA92" s="4">
        <f>IF(OR($B92="",M92=""),"",IF($B92=0,--(M92=0),""))</f>
        <v/>
      </c>
      <c r="BB92" s="4">
        <f>IF(M92="","",--(M92=1))</f>
        <v/>
      </c>
      <c r="BC92" s="4">
        <f>IF(OR($B92="",N92=""),"",--(N92=$B92))</f>
        <v/>
      </c>
      <c r="BD92" s="4">
        <f>IF(OR($B92="",N92=""),"",IF($B92=1,--(N92=1),""))</f>
        <v/>
      </c>
      <c r="BE92" s="4">
        <f>IF(OR($B92="",N92=""),"",IF($B92=0,--(N92=0),""))</f>
        <v/>
      </c>
      <c r="BF92" s="4">
        <f>IF(N92="","",--(N92=1))</f>
        <v/>
      </c>
    </row>
    <row r="93">
      <c r="A93" s="3" t="inlineStr">
        <is>
          <t>202022712</t>
        </is>
      </c>
      <c r="B93" s="3" t="inlineStr">
        <is>
          <t>0</t>
        </is>
      </c>
      <c r="C93" s="3" t="inlineStr">
        <is>
          <t>Direct</t>
        </is>
      </c>
      <c r="D93" s="3" t="inlineStr">
        <is>
          <t>0</t>
        </is>
      </c>
      <c r="E93" s="3" t="inlineStr">
        <is>
          <t>1</t>
        </is>
      </c>
      <c r="F93" s="3" t="inlineStr">
        <is>
          <t>0</t>
        </is>
      </c>
      <c r="G93" s="3" t="inlineStr">
        <is>
          <t>0</t>
        </is>
      </c>
      <c r="H93" s="3" t="inlineStr">
        <is>
          <t>1</t>
        </is>
      </c>
      <c r="I93" s="3" t="inlineStr">
        <is>
          <t>1</t>
        </is>
      </c>
      <c r="J93" s="3" t="inlineStr">
        <is>
          <t>1</t>
        </is>
      </c>
      <c r="K93" s="3" t="inlineStr">
        <is>
          <t>0</t>
        </is>
      </c>
      <c r="L93" s="3" t="inlineStr">
        <is>
          <t>0</t>
        </is>
      </c>
      <c r="M93" s="3" t="inlineStr">
        <is>
          <t>0</t>
        </is>
      </c>
      <c r="N93" s="3" t="inlineStr">
        <is>
          <t>1</t>
        </is>
      </c>
      <c r="O93" s="4">
        <f>IF(OR($B93="",D93=""),"",--(D93=$B93))</f>
        <v/>
      </c>
      <c r="P93" s="4">
        <f>IF(OR($B93="",D93=""),"",IF($B93=1,--(D93=1),""))</f>
        <v/>
      </c>
      <c r="Q93" s="4">
        <f>IF(OR($B93="",D93=""),"",IF($B93=0,--(D93=0),""))</f>
        <v/>
      </c>
      <c r="R93" s="4">
        <f>IF(D93="","",--(D93=1))</f>
        <v/>
      </c>
      <c r="S93" s="4">
        <f>IF(OR($B93="",E93=""),"",--(E93=$B93))</f>
        <v/>
      </c>
      <c r="T93" s="4">
        <f>IF(OR($B93="",E93=""),"",IF($B93=1,--(E93=1),""))</f>
        <v/>
      </c>
      <c r="U93" s="4">
        <f>IF(OR($B93="",E93=""),"",IF($B93=0,--(E93=0),""))</f>
        <v/>
      </c>
      <c r="V93" s="4">
        <f>IF(E93="","",--(E93=1))</f>
        <v/>
      </c>
      <c r="W93" s="4">
        <f>IF(OR($B93="",F93=""),"",--(F93=$B93))</f>
        <v/>
      </c>
      <c r="X93" s="4">
        <f>IF(OR($B93="",F93=""),"",IF($B93=1,--(F93=1),""))</f>
        <v/>
      </c>
      <c r="Y93" s="4">
        <f>IF(OR($B93="",F93=""),"",IF($B93=0,--(F93=0),""))</f>
        <v/>
      </c>
      <c r="Z93" s="4">
        <f>IF(F93="","",--(F93=1))</f>
        <v/>
      </c>
      <c r="AA93" s="4">
        <f>IF(OR($B93="",G93=""),"",--(G93=$B93))</f>
        <v/>
      </c>
      <c r="AB93" s="4">
        <f>IF(OR($B93="",G93=""),"",IF($B93=1,--(G93=1),""))</f>
        <v/>
      </c>
      <c r="AC93" s="4">
        <f>IF(OR($B93="",G93=""),"",IF($B93=0,--(G93=0),""))</f>
        <v/>
      </c>
      <c r="AD93" s="4">
        <f>IF(G93="","",--(G93=1))</f>
        <v/>
      </c>
      <c r="AE93" s="4">
        <f>IF(OR($B93="",H93=""),"",--(H93=$B93))</f>
        <v/>
      </c>
      <c r="AF93" s="4">
        <f>IF(OR($B93="",H93=""),"",IF($B93=1,--(H93=1),""))</f>
        <v/>
      </c>
      <c r="AG93" s="4">
        <f>IF(OR($B93="",H93=""),"",IF($B93=0,--(H93=0),""))</f>
        <v/>
      </c>
      <c r="AH93" s="4">
        <f>IF(H93="","",--(H93=1))</f>
        <v/>
      </c>
      <c r="AI93" s="4">
        <f>IF(OR($B93="",I93=""),"",--(I93=$B93))</f>
        <v/>
      </c>
      <c r="AJ93" s="4">
        <f>IF(OR($B93="",I93=""),"",IF($B93=1,--(I93=1),""))</f>
        <v/>
      </c>
      <c r="AK93" s="4">
        <f>IF(OR($B93="",I93=""),"",IF($B93=0,--(I93=0),""))</f>
        <v/>
      </c>
      <c r="AL93" s="4">
        <f>IF(I93="","",--(I93=1))</f>
        <v/>
      </c>
      <c r="AM93" s="4">
        <f>IF(OR($B93="",J93=""),"",--(J93=$B93))</f>
        <v/>
      </c>
      <c r="AN93" s="4">
        <f>IF(OR($B93="",J93=""),"",IF($B93=1,--(J93=1),""))</f>
        <v/>
      </c>
      <c r="AO93" s="4">
        <f>IF(OR($B93="",J93=""),"",IF($B93=0,--(J93=0),""))</f>
        <v/>
      </c>
      <c r="AP93" s="4">
        <f>IF(J93="","",--(J93=1))</f>
        <v/>
      </c>
      <c r="AQ93" s="4">
        <f>IF(OR($B93="",K93=""),"",--(K93=$B93))</f>
        <v/>
      </c>
      <c r="AR93" s="4">
        <f>IF(OR($B93="",K93=""),"",IF($B93=1,--(K93=1),""))</f>
        <v/>
      </c>
      <c r="AS93" s="4">
        <f>IF(OR($B93="",K93=""),"",IF($B93=0,--(K93=0),""))</f>
        <v/>
      </c>
      <c r="AT93" s="4">
        <f>IF(K93="","",--(K93=1))</f>
        <v/>
      </c>
      <c r="AU93" s="4">
        <f>IF(OR($B93="",L93=""),"",--(L93=$B93))</f>
        <v/>
      </c>
      <c r="AV93" s="4">
        <f>IF(OR($B93="",L93=""),"",IF($B93=1,--(L93=1),""))</f>
        <v/>
      </c>
      <c r="AW93" s="4">
        <f>IF(OR($B93="",L93=""),"",IF($B93=0,--(L93=0),""))</f>
        <v/>
      </c>
      <c r="AX93" s="4">
        <f>IF(L93="","",--(L93=1))</f>
        <v/>
      </c>
      <c r="AY93" s="4">
        <f>IF(OR($B93="",M93=""),"",--(M93=$B93))</f>
        <v/>
      </c>
      <c r="AZ93" s="4">
        <f>IF(OR($B93="",M93=""),"",IF($B93=1,--(M93=1),""))</f>
        <v/>
      </c>
      <c r="BA93" s="4">
        <f>IF(OR($B93="",M93=""),"",IF($B93=0,--(M93=0),""))</f>
        <v/>
      </c>
      <c r="BB93" s="4">
        <f>IF(M93="","",--(M93=1))</f>
        <v/>
      </c>
      <c r="BC93" s="4">
        <f>IF(OR($B93="",N93=""),"",--(N93=$B93))</f>
        <v/>
      </c>
      <c r="BD93" s="4">
        <f>IF(OR($B93="",N93=""),"",IF($B93=1,--(N93=1),""))</f>
        <v/>
      </c>
      <c r="BE93" s="4">
        <f>IF(OR($B93="",N93=""),"",IF($B93=0,--(N93=0),""))</f>
        <v/>
      </c>
      <c r="BF93" s="4">
        <f>IF(N93="","",--(N93=1))</f>
        <v/>
      </c>
    </row>
    <row r="94">
      <c r="A94" s="3" t="inlineStr">
        <is>
          <t>202022944</t>
        </is>
      </c>
      <c r="B94" s="3" t="inlineStr">
        <is>
          <t>1</t>
        </is>
      </c>
      <c r="C94" s="3" t="inlineStr">
        <is>
          <t>Direct</t>
        </is>
      </c>
      <c r="D94" s="3" t="inlineStr">
        <is>
          <t>1</t>
        </is>
      </c>
      <c r="E94" s="3" t="inlineStr">
        <is>
          <t>1</t>
        </is>
      </c>
      <c r="F94" s="3" t="inlineStr">
        <is>
          <t>0</t>
        </is>
      </c>
      <c r="G94" s="3" t="inlineStr">
        <is>
          <t>1</t>
        </is>
      </c>
      <c r="H94" s="3" t="inlineStr">
        <is>
          <t>1</t>
        </is>
      </c>
      <c r="I94" s="3" t="inlineStr">
        <is>
          <t>1</t>
        </is>
      </c>
      <c r="J94" s="3" t="inlineStr">
        <is>
          <t>0</t>
        </is>
      </c>
      <c r="K94" s="3" t="inlineStr">
        <is>
          <t>1</t>
        </is>
      </c>
      <c r="L94" s="3" t="inlineStr">
        <is>
          <t>1</t>
        </is>
      </c>
      <c r="M94" s="3" t="inlineStr">
        <is>
          <t>1</t>
        </is>
      </c>
      <c r="N94" s="3" t="inlineStr">
        <is>
          <t>1</t>
        </is>
      </c>
      <c r="O94" s="4">
        <f>IF(OR($B94="",D94=""),"",--(D94=$B94))</f>
        <v/>
      </c>
      <c r="P94" s="4">
        <f>IF(OR($B94="",D94=""),"",IF($B94=1,--(D94=1),""))</f>
        <v/>
      </c>
      <c r="Q94" s="4">
        <f>IF(OR($B94="",D94=""),"",IF($B94=0,--(D94=0),""))</f>
        <v/>
      </c>
      <c r="R94" s="4">
        <f>IF(D94="","",--(D94=1))</f>
        <v/>
      </c>
      <c r="S94" s="4">
        <f>IF(OR($B94="",E94=""),"",--(E94=$B94))</f>
        <v/>
      </c>
      <c r="T94" s="4">
        <f>IF(OR($B94="",E94=""),"",IF($B94=1,--(E94=1),""))</f>
        <v/>
      </c>
      <c r="U94" s="4">
        <f>IF(OR($B94="",E94=""),"",IF($B94=0,--(E94=0),""))</f>
        <v/>
      </c>
      <c r="V94" s="4">
        <f>IF(E94="","",--(E94=1))</f>
        <v/>
      </c>
      <c r="W94" s="4">
        <f>IF(OR($B94="",F94=""),"",--(F94=$B94))</f>
        <v/>
      </c>
      <c r="X94" s="4">
        <f>IF(OR($B94="",F94=""),"",IF($B94=1,--(F94=1),""))</f>
        <v/>
      </c>
      <c r="Y94" s="4">
        <f>IF(OR($B94="",F94=""),"",IF($B94=0,--(F94=0),""))</f>
        <v/>
      </c>
      <c r="Z94" s="4">
        <f>IF(F94="","",--(F94=1))</f>
        <v/>
      </c>
      <c r="AA94" s="4">
        <f>IF(OR($B94="",G94=""),"",--(G94=$B94))</f>
        <v/>
      </c>
      <c r="AB94" s="4">
        <f>IF(OR($B94="",G94=""),"",IF($B94=1,--(G94=1),""))</f>
        <v/>
      </c>
      <c r="AC94" s="4">
        <f>IF(OR($B94="",G94=""),"",IF($B94=0,--(G94=0),""))</f>
        <v/>
      </c>
      <c r="AD94" s="4">
        <f>IF(G94="","",--(G94=1))</f>
        <v/>
      </c>
      <c r="AE94" s="4">
        <f>IF(OR($B94="",H94=""),"",--(H94=$B94))</f>
        <v/>
      </c>
      <c r="AF94" s="4">
        <f>IF(OR($B94="",H94=""),"",IF($B94=1,--(H94=1),""))</f>
        <v/>
      </c>
      <c r="AG94" s="4">
        <f>IF(OR($B94="",H94=""),"",IF($B94=0,--(H94=0),""))</f>
        <v/>
      </c>
      <c r="AH94" s="4">
        <f>IF(H94="","",--(H94=1))</f>
        <v/>
      </c>
      <c r="AI94" s="4">
        <f>IF(OR($B94="",I94=""),"",--(I94=$B94))</f>
        <v/>
      </c>
      <c r="AJ94" s="4">
        <f>IF(OR($B94="",I94=""),"",IF($B94=1,--(I94=1),""))</f>
        <v/>
      </c>
      <c r="AK94" s="4">
        <f>IF(OR($B94="",I94=""),"",IF($B94=0,--(I94=0),""))</f>
        <v/>
      </c>
      <c r="AL94" s="4">
        <f>IF(I94="","",--(I94=1))</f>
        <v/>
      </c>
      <c r="AM94" s="4">
        <f>IF(OR($B94="",J94=""),"",--(J94=$B94))</f>
        <v/>
      </c>
      <c r="AN94" s="4">
        <f>IF(OR($B94="",J94=""),"",IF($B94=1,--(J94=1),""))</f>
        <v/>
      </c>
      <c r="AO94" s="4">
        <f>IF(OR($B94="",J94=""),"",IF($B94=0,--(J94=0),""))</f>
        <v/>
      </c>
      <c r="AP94" s="4">
        <f>IF(J94="","",--(J94=1))</f>
        <v/>
      </c>
      <c r="AQ94" s="4">
        <f>IF(OR($B94="",K94=""),"",--(K94=$B94))</f>
        <v/>
      </c>
      <c r="AR94" s="4">
        <f>IF(OR($B94="",K94=""),"",IF($B94=1,--(K94=1),""))</f>
        <v/>
      </c>
      <c r="AS94" s="4">
        <f>IF(OR($B94="",K94=""),"",IF($B94=0,--(K94=0),""))</f>
        <v/>
      </c>
      <c r="AT94" s="4">
        <f>IF(K94="","",--(K94=1))</f>
        <v/>
      </c>
      <c r="AU94" s="4">
        <f>IF(OR($B94="",L94=""),"",--(L94=$B94))</f>
        <v/>
      </c>
      <c r="AV94" s="4">
        <f>IF(OR($B94="",L94=""),"",IF($B94=1,--(L94=1),""))</f>
        <v/>
      </c>
      <c r="AW94" s="4">
        <f>IF(OR($B94="",L94=""),"",IF($B94=0,--(L94=0),""))</f>
        <v/>
      </c>
      <c r="AX94" s="4">
        <f>IF(L94="","",--(L94=1))</f>
        <v/>
      </c>
      <c r="AY94" s="4">
        <f>IF(OR($B94="",M94=""),"",--(M94=$B94))</f>
        <v/>
      </c>
      <c r="AZ94" s="4">
        <f>IF(OR($B94="",M94=""),"",IF($B94=1,--(M94=1),""))</f>
        <v/>
      </c>
      <c r="BA94" s="4">
        <f>IF(OR($B94="",M94=""),"",IF($B94=0,--(M94=0),""))</f>
        <v/>
      </c>
      <c r="BB94" s="4">
        <f>IF(M94="","",--(M94=1))</f>
        <v/>
      </c>
      <c r="BC94" s="4">
        <f>IF(OR($B94="",N94=""),"",--(N94=$B94))</f>
        <v/>
      </c>
      <c r="BD94" s="4">
        <f>IF(OR($B94="",N94=""),"",IF($B94=1,--(N94=1),""))</f>
        <v/>
      </c>
      <c r="BE94" s="4">
        <f>IF(OR($B94="",N94=""),"",IF($B94=0,--(N94=0),""))</f>
        <v/>
      </c>
      <c r="BF94" s="4">
        <f>IF(N94="","",--(N94=1))</f>
        <v/>
      </c>
    </row>
    <row r="95">
      <c r="A95" s="3" t="inlineStr">
        <is>
          <t>202022950</t>
        </is>
      </c>
      <c r="B95" s="3" t="inlineStr">
        <is>
          <t>1</t>
        </is>
      </c>
      <c r="C95" s="3" t="inlineStr">
        <is>
          <t>Direct</t>
        </is>
      </c>
      <c r="D95" s="3" t="inlineStr">
        <is>
          <t>1</t>
        </is>
      </c>
      <c r="E95" s="3" t="inlineStr">
        <is>
          <t>1</t>
        </is>
      </c>
      <c r="F95" s="3" t="inlineStr">
        <is>
          <t>0</t>
        </is>
      </c>
      <c r="G95" s="3" t="inlineStr">
        <is>
          <t>1</t>
        </is>
      </c>
      <c r="H95" s="3" t="inlineStr">
        <is>
          <t>1</t>
        </is>
      </c>
      <c r="I95" s="3" t="inlineStr">
        <is>
          <t>1</t>
        </is>
      </c>
      <c r="J95" s="3" t="inlineStr">
        <is>
          <t>1</t>
        </is>
      </c>
      <c r="K95" s="3" t="inlineStr">
        <is>
          <t>1</t>
        </is>
      </c>
      <c r="L95" s="3" t="inlineStr">
        <is>
          <t>1</t>
        </is>
      </c>
      <c r="M95" s="3" t="inlineStr">
        <is>
          <t>0</t>
        </is>
      </c>
      <c r="N95" s="3" t="inlineStr">
        <is>
          <t>1</t>
        </is>
      </c>
      <c r="O95" s="4">
        <f>IF(OR($B95="",D95=""),"",--(D95=$B95))</f>
        <v/>
      </c>
      <c r="P95" s="4">
        <f>IF(OR($B95="",D95=""),"",IF($B95=1,--(D95=1),""))</f>
        <v/>
      </c>
      <c r="Q95" s="4">
        <f>IF(OR($B95="",D95=""),"",IF($B95=0,--(D95=0),""))</f>
        <v/>
      </c>
      <c r="R95" s="4">
        <f>IF(D95="","",--(D95=1))</f>
        <v/>
      </c>
      <c r="S95" s="4">
        <f>IF(OR($B95="",E95=""),"",--(E95=$B95))</f>
        <v/>
      </c>
      <c r="T95" s="4">
        <f>IF(OR($B95="",E95=""),"",IF($B95=1,--(E95=1),""))</f>
        <v/>
      </c>
      <c r="U95" s="4">
        <f>IF(OR($B95="",E95=""),"",IF($B95=0,--(E95=0),""))</f>
        <v/>
      </c>
      <c r="V95" s="4">
        <f>IF(E95="","",--(E95=1))</f>
        <v/>
      </c>
      <c r="W95" s="4">
        <f>IF(OR($B95="",F95=""),"",--(F95=$B95))</f>
        <v/>
      </c>
      <c r="X95" s="4">
        <f>IF(OR($B95="",F95=""),"",IF($B95=1,--(F95=1),""))</f>
        <v/>
      </c>
      <c r="Y95" s="4">
        <f>IF(OR($B95="",F95=""),"",IF($B95=0,--(F95=0),""))</f>
        <v/>
      </c>
      <c r="Z95" s="4">
        <f>IF(F95="","",--(F95=1))</f>
        <v/>
      </c>
      <c r="AA95" s="4">
        <f>IF(OR($B95="",G95=""),"",--(G95=$B95))</f>
        <v/>
      </c>
      <c r="AB95" s="4">
        <f>IF(OR($B95="",G95=""),"",IF($B95=1,--(G95=1),""))</f>
        <v/>
      </c>
      <c r="AC95" s="4">
        <f>IF(OR($B95="",G95=""),"",IF($B95=0,--(G95=0),""))</f>
        <v/>
      </c>
      <c r="AD95" s="4">
        <f>IF(G95="","",--(G95=1))</f>
        <v/>
      </c>
      <c r="AE95" s="4">
        <f>IF(OR($B95="",H95=""),"",--(H95=$B95))</f>
        <v/>
      </c>
      <c r="AF95" s="4">
        <f>IF(OR($B95="",H95=""),"",IF($B95=1,--(H95=1),""))</f>
        <v/>
      </c>
      <c r="AG95" s="4">
        <f>IF(OR($B95="",H95=""),"",IF($B95=0,--(H95=0),""))</f>
        <v/>
      </c>
      <c r="AH95" s="4">
        <f>IF(H95="","",--(H95=1))</f>
        <v/>
      </c>
      <c r="AI95" s="4">
        <f>IF(OR($B95="",I95=""),"",--(I95=$B95))</f>
        <v/>
      </c>
      <c r="AJ95" s="4">
        <f>IF(OR($B95="",I95=""),"",IF($B95=1,--(I95=1),""))</f>
        <v/>
      </c>
      <c r="AK95" s="4">
        <f>IF(OR($B95="",I95=""),"",IF($B95=0,--(I95=0),""))</f>
        <v/>
      </c>
      <c r="AL95" s="4">
        <f>IF(I95="","",--(I95=1))</f>
        <v/>
      </c>
      <c r="AM95" s="4">
        <f>IF(OR($B95="",J95=""),"",--(J95=$B95))</f>
        <v/>
      </c>
      <c r="AN95" s="4">
        <f>IF(OR($B95="",J95=""),"",IF($B95=1,--(J95=1),""))</f>
        <v/>
      </c>
      <c r="AO95" s="4">
        <f>IF(OR($B95="",J95=""),"",IF($B95=0,--(J95=0),""))</f>
        <v/>
      </c>
      <c r="AP95" s="4">
        <f>IF(J95="","",--(J95=1))</f>
        <v/>
      </c>
      <c r="AQ95" s="4">
        <f>IF(OR($B95="",K95=""),"",--(K95=$B95))</f>
        <v/>
      </c>
      <c r="AR95" s="4">
        <f>IF(OR($B95="",K95=""),"",IF($B95=1,--(K95=1),""))</f>
        <v/>
      </c>
      <c r="AS95" s="4">
        <f>IF(OR($B95="",K95=""),"",IF($B95=0,--(K95=0),""))</f>
        <v/>
      </c>
      <c r="AT95" s="4">
        <f>IF(K95="","",--(K95=1))</f>
        <v/>
      </c>
      <c r="AU95" s="4">
        <f>IF(OR($B95="",L95=""),"",--(L95=$B95))</f>
        <v/>
      </c>
      <c r="AV95" s="4">
        <f>IF(OR($B95="",L95=""),"",IF($B95=1,--(L95=1),""))</f>
        <v/>
      </c>
      <c r="AW95" s="4">
        <f>IF(OR($B95="",L95=""),"",IF($B95=0,--(L95=0),""))</f>
        <v/>
      </c>
      <c r="AX95" s="4">
        <f>IF(L95="","",--(L95=1))</f>
        <v/>
      </c>
      <c r="AY95" s="4">
        <f>IF(OR($B95="",M95=""),"",--(M95=$B95))</f>
        <v/>
      </c>
      <c r="AZ95" s="4">
        <f>IF(OR($B95="",M95=""),"",IF($B95=1,--(M95=1),""))</f>
        <v/>
      </c>
      <c r="BA95" s="4">
        <f>IF(OR($B95="",M95=""),"",IF($B95=0,--(M95=0),""))</f>
        <v/>
      </c>
      <c r="BB95" s="4">
        <f>IF(M95="","",--(M95=1))</f>
        <v/>
      </c>
      <c r="BC95" s="4">
        <f>IF(OR($B95="",N95=""),"",--(N95=$B95))</f>
        <v/>
      </c>
      <c r="BD95" s="4">
        <f>IF(OR($B95="",N95=""),"",IF($B95=1,--(N95=1),""))</f>
        <v/>
      </c>
      <c r="BE95" s="4">
        <f>IF(OR($B95="",N95=""),"",IF($B95=0,--(N95=0),""))</f>
        <v/>
      </c>
      <c r="BF95" s="4">
        <f>IF(N95="","",--(N95=1))</f>
        <v/>
      </c>
    </row>
    <row r="96">
      <c r="A96" s="3" t="inlineStr">
        <is>
          <t>202023046</t>
        </is>
      </c>
      <c r="B96" s="3" t="inlineStr">
        <is>
          <t>0</t>
        </is>
      </c>
      <c r="C96" s="3" t="inlineStr">
        <is>
          <t>Direct</t>
        </is>
      </c>
      <c r="D96" s="3" t="inlineStr">
        <is>
          <t>0</t>
        </is>
      </c>
      <c r="E96" s="3" t="inlineStr">
        <is>
          <t>0</t>
        </is>
      </c>
      <c r="F96" s="3" t="inlineStr">
        <is>
          <t>0</t>
        </is>
      </c>
      <c r="G96" s="3" t="inlineStr">
        <is>
          <t>0</t>
        </is>
      </c>
      <c r="H96" s="3" t="inlineStr">
        <is>
          <t>1</t>
        </is>
      </c>
      <c r="I96" s="3" t="inlineStr">
        <is>
          <t>0</t>
        </is>
      </c>
      <c r="J96" s="3" t="inlineStr">
        <is>
          <t>0</t>
        </is>
      </c>
      <c r="K96" s="3" t="inlineStr">
        <is>
          <t>0</t>
        </is>
      </c>
      <c r="L96" s="3" t="inlineStr">
        <is>
          <t>0</t>
        </is>
      </c>
      <c r="M96" s="3" t="inlineStr">
        <is>
          <t>0</t>
        </is>
      </c>
      <c r="N96" s="3" t="inlineStr">
        <is>
          <t>0</t>
        </is>
      </c>
      <c r="O96" s="4">
        <f>IF(OR($B96="",D96=""),"",--(D96=$B96))</f>
        <v/>
      </c>
      <c r="P96" s="4">
        <f>IF(OR($B96="",D96=""),"",IF($B96=1,--(D96=1),""))</f>
        <v/>
      </c>
      <c r="Q96" s="4">
        <f>IF(OR($B96="",D96=""),"",IF($B96=0,--(D96=0),""))</f>
        <v/>
      </c>
      <c r="R96" s="4">
        <f>IF(D96="","",--(D96=1))</f>
        <v/>
      </c>
      <c r="S96" s="4">
        <f>IF(OR($B96="",E96=""),"",--(E96=$B96))</f>
        <v/>
      </c>
      <c r="T96" s="4">
        <f>IF(OR($B96="",E96=""),"",IF($B96=1,--(E96=1),""))</f>
        <v/>
      </c>
      <c r="U96" s="4">
        <f>IF(OR($B96="",E96=""),"",IF($B96=0,--(E96=0),""))</f>
        <v/>
      </c>
      <c r="V96" s="4">
        <f>IF(E96="","",--(E96=1))</f>
        <v/>
      </c>
      <c r="W96" s="4">
        <f>IF(OR($B96="",F96=""),"",--(F96=$B96))</f>
        <v/>
      </c>
      <c r="X96" s="4">
        <f>IF(OR($B96="",F96=""),"",IF($B96=1,--(F96=1),""))</f>
        <v/>
      </c>
      <c r="Y96" s="4">
        <f>IF(OR($B96="",F96=""),"",IF($B96=0,--(F96=0),""))</f>
        <v/>
      </c>
      <c r="Z96" s="4">
        <f>IF(F96="","",--(F96=1))</f>
        <v/>
      </c>
      <c r="AA96" s="4">
        <f>IF(OR($B96="",G96=""),"",--(G96=$B96))</f>
        <v/>
      </c>
      <c r="AB96" s="4">
        <f>IF(OR($B96="",G96=""),"",IF($B96=1,--(G96=1),""))</f>
        <v/>
      </c>
      <c r="AC96" s="4">
        <f>IF(OR($B96="",G96=""),"",IF($B96=0,--(G96=0),""))</f>
        <v/>
      </c>
      <c r="AD96" s="4">
        <f>IF(G96="","",--(G96=1))</f>
        <v/>
      </c>
      <c r="AE96" s="4">
        <f>IF(OR($B96="",H96=""),"",--(H96=$B96))</f>
        <v/>
      </c>
      <c r="AF96" s="4">
        <f>IF(OR($B96="",H96=""),"",IF($B96=1,--(H96=1),""))</f>
        <v/>
      </c>
      <c r="AG96" s="4">
        <f>IF(OR($B96="",H96=""),"",IF($B96=0,--(H96=0),""))</f>
        <v/>
      </c>
      <c r="AH96" s="4">
        <f>IF(H96="","",--(H96=1))</f>
        <v/>
      </c>
      <c r="AI96" s="4">
        <f>IF(OR($B96="",I96=""),"",--(I96=$B96))</f>
        <v/>
      </c>
      <c r="AJ96" s="4">
        <f>IF(OR($B96="",I96=""),"",IF($B96=1,--(I96=1),""))</f>
        <v/>
      </c>
      <c r="AK96" s="4">
        <f>IF(OR($B96="",I96=""),"",IF($B96=0,--(I96=0),""))</f>
        <v/>
      </c>
      <c r="AL96" s="4">
        <f>IF(I96="","",--(I96=1))</f>
        <v/>
      </c>
      <c r="AM96" s="4">
        <f>IF(OR($B96="",J96=""),"",--(J96=$B96))</f>
        <v/>
      </c>
      <c r="AN96" s="4">
        <f>IF(OR($B96="",J96=""),"",IF($B96=1,--(J96=1),""))</f>
        <v/>
      </c>
      <c r="AO96" s="4">
        <f>IF(OR($B96="",J96=""),"",IF($B96=0,--(J96=0),""))</f>
        <v/>
      </c>
      <c r="AP96" s="4">
        <f>IF(J96="","",--(J96=1))</f>
        <v/>
      </c>
      <c r="AQ96" s="4">
        <f>IF(OR($B96="",K96=""),"",--(K96=$B96))</f>
        <v/>
      </c>
      <c r="AR96" s="4">
        <f>IF(OR($B96="",K96=""),"",IF($B96=1,--(K96=1),""))</f>
        <v/>
      </c>
      <c r="AS96" s="4">
        <f>IF(OR($B96="",K96=""),"",IF($B96=0,--(K96=0),""))</f>
        <v/>
      </c>
      <c r="AT96" s="4">
        <f>IF(K96="","",--(K96=1))</f>
        <v/>
      </c>
      <c r="AU96" s="4">
        <f>IF(OR($B96="",L96=""),"",--(L96=$B96))</f>
        <v/>
      </c>
      <c r="AV96" s="4">
        <f>IF(OR($B96="",L96=""),"",IF($B96=1,--(L96=1),""))</f>
        <v/>
      </c>
      <c r="AW96" s="4">
        <f>IF(OR($B96="",L96=""),"",IF($B96=0,--(L96=0),""))</f>
        <v/>
      </c>
      <c r="AX96" s="4">
        <f>IF(L96="","",--(L96=1))</f>
        <v/>
      </c>
      <c r="AY96" s="4">
        <f>IF(OR($B96="",M96=""),"",--(M96=$B96))</f>
        <v/>
      </c>
      <c r="AZ96" s="4">
        <f>IF(OR($B96="",M96=""),"",IF($B96=1,--(M96=1),""))</f>
        <v/>
      </c>
      <c r="BA96" s="4">
        <f>IF(OR($B96="",M96=""),"",IF($B96=0,--(M96=0),""))</f>
        <v/>
      </c>
      <c r="BB96" s="4">
        <f>IF(M96="","",--(M96=1))</f>
        <v/>
      </c>
      <c r="BC96" s="4">
        <f>IF(OR($B96="",N96=""),"",--(N96=$B96))</f>
        <v/>
      </c>
      <c r="BD96" s="4">
        <f>IF(OR($B96="",N96=""),"",IF($B96=1,--(N96=1),""))</f>
        <v/>
      </c>
      <c r="BE96" s="4">
        <f>IF(OR($B96="",N96=""),"",IF($B96=0,--(N96=0),""))</f>
        <v/>
      </c>
      <c r="BF96" s="4">
        <f>IF(N96="","",--(N96=1))</f>
        <v/>
      </c>
    </row>
    <row r="97">
      <c r="A97" s="3" t="inlineStr">
        <is>
          <t>202023408</t>
        </is>
      </c>
      <c r="B97" s="3" t="inlineStr">
        <is>
          <t>0</t>
        </is>
      </c>
      <c r="C97" s="3" t="inlineStr">
        <is>
          <t>Direct</t>
        </is>
      </c>
      <c r="D97" s="3" t="inlineStr">
        <is>
          <t>0</t>
        </is>
      </c>
      <c r="E97" s="3" t="inlineStr">
        <is>
          <t>0</t>
        </is>
      </c>
      <c r="F97" s="3" t="inlineStr">
        <is>
          <t>0</t>
        </is>
      </c>
      <c r="G97" s="3" t="inlineStr">
        <is>
          <t>0</t>
        </is>
      </c>
      <c r="H97" s="3" t="inlineStr">
        <is>
          <t>0</t>
        </is>
      </c>
      <c r="I97" s="3" t="inlineStr">
        <is>
          <t>0</t>
        </is>
      </c>
      <c r="J97" s="3" t="inlineStr">
        <is>
          <t>0</t>
        </is>
      </c>
      <c r="K97" s="3" t="inlineStr">
        <is>
          <t>0</t>
        </is>
      </c>
      <c r="L97" s="3" t="inlineStr">
        <is>
          <t>1</t>
        </is>
      </c>
      <c r="M97" s="3" t="inlineStr">
        <is>
          <t>1</t>
        </is>
      </c>
      <c r="N97" s="3" t="inlineStr">
        <is>
          <t>1</t>
        </is>
      </c>
      <c r="O97" s="4">
        <f>IF(OR($B97="",D97=""),"",--(D97=$B97))</f>
        <v/>
      </c>
      <c r="P97" s="4">
        <f>IF(OR($B97="",D97=""),"",IF($B97=1,--(D97=1),""))</f>
        <v/>
      </c>
      <c r="Q97" s="4">
        <f>IF(OR($B97="",D97=""),"",IF($B97=0,--(D97=0),""))</f>
        <v/>
      </c>
      <c r="R97" s="4">
        <f>IF(D97="","",--(D97=1))</f>
        <v/>
      </c>
      <c r="S97" s="4">
        <f>IF(OR($B97="",E97=""),"",--(E97=$B97))</f>
        <v/>
      </c>
      <c r="T97" s="4">
        <f>IF(OR($B97="",E97=""),"",IF($B97=1,--(E97=1),""))</f>
        <v/>
      </c>
      <c r="U97" s="4">
        <f>IF(OR($B97="",E97=""),"",IF($B97=0,--(E97=0),""))</f>
        <v/>
      </c>
      <c r="V97" s="4">
        <f>IF(E97="","",--(E97=1))</f>
        <v/>
      </c>
      <c r="W97" s="4">
        <f>IF(OR($B97="",F97=""),"",--(F97=$B97))</f>
        <v/>
      </c>
      <c r="X97" s="4">
        <f>IF(OR($B97="",F97=""),"",IF($B97=1,--(F97=1),""))</f>
        <v/>
      </c>
      <c r="Y97" s="4">
        <f>IF(OR($B97="",F97=""),"",IF($B97=0,--(F97=0),""))</f>
        <v/>
      </c>
      <c r="Z97" s="4">
        <f>IF(F97="","",--(F97=1))</f>
        <v/>
      </c>
      <c r="AA97" s="4">
        <f>IF(OR($B97="",G97=""),"",--(G97=$B97))</f>
        <v/>
      </c>
      <c r="AB97" s="4">
        <f>IF(OR($B97="",G97=""),"",IF($B97=1,--(G97=1),""))</f>
        <v/>
      </c>
      <c r="AC97" s="4">
        <f>IF(OR($B97="",G97=""),"",IF($B97=0,--(G97=0),""))</f>
        <v/>
      </c>
      <c r="AD97" s="4">
        <f>IF(G97="","",--(G97=1))</f>
        <v/>
      </c>
      <c r="AE97" s="4">
        <f>IF(OR($B97="",H97=""),"",--(H97=$B97))</f>
        <v/>
      </c>
      <c r="AF97" s="4">
        <f>IF(OR($B97="",H97=""),"",IF($B97=1,--(H97=1),""))</f>
        <v/>
      </c>
      <c r="AG97" s="4">
        <f>IF(OR($B97="",H97=""),"",IF($B97=0,--(H97=0),""))</f>
        <v/>
      </c>
      <c r="AH97" s="4">
        <f>IF(H97="","",--(H97=1))</f>
        <v/>
      </c>
      <c r="AI97" s="4">
        <f>IF(OR($B97="",I97=""),"",--(I97=$B97))</f>
        <v/>
      </c>
      <c r="AJ97" s="4">
        <f>IF(OR($B97="",I97=""),"",IF($B97=1,--(I97=1),""))</f>
        <v/>
      </c>
      <c r="AK97" s="4">
        <f>IF(OR($B97="",I97=""),"",IF($B97=0,--(I97=0),""))</f>
        <v/>
      </c>
      <c r="AL97" s="4">
        <f>IF(I97="","",--(I97=1))</f>
        <v/>
      </c>
      <c r="AM97" s="4">
        <f>IF(OR($B97="",J97=""),"",--(J97=$B97))</f>
        <v/>
      </c>
      <c r="AN97" s="4">
        <f>IF(OR($B97="",J97=""),"",IF($B97=1,--(J97=1),""))</f>
        <v/>
      </c>
      <c r="AO97" s="4">
        <f>IF(OR($B97="",J97=""),"",IF($B97=0,--(J97=0),""))</f>
        <v/>
      </c>
      <c r="AP97" s="4">
        <f>IF(J97="","",--(J97=1))</f>
        <v/>
      </c>
      <c r="AQ97" s="4">
        <f>IF(OR($B97="",K97=""),"",--(K97=$B97))</f>
        <v/>
      </c>
      <c r="AR97" s="4">
        <f>IF(OR($B97="",K97=""),"",IF($B97=1,--(K97=1),""))</f>
        <v/>
      </c>
      <c r="AS97" s="4">
        <f>IF(OR($B97="",K97=""),"",IF($B97=0,--(K97=0),""))</f>
        <v/>
      </c>
      <c r="AT97" s="4">
        <f>IF(K97="","",--(K97=1))</f>
        <v/>
      </c>
      <c r="AU97" s="4">
        <f>IF(OR($B97="",L97=""),"",--(L97=$B97))</f>
        <v/>
      </c>
      <c r="AV97" s="4">
        <f>IF(OR($B97="",L97=""),"",IF($B97=1,--(L97=1),""))</f>
        <v/>
      </c>
      <c r="AW97" s="4">
        <f>IF(OR($B97="",L97=""),"",IF($B97=0,--(L97=0),""))</f>
        <v/>
      </c>
      <c r="AX97" s="4">
        <f>IF(L97="","",--(L97=1))</f>
        <v/>
      </c>
      <c r="AY97" s="4">
        <f>IF(OR($B97="",M97=""),"",--(M97=$B97))</f>
        <v/>
      </c>
      <c r="AZ97" s="4">
        <f>IF(OR($B97="",M97=""),"",IF($B97=1,--(M97=1),""))</f>
        <v/>
      </c>
      <c r="BA97" s="4">
        <f>IF(OR($B97="",M97=""),"",IF($B97=0,--(M97=0),""))</f>
        <v/>
      </c>
      <c r="BB97" s="4">
        <f>IF(M97="","",--(M97=1))</f>
        <v/>
      </c>
      <c r="BC97" s="4">
        <f>IF(OR($B97="",N97=""),"",--(N97=$B97))</f>
        <v/>
      </c>
      <c r="BD97" s="4">
        <f>IF(OR($B97="",N97=""),"",IF($B97=1,--(N97=1),""))</f>
        <v/>
      </c>
      <c r="BE97" s="4">
        <f>IF(OR($B97="",N97=""),"",IF($B97=0,--(N97=0),""))</f>
        <v/>
      </c>
      <c r="BF97" s="4">
        <f>IF(N97="","",--(N97=1))</f>
        <v/>
      </c>
    </row>
    <row r="98">
      <c r="A98" s="3" t="inlineStr">
        <is>
          <t>202023790</t>
        </is>
      </c>
      <c r="B98" s="3" t="inlineStr">
        <is>
          <t>1</t>
        </is>
      </c>
      <c r="C98" s="3" t="inlineStr">
        <is>
          <t>RQ</t>
        </is>
      </c>
      <c r="D98" s="3" t="inlineStr">
        <is>
          <t>0</t>
        </is>
      </c>
      <c r="E98" s="3" t="inlineStr">
        <is>
          <t>0</t>
        </is>
      </c>
      <c r="F98" s="3" t="inlineStr">
        <is>
          <t>0</t>
        </is>
      </c>
      <c r="G98" s="3" t="inlineStr">
        <is>
          <t>0</t>
        </is>
      </c>
      <c r="H98" s="3" t="inlineStr">
        <is>
          <t>0</t>
        </is>
      </c>
      <c r="I98" s="3" t="inlineStr">
        <is>
          <t>0</t>
        </is>
      </c>
      <c r="J98" s="3" t="inlineStr">
        <is>
          <t>0</t>
        </is>
      </c>
      <c r="K98" s="3" t="inlineStr">
        <is>
          <t>0</t>
        </is>
      </c>
      <c r="L98" s="3" t="inlineStr">
        <is>
          <t>0</t>
        </is>
      </c>
      <c r="M98" s="3" t="inlineStr">
        <is>
          <t>0</t>
        </is>
      </c>
      <c r="N98" s="3" t="inlineStr">
        <is>
          <t>0</t>
        </is>
      </c>
      <c r="O98" s="4">
        <f>IF(OR($B98="",D98=""),"",--(D98=$B98))</f>
        <v/>
      </c>
      <c r="P98" s="4">
        <f>IF(OR($B98="",D98=""),"",IF($B98=1,--(D98=1),""))</f>
        <v/>
      </c>
      <c r="Q98" s="4">
        <f>IF(OR($B98="",D98=""),"",IF($B98=0,--(D98=0),""))</f>
        <v/>
      </c>
      <c r="R98" s="4">
        <f>IF(D98="","",--(D98=1))</f>
        <v/>
      </c>
      <c r="S98" s="4">
        <f>IF(OR($B98="",E98=""),"",--(E98=$B98))</f>
        <v/>
      </c>
      <c r="T98" s="4">
        <f>IF(OR($B98="",E98=""),"",IF($B98=1,--(E98=1),""))</f>
        <v/>
      </c>
      <c r="U98" s="4">
        <f>IF(OR($B98="",E98=""),"",IF($B98=0,--(E98=0),""))</f>
        <v/>
      </c>
      <c r="V98" s="4">
        <f>IF(E98="","",--(E98=1))</f>
        <v/>
      </c>
      <c r="W98" s="4">
        <f>IF(OR($B98="",F98=""),"",--(F98=$B98))</f>
        <v/>
      </c>
      <c r="X98" s="4">
        <f>IF(OR($B98="",F98=""),"",IF($B98=1,--(F98=1),""))</f>
        <v/>
      </c>
      <c r="Y98" s="4">
        <f>IF(OR($B98="",F98=""),"",IF($B98=0,--(F98=0),""))</f>
        <v/>
      </c>
      <c r="Z98" s="4">
        <f>IF(F98="","",--(F98=1))</f>
        <v/>
      </c>
      <c r="AA98" s="4">
        <f>IF(OR($B98="",G98=""),"",--(G98=$B98))</f>
        <v/>
      </c>
      <c r="AB98" s="4">
        <f>IF(OR($B98="",G98=""),"",IF($B98=1,--(G98=1),""))</f>
        <v/>
      </c>
      <c r="AC98" s="4">
        <f>IF(OR($B98="",G98=""),"",IF($B98=0,--(G98=0),""))</f>
        <v/>
      </c>
      <c r="AD98" s="4">
        <f>IF(G98="","",--(G98=1))</f>
        <v/>
      </c>
      <c r="AE98" s="4">
        <f>IF(OR($B98="",H98=""),"",--(H98=$B98))</f>
        <v/>
      </c>
      <c r="AF98" s="4">
        <f>IF(OR($B98="",H98=""),"",IF($B98=1,--(H98=1),""))</f>
        <v/>
      </c>
      <c r="AG98" s="4">
        <f>IF(OR($B98="",H98=""),"",IF($B98=0,--(H98=0),""))</f>
        <v/>
      </c>
      <c r="AH98" s="4">
        <f>IF(H98="","",--(H98=1))</f>
        <v/>
      </c>
      <c r="AI98" s="4">
        <f>IF(OR($B98="",I98=""),"",--(I98=$B98))</f>
        <v/>
      </c>
      <c r="AJ98" s="4">
        <f>IF(OR($B98="",I98=""),"",IF($B98=1,--(I98=1),""))</f>
        <v/>
      </c>
      <c r="AK98" s="4">
        <f>IF(OR($B98="",I98=""),"",IF($B98=0,--(I98=0),""))</f>
        <v/>
      </c>
      <c r="AL98" s="4">
        <f>IF(I98="","",--(I98=1))</f>
        <v/>
      </c>
      <c r="AM98" s="4">
        <f>IF(OR($B98="",J98=""),"",--(J98=$B98))</f>
        <v/>
      </c>
      <c r="AN98" s="4">
        <f>IF(OR($B98="",J98=""),"",IF($B98=1,--(J98=1),""))</f>
        <v/>
      </c>
      <c r="AO98" s="4">
        <f>IF(OR($B98="",J98=""),"",IF($B98=0,--(J98=0),""))</f>
        <v/>
      </c>
      <c r="AP98" s="4">
        <f>IF(J98="","",--(J98=1))</f>
        <v/>
      </c>
      <c r="AQ98" s="4">
        <f>IF(OR($B98="",K98=""),"",--(K98=$B98))</f>
        <v/>
      </c>
      <c r="AR98" s="4">
        <f>IF(OR($B98="",K98=""),"",IF($B98=1,--(K98=1),""))</f>
        <v/>
      </c>
      <c r="AS98" s="4">
        <f>IF(OR($B98="",K98=""),"",IF($B98=0,--(K98=0),""))</f>
        <v/>
      </c>
      <c r="AT98" s="4">
        <f>IF(K98="","",--(K98=1))</f>
        <v/>
      </c>
      <c r="AU98" s="4">
        <f>IF(OR($B98="",L98=""),"",--(L98=$B98))</f>
        <v/>
      </c>
      <c r="AV98" s="4">
        <f>IF(OR($B98="",L98=""),"",IF($B98=1,--(L98=1),""))</f>
        <v/>
      </c>
      <c r="AW98" s="4">
        <f>IF(OR($B98="",L98=""),"",IF($B98=0,--(L98=0),""))</f>
        <v/>
      </c>
      <c r="AX98" s="4">
        <f>IF(L98="","",--(L98=1))</f>
        <v/>
      </c>
      <c r="AY98" s="4">
        <f>IF(OR($B98="",M98=""),"",--(M98=$B98))</f>
        <v/>
      </c>
      <c r="AZ98" s="4">
        <f>IF(OR($B98="",M98=""),"",IF($B98=1,--(M98=1),""))</f>
        <v/>
      </c>
      <c r="BA98" s="4">
        <f>IF(OR($B98="",M98=""),"",IF($B98=0,--(M98=0),""))</f>
        <v/>
      </c>
      <c r="BB98" s="4">
        <f>IF(M98="","",--(M98=1))</f>
        <v/>
      </c>
      <c r="BC98" s="4">
        <f>IF(OR($B98="",N98=""),"",--(N98=$B98))</f>
        <v/>
      </c>
      <c r="BD98" s="4">
        <f>IF(OR($B98="",N98=""),"",IF($B98=1,--(N98=1),""))</f>
        <v/>
      </c>
      <c r="BE98" s="4">
        <f>IF(OR($B98="",N98=""),"",IF($B98=0,--(N98=0),""))</f>
        <v/>
      </c>
      <c r="BF98" s="4">
        <f>IF(N98="","",--(N98=1))</f>
        <v/>
      </c>
    </row>
    <row r="99">
      <c r="A99" s="3" t="inlineStr">
        <is>
          <t>202023928</t>
        </is>
      </c>
      <c r="B99" s="3" t="inlineStr">
        <is>
          <t>0</t>
        </is>
      </c>
      <c r="C99" s="3" t="inlineStr">
        <is>
          <t>Direct</t>
        </is>
      </c>
      <c r="D99" s="3" t="inlineStr">
        <is>
          <t>1</t>
        </is>
      </c>
      <c r="E99" s="3" t="inlineStr">
        <is>
          <t>0</t>
        </is>
      </c>
      <c r="F99" s="3" t="inlineStr">
        <is>
          <t>1</t>
        </is>
      </c>
      <c r="G99" s="3" t="inlineStr">
        <is>
          <t>1</t>
        </is>
      </c>
      <c r="H99" s="3" t="inlineStr">
        <is>
          <t>1</t>
        </is>
      </c>
      <c r="I99" s="3" t="inlineStr">
        <is>
          <t>1</t>
        </is>
      </c>
      <c r="J99" s="3" t="inlineStr">
        <is>
          <t>1</t>
        </is>
      </c>
      <c r="K99" s="3" t="inlineStr">
        <is>
          <t>1</t>
        </is>
      </c>
      <c r="L99" s="3" t="inlineStr">
        <is>
          <t>0</t>
        </is>
      </c>
      <c r="M99" s="3" t="inlineStr">
        <is>
          <t>1</t>
        </is>
      </c>
      <c r="N99" s="3" t="inlineStr">
        <is>
          <t>1</t>
        </is>
      </c>
      <c r="O99" s="4">
        <f>IF(OR($B99="",D99=""),"",--(D99=$B99))</f>
        <v/>
      </c>
      <c r="P99" s="4">
        <f>IF(OR($B99="",D99=""),"",IF($B99=1,--(D99=1),""))</f>
        <v/>
      </c>
      <c r="Q99" s="4">
        <f>IF(OR($B99="",D99=""),"",IF($B99=0,--(D99=0),""))</f>
        <v/>
      </c>
      <c r="R99" s="4">
        <f>IF(D99="","",--(D99=1))</f>
        <v/>
      </c>
      <c r="S99" s="4">
        <f>IF(OR($B99="",E99=""),"",--(E99=$B99))</f>
        <v/>
      </c>
      <c r="T99" s="4">
        <f>IF(OR($B99="",E99=""),"",IF($B99=1,--(E99=1),""))</f>
        <v/>
      </c>
      <c r="U99" s="4">
        <f>IF(OR($B99="",E99=""),"",IF($B99=0,--(E99=0),""))</f>
        <v/>
      </c>
      <c r="V99" s="4">
        <f>IF(E99="","",--(E99=1))</f>
        <v/>
      </c>
      <c r="W99" s="4">
        <f>IF(OR($B99="",F99=""),"",--(F99=$B99))</f>
        <v/>
      </c>
      <c r="X99" s="4">
        <f>IF(OR($B99="",F99=""),"",IF($B99=1,--(F99=1),""))</f>
        <v/>
      </c>
      <c r="Y99" s="4">
        <f>IF(OR($B99="",F99=""),"",IF($B99=0,--(F99=0),""))</f>
        <v/>
      </c>
      <c r="Z99" s="4">
        <f>IF(F99="","",--(F99=1))</f>
        <v/>
      </c>
      <c r="AA99" s="4">
        <f>IF(OR($B99="",G99=""),"",--(G99=$B99))</f>
        <v/>
      </c>
      <c r="AB99" s="4">
        <f>IF(OR($B99="",G99=""),"",IF($B99=1,--(G99=1),""))</f>
        <v/>
      </c>
      <c r="AC99" s="4">
        <f>IF(OR($B99="",G99=""),"",IF($B99=0,--(G99=0),""))</f>
        <v/>
      </c>
      <c r="AD99" s="4">
        <f>IF(G99="","",--(G99=1))</f>
        <v/>
      </c>
      <c r="AE99" s="4">
        <f>IF(OR($B99="",H99=""),"",--(H99=$B99))</f>
        <v/>
      </c>
      <c r="AF99" s="4">
        <f>IF(OR($B99="",H99=""),"",IF($B99=1,--(H99=1),""))</f>
        <v/>
      </c>
      <c r="AG99" s="4">
        <f>IF(OR($B99="",H99=""),"",IF($B99=0,--(H99=0),""))</f>
        <v/>
      </c>
      <c r="AH99" s="4">
        <f>IF(H99="","",--(H99=1))</f>
        <v/>
      </c>
      <c r="AI99" s="4">
        <f>IF(OR($B99="",I99=""),"",--(I99=$B99))</f>
        <v/>
      </c>
      <c r="AJ99" s="4">
        <f>IF(OR($B99="",I99=""),"",IF($B99=1,--(I99=1),""))</f>
        <v/>
      </c>
      <c r="AK99" s="4">
        <f>IF(OR($B99="",I99=""),"",IF($B99=0,--(I99=0),""))</f>
        <v/>
      </c>
      <c r="AL99" s="4">
        <f>IF(I99="","",--(I99=1))</f>
        <v/>
      </c>
      <c r="AM99" s="4">
        <f>IF(OR($B99="",J99=""),"",--(J99=$B99))</f>
        <v/>
      </c>
      <c r="AN99" s="4">
        <f>IF(OR($B99="",J99=""),"",IF($B99=1,--(J99=1),""))</f>
        <v/>
      </c>
      <c r="AO99" s="4">
        <f>IF(OR($B99="",J99=""),"",IF($B99=0,--(J99=0),""))</f>
        <v/>
      </c>
      <c r="AP99" s="4">
        <f>IF(J99="","",--(J99=1))</f>
        <v/>
      </c>
      <c r="AQ99" s="4">
        <f>IF(OR($B99="",K99=""),"",--(K99=$B99))</f>
        <v/>
      </c>
      <c r="AR99" s="4">
        <f>IF(OR($B99="",K99=""),"",IF($B99=1,--(K99=1),""))</f>
        <v/>
      </c>
      <c r="AS99" s="4">
        <f>IF(OR($B99="",K99=""),"",IF($B99=0,--(K99=0),""))</f>
        <v/>
      </c>
      <c r="AT99" s="4">
        <f>IF(K99="","",--(K99=1))</f>
        <v/>
      </c>
      <c r="AU99" s="4">
        <f>IF(OR($B99="",L99=""),"",--(L99=$B99))</f>
        <v/>
      </c>
      <c r="AV99" s="4">
        <f>IF(OR($B99="",L99=""),"",IF($B99=1,--(L99=1),""))</f>
        <v/>
      </c>
      <c r="AW99" s="4">
        <f>IF(OR($B99="",L99=""),"",IF($B99=0,--(L99=0),""))</f>
        <v/>
      </c>
      <c r="AX99" s="4">
        <f>IF(L99="","",--(L99=1))</f>
        <v/>
      </c>
      <c r="AY99" s="4">
        <f>IF(OR($B99="",M99=""),"",--(M99=$B99))</f>
        <v/>
      </c>
      <c r="AZ99" s="4">
        <f>IF(OR($B99="",M99=""),"",IF($B99=1,--(M99=1),""))</f>
        <v/>
      </c>
      <c r="BA99" s="4">
        <f>IF(OR($B99="",M99=""),"",IF($B99=0,--(M99=0),""))</f>
        <v/>
      </c>
      <c r="BB99" s="4">
        <f>IF(M99="","",--(M99=1))</f>
        <v/>
      </c>
      <c r="BC99" s="4">
        <f>IF(OR($B99="",N99=""),"",--(N99=$B99))</f>
        <v/>
      </c>
      <c r="BD99" s="4">
        <f>IF(OR($B99="",N99=""),"",IF($B99=1,--(N99=1),""))</f>
        <v/>
      </c>
      <c r="BE99" s="4">
        <f>IF(OR($B99="",N99=""),"",IF($B99=0,--(N99=0),""))</f>
        <v/>
      </c>
      <c r="BF99" s="4">
        <f>IF(N99="","",--(N99=1))</f>
        <v/>
      </c>
    </row>
    <row r="100">
      <c r="A100" s="3" t="inlineStr">
        <is>
          <t>202023944</t>
        </is>
      </c>
      <c r="B100" s="3" t="inlineStr">
        <is>
          <t>1</t>
        </is>
      </c>
      <c r="C100" s="3" t="inlineStr">
        <is>
          <t>Direct</t>
        </is>
      </c>
      <c r="D100" s="3" t="inlineStr">
        <is>
          <t>1</t>
        </is>
      </c>
      <c r="E100" s="3" t="inlineStr">
        <is>
          <t>1</t>
        </is>
      </c>
      <c r="F100" s="3" t="inlineStr">
        <is>
          <t>1</t>
        </is>
      </c>
      <c r="G100" s="3" t="inlineStr">
        <is>
          <t>1</t>
        </is>
      </c>
      <c r="H100" s="3" t="inlineStr">
        <is>
          <t>1</t>
        </is>
      </c>
      <c r="I100" s="3" t="inlineStr">
        <is>
          <t>1</t>
        </is>
      </c>
      <c r="J100" s="3" t="inlineStr">
        <is>
          <t>1</t>
        </is>
      </c>
      <c r="K100" s="3" t="inlineStr">
        <is>
          <t>1</t>
        </is>
      </c>
      <c r="L100" s="3" t="inlineStr">
        <is>
          <t>1</t>
        </is>
      </c>
      <c r="M100" s="3" t="inlineStr">
        <is>
          <t>1</t>
        </is>
      </c>
      <c r="N100" s="3" t="inlineStr">
        <is>
          <t>1</t>
        </is>
      </c>
      <c r="O100" s="4">
        <f>IF(OR($B100="",D100=""),"",--(D100=$B100))</f>
        <v/>
      </c>
      <c r="P100" s="4">
        <f>IF(OR($B100="",D100=""),"",IF($B100=1,--(D100=1),""))</f>
        <v/>
      </c>
      <c r="Q100" s="4">
        <f>IF(OR($B100="",D100=""),"",IF($B100=0,--(D100=0),""))</f>
        <v/>
      </c>
      <c r="R100" s="4">
        <f>IF(D100="","",--(D100=1))</f>
        <v/>
      </c>
      <c r="S100" s="4">
        <f>IF(OR($B100="",E100=""),"",--(E100=$B100))</f>
        <v/>
      </c>
      <c r="T100" s="4">
        <f>IF(OR($B100="",E100=""),"",IF($B100=1,--(E100=1),""))</f>
        <v/>
      </c>
      <c r="U100" s="4">
        <f>IF(OR($B100="",E100=""),"",IF($B100=0,--(E100=0),""))</f>
        <v/>
      </c>
      <c r="V100" s="4">
        <f>IF(E100="","",--(E100=1))</f>
        <v/>
      </c>
      <c r="W100" s="4">
        <f>IF(OR($B100="",F100=""),"",--(F100=$B100))</f>
        <v/>
      </c>
      <c r="X100" s="4">
        <f>IF(OR($B100="",F100=""),"",IF($B100=1,--(F100=1),""))</f>
        <v/>
      </c>
      <c r="Y100" s="4">
        <f>IF(OR($B100="",F100=""),"",IF($B100=0,--(F100=0),""))</f>
        <v/>
      </c>
      <c r="Z100" s="4">
        <f>IF(F100="","",--(F100=1))</f>
        <v/>
      </c>
      <c r="AA100" s="4">
        <f>IF(OR($B100="",G100=""),"",--(G100=$B100))</f>
        <v/>
      </c>
      <c r="AB100" s="4">
        <f>IF(OR($B100="",G100=""),"",IF($B100=1,--(G100=1),""))</f>
        <v/>
      </c>
      <c r="AC100" s="4">
        <f>IF(OR($B100="",G100=""),"",IF($B100=0,--(G100=0),""))</f>
        <v/>
      </c>
      <c r="AD100" s="4">
        <f>IF(G100="","",--(G100=1))</f>
        <v/>
      </c>
      <c r="AE100" s="4">
        <f>IF(OR($B100="",H100=""),"",--(H100=$B100))</f>
        <v/>
      </c>
      <c r="AF100" s="4">
        <f>IF(OR($B100="",H100=""),"",IF($B100=1,--(H100=1),""))</f>
        <v/>
      </c>
      <c r="AG100" s="4">
        <f>IF(OR($B100="",H100=""),"",IF($B100=0,--(H100=0),""))</f>
        <v/>
      </c>
      <c r="AH100" s="4">
        <f>IF(H100="","",--(H100=1))</f>
        <v/>
      </c>
      <c r="AI100" s="4">
        <f>IF(OR($B100="",I100=""),"",--(I100=$B100))</f>
        <v/>
      </c>
      <c r="AJ100" s="4">
        <f>IF(OR($B100="",I100=""),"",IF($B100=1,--(I100=1),""))</f>
        <v/>
      </c>
      <c r="AK100" s="4">
        <f>IF(OR($B100="",I100=""),"",IF($B100=0,--(I100=0),""))</f>
        <v/>
      </c>
      <c r="AL100" s="4">
        <f>IF(I100="","",--(I100=1))</f>
        <v/>
      </c>
      <c r="AM100" s="4">
        <f>IF(OR($B100="",J100=""),"",--(J100=$B100))</f>
        <v/>
      </c>
      <c r="AN100" s="4">
        <f>IF(OR($B100="",J100=""),"",IF($B100=1,--(J100=1),""))</f>
        <v/>
      </c>
      <c r="AO100" s="4">
        <f>IF(OR($B100="",J100=""),"",IF($B100=0,--(J100=0),""))</f>
        <v/>
      </c>
      <c r="AP100" s="4">
        <f>IF(J100="","",--(J100=1))</f>
        <v/>
      </c>
      <c r="AQ100" s="4">
        <f>IF(OR($B100="",K100=""),"",--(K100=$B100))</f>
        <v/>
      </c>
      <c r="AR100" s="4">
        <f>IF(OR($B100="",K100=""),"",IF($B100=1,--(K100=1),""))</f>
        <v/>
      </c>
      <c r="AS100" s="4">
        <f>IF(OR($B100="",K100=""),"",IF($B100=0,--(K100=0),""))</f>
        <v/>
      </c>
      <c r="AT100" s="4">
        <f>IF(K100="","",--(K100=1))</f>
        <v/>
      </c>
      <c r="AU100" s="4">
        <f>IF(OR($B100="",L100=""),"",--(L100=$B100))</f>
        <v/>
      </c>
      <c r="AV100" s="4">
        <f>IF(OR($B100="",L100=""),"",IF($B100=1,--(L100=1),""))</f>
        <v/>
      </c>
      <c r="AW100" s="4">
        <f>IF(OR($B100="",L100=""),"",IF($B100=0,--(L100=0),""))</f>
        <v/>
      </c>
      <c r="AX100" s="4">
        <f>IF(L100="","",--(L100=1))</f>
        <v/>
      </c>
      <c r="AY100" s="4">
        <f>IF(OR($B100="",M100=""),"",--(M100=$B100))</f>
        <v/>
      </c>
      <c r="AZ100" s="4">
        <f>IF(OR($B100="",M100=""),"",IF($B100=1,--(M100=1),""))</f>
        <v/>
      </c>
      <c r="BA100" s="4">
        <f>IF(OR($B100="",M100=""),"",IF($B100=0,--(M100=0),""))</f>
        <v/>
      </c>
      <c r="BB100" s="4">
        <f>IF(M100="","",--(M100=1))</f>
        <v/>
      </c>
      <c r="BC100" s="4">
        <f>IF(OR($B100="",N100=""),"",--(N100=$B100))</f>
        <v/>
      </c>
      <c r="BD100" s="4">
        <f>IF(OR($B100="",N100=""),"",IF($B100=1,--(N100=1),""))</f>
        <v/>
      </c>
      <c r="BE100" s="4">
        <f>IF(OR($B100="",N100=""),"",IF($B100=0,--(N100=0),""))</f>
        <v/>
      </c>
      <c r="BF100" s="4">
        <f>IF(N100="","",--(N100=1))</f>
        <v/>
      </c>
    </row>
    <row r="101">
      <c r="A101" s="3" t="inlineStr">
        <is>
          <t>202023972</t>
        </is>
      </c>
      <c r="B101" s="3" t="inlineStr">
        <is>
          <t>1</t>
        </is>
      </c>
      <c r="C101" s="3" t="inlineStr">
        <is>
          <t>Direct</t>
        </is>
      </c>
      <c r="D101" s="3" t="inlineStr">
        <is>
          <t>1</t>
        </is>
      </c>
      <c r="E101" s="3" t="inlineStr">
        <is>
          <t>1</t>
        </is>
      </c>
      <c r="F101" s="3" t="inlineStr">
        <is>
          <t>1</t>
        </is>
      </c>
      <c r="G101" s="3" t="inlineStr">
        <is>
          <t>0</t>
        </is>
      </c>
      <c r="H101" s="3" t="inlineStr">
        <is>
          <t>0</t>
        </is>
      </c>
      <c r="I101" s="3" t="inlineStr">
        <is>
          <t>1</t>
        </is>
      </c>
      <c r="J101" s="3" t="inlineStr">
        <is>
          <t>1</t>
        </is>
      </c>
      <c r="K101" s="3" t="inlineStr">
        <is>
          <t>1</t>
        </is>
      </c>
      <c r="L101" s="3" t="inlineStr">
        <is>
          <t>1</t>
        </is>
      </c>
      <c r="M101" s="3" t="inlineStr">
        <is>
          <t>1</t>
        </is>
      </c>
      <c r="N101" s="3" t="inlineStr">
        <is>
          <t>1</t>
        </is>
      </c>
      <c r="O101" s="4">
        <f>IF(OR($B101="",D101=""),"",--(D101=$B101))</f>
        <v/>
      </c>
      <c r="P101" s="4">
        <f>IF(OR($B101="",D101=""),"",IF($B101=1,--(D101=1),""))</f>
        <v/>
      </c>
      <c r="Q101" s="4">
        <f>IF(OR($B101="",D101=""),"",IF($B101=0,--(D101=0),""))</f>
        <v/>
      </c>
      <c r="R101" s="4">
        <f>IF(D101="","",--(D101=1))</f>
        <v/>
      </c>
      <c r="S101" s="4">
        <f>IF(OR($B101="",E101=""),"",--(E101=$B101))</f>
        <v/>
      </c>
      <c r="T101" s="4">
        <f>IF(OR($B101="",E101=""),"",IF($B101=1,--(E101=1),""))</f>
        <v/>
      </c>
      <c r="U101" s="4">
        <f>IF(OR($B101="",E101=""),"",IF($B101=0,--(E101=0),""))</f>
        <v/>
      </c>
      <c r="V101" s="4">
        <f>IF(E101="","",--(E101=1))</f>
        <v/>
      </c>
      <c r="W101" s="4">
        <f>IF(OR($B101="",F101=""),"",--(F101=$B101))</f>
        <v/>
      </c>
      <c r="X101" s="4">
        <f>IF(OR($B101="",F101=""),"",IF($B101=1,--(F101=1),""))</f>
        <v/>
      </c>
      <c r="Y101" s="4">
        <f>IF(OR($B101="",F101=""),"",IF($B101=0,--(F101=0),""))</f>
        <v/>
      </c>
      <c r="Z101" s="4">
        <f>IF(F101="","",--(F101=1))</f>
        <v/>
      </c>
      <c r="AA101" s="4">
        <f>IF(OR($B101="",G101=""),"",--(G101=$B101))</f>
        <v/>
      </c>
      <c r="AB101" s="4">
        <f>IF(OR($B101="",G101=""),"",IF($B101=1,--(G101=1),""))</f>
        <v/>
      </c>
      <c r="AC101" s="4">
        <f>IF(OR($B101="",G101=""),"",IF($B101=0,--(G101=0),""))</f>
        <v/>
      </c>
      <c r="AD101" s="4">
        <f>IF(G101="","",--(G101=1))</f>
        <v/>
      </c>
      <c r="AE101" s="4">
        <f>IF(OR($B101="",H101=""),"",--(H101=$B101))</f>
        <v/>
      </c>
      <c r="AF101" s="4">
        <f>IF(OR($B101="",H101=""),"",IF($B101=1,--(H101=1),""))</f>
        <v/>
      </c>
      <c r="AG101" s="4">
        <f>IF(OR($B101="",H101=""),"",IF($B101=0,--(H101=0),""))</f>
        <v/>
      </c>
      <c r="AH101" s="4">
        <f>IF(H101="","",--(H101=1))</f>
        <v/>
      </c>
      <c r="AI101" s="4">
        <f>IF(OR($B101="",I101=""),"",--(I101=$B101))</f>
        <v/>
      </c>
      <c r="AJ101" s="4">
        <f>IF(OR($B101="",I101=""),"",IF($B101=1,--(I101=1),""))</f>
        <v/>
      </c>
      <c r="AK101" s="4">
        <f>IF(OR($B101="",I101=""),"",IF($B101=0,--(I101=0),""))</f>
        <v/>
      </c>
      <c r="AL101" s="4">
        <f>IF(I101="","",--(I101=1))</f>
        <v/>
      </c>
      <c r="AM101" s="4">
        <f>IF(OR($B101="",J101=""),"",--(J101=$B101))</f>
        <v/>
      </c>
      <c r="AN101" s="4">
        <f>IF(OR($B101="",J101=""),"",IF($B101=1,--(J101=1),""))</f>
        <v/>
      </c>
      <c r="AO101" s="4">
        <f>IF(OR($B101="",J101=""),"",IF($B101=0,--(J101=0),""))</f>
        <v/>
      </c>
      <c r="AP101" s="4">
        <f>IF(J101="","",--(J101=1))</f>
        <v/>
      </c>
      <c r="AQ101" s="4">
        <f>IF(OR($B101="",K101=""),"",--(K101=$B101))</f>
        <v/>
      </c>
      <c r="AR101" s="4">
        <f>IF(OR($B101="",K101=""),"",IF($B101=1,--(K101=1),""))</f>
        <v/>
      </c>
      <c r="AS101" s="4">
        <f>IF(OR($B101="",K101=""),"",IF($B101=0,--(K101=0),""))</f>
        <v/>
      </c>
      <c r="AT101" s="4">
        <f>IF(K101="","",--(K101=1))</f>
        <v/>
      </c>
      <c r="AU101" s="4">
        <f>IF(OR($B101="",L101=""),"",--(L101=$B101))</f>
        <v/>
      </c>
      <c r="AV101" s="4">
        <f>IF(OR($B101="",L101=""),"",IF($B101=1,--(L101=1),""))</f>
        <v/>
      </c>
      <c r="AW101" s="4">
        <f>IF(OR($B101="",L101=""),"",IF($B101=0,--(L101=0),""))</f>
        <v/>
      </c>
      <c r="AX101" s="4">
        <f>IF(L101="","",--(L101=1))</f>
        <v/>
      </c>
      <c r="AY101" s="4">
        <f>IF(OR($B101="",M101=""),"",--(M101=$B101))</f>
        <v/>
      </c>
      <c r="AZ101" s="4">
        <f>IF(OR($B101="",M101=""),"",IF($B101=1,--(M101=1),""))</f>
        <v/>
      </c>
      <c r="BA101" s="4">
        <f>IF(OR($B101="",M101=""),"",IF($B101=0,--(M101=0),""))</f>
        <v/>
      </c>
      <c r="BB101" s="4">
        <f>IF(M101="","",--(M101=1))</f>
        <v/>
      </c>
      <c r="BC101" s="4">
        <f>IF(OR($B101="",N101=""),"",--(N101=$B101))</f>
        <v/>
      </c>
      <c r="BD101" s="4">
        <f>IF(OR($B101="",N101=""),"",IF($B101=1,--(N101=1),""))</f>
        <v/>
      </c>
      <c r="BE101" s="4">
        <f>IF(OR($B101="",N101=""),"",IF($B101=0,--(N101=0),""))</f>
        <v/>
      </c>
      <c r="BF101" s="4">
        <f>IF(N101="","",--(N101=1))</f>
        <v/>
      </c>
    </row>
    <row r="102">
      <c r="A102" s="3" t="inlineStr">
        <is>
          <t>202024134</t>
        </is>
      </c>
      <c r="B102" s="3" t="inlineStr">
        <is>
          <t>1</t>
        </is>
      </c>
      <c r="C102" s="3" t="inlineStr">
        <is>
          <t>Direct</t>
        </is>
      </c>
      <c r="D102" s="3" t="inlineStr">
        <is>
          <t>1</t>
        </is>
      </c>
      <c r="E102" s="3" t="inlineStr">
        <is>
          <t>0</t>
        </is>
      </c>
      <c r="F102" s="3" t="inlineStr">
        <is>
          <t>1</t>
        </is>
      </c>
      <c r="G102" s="3" t="inlineStr">
        <is>
          <t>0</t>
        </is>
      </c>
      <c r="H102" s="3" t="inlineStr">
        <is>
          <t>0</t>
        </is>
      </c>
      <c r="I102" s="3" t="inlineStr">
        <is>
          <t>1</t>
        </is>
      </c>
      <c r="J102" s="3" t="inlineStr">
        <is>
          <t>1</t>
        </is>
      </c>
      <c r="K102" s="3" t="inlineStr">
        <is>
          <t>1</t>
        </is>
      </c>
      <c r="L102" s="3" t="inlineStr">
        <is>
          <t>1</t>
        </is>
      </c>
      <c r="M102" s="3" t="inlineStr">
        <is>
          <t>1</t>
        </is>
      </c>
      <c r="N102" s="3" t="inlineStr">
        <is>
          <t>1</t>
        </is>
      </c>
      <c r="O102" s="4">
        <f>IF(OR($B102="",D102=""),"",--(D102=$B102))</f>
        <v/>
      </c>
      <c r="P102" s="4">
        <f>IF(OR($B102="",D102=""),"",IF($B102=1,--(D102=1),""))</f>
        <v/>
      </c>
      <c r="Q102" s="4">
        <f>IF(OR($B102="",D102=""),"",IF($B102=0,--(D102=0),""))</f>
        <v/>
      </c>
      <c r="R102" s="4">
        <f>IF(D102="","",--(D102=1))</f>
        <v/>
      </c>
      <c r="S102" s="4">
        <f>IF(OR($B102="",E102=""),"",--(E102=$B102))</f>
        <v/>
      </c>
      <c r="T102" s="4">
        <f>IF(OR($B102="",E102=""),"",IF($B102=1,--(E102=1),""))</f>
        <v/>
      </c>
      <c r="U102" s="4">
        <f>IF(OR($B102="",E102=""),"",IF($B102=0,--(E102=0),""))</f>
        <v/>
      </c>
      <c r="V102" s="4">
        <f>IF(E102="","",--(E102=1))</f>
        <v/>
      </c>
      <c r="W102" s="4">
        <f>IF(OR($B102="",F102=""),"",--(F102=$B102))</f>
        <v/>
      </c>
      <c r="X102" s="4">
        <f>IF(OR($B102="",F102=""),"",IF($B102=1,--(F102=1),""))</f>
        <v/>
      </c>
      <c r="Y102" s="4">
        <f>IF(OR($B102="",F102=""),"",IF($B102=0,--(F102=0),""))</f>
        <v/>
      </c>
      <c r="Z102" s="4">
        <f>IF(F102="","",--(F102=1))</f>
        <v/>
      </c>
      <c r="AA102" s="4">
        <f>IF(OR($B102="",G102=""),"",--(G102=$B102))</f>
        <v/>
      </c>
      <c r="AB102" s="4">
        <f>IF(OR($B102="",G102=""),"",IF($B102=1,--(G102=1),""))</f>
        <v/>
      </c>
      <c r="AC102" s="4">
        <f>IF(OR($B102="",G102=""),"",IF($B102=0,--(G102=0),""))</f>
        <v/>
      </c>
      <c r="AD102" s="4">
        <f>IF(G102="","",--(G102=1))</f>
        <v/>
      </c>
      <c r="AE102" s="4">
        <f>IF(OR($B102="",H102=""),"",--(H102=$B102))</f>
        <v/>
      </c>
      <c r="AF102" s="4">
        <f>IF(OR($B102="",H102=""),"",IF($B102=1,--(H102=1),""))</f>
        <v/>
      </c>
      <c r="AG102" s="4">
        <f>IF(OR($B102="",H102=""),"",IF($B102=0,--(H102=0),""))</f>
        <v/>
      </c>
      <c r="AH102" s="4">
        <f>IF(H102="","",--(H102=1))</f>
        <v/>
      </c>
      <c r="AI102" s="4">
        <f>IF(OR($B102="",I102=""),"",--(I102=$B102))</f>
        <v/>
      </c>
      <c r="AJ102" s="4">
        <f>IF(OR($B102="",I102=""),"",IF($B102=1,--(I102=1),""))</f>
        <v/>
      </c>
      <c r="AK102" s="4">
        <f>IF(OR($B102="",I102=""),"",IF($B102=0,--(I102=0),""))</f>
        <v/>
      </c>
      <c r="AL102" s="4">
        <f>IF(I102="","",--(I102=1))</f>
        <v/>
      </c>
      <c r="AM102" s="4">
        <f>IF(OR($B102="",J102=""),"",--(J102=$B102))</f>
        <v/>
      </c>
      <c r="AN102" s="4">
        <f>IF(OR($B102="",J102=""),"",IF($B102=1,--(J102=1),""))</f>
        <v/>
      </c>
      <c r="AO102" s="4">
        <f>IF(OR($B102="",J102=""),"",IF($B102=0,--(J102=0),""))</f>
        <v/>
      </c>
      <c r="AP102" s="4">
        <f>IF(J102="","",--(J102=1))</f>
        <v/>
      </c>
      <c r="AQ102" s="4">
        <f>IF(OR($B102="",K102=""),"",--(K102=$B102))</f>
        <v/>
      </c>
      <c r="AR102" s="4">
        <f>IF(OR($B102="",K102=""),"",IF($B102=1,--(K102=1),""))</f>
        <v/>
      </c>
      <c r="AS102" s="4">
        <f>IF(OR($B102="",K102=""),"",IF($B102=0,--(K102=0),""))</f>
        <v/>
      </c>
      <c r="AT102" s="4">
        <f>IF(K102="","",--(K102=1))</f>
        <v/>
      </c>
      <c r="AU102" s="4">
        <f>IF(OR($B102="",L102=""),"",--(L102=$B102))</f>
        <v/>
      </c>
      <c r="AV102" s="4">
        <f>IF(OR($B102="",L102=""),"",IF($B102=1,--(L102=1),""))</f>
        <v/>
      </c>
      <c r="AW102" s="4">
        <f>IF(OR($B102="",L102=""),"",IF($B102=0,--(L102=0),""))</f>
        <v/>
      </c>
      <c r="AX102" s="4">
        <f>IF(L102="","",--(L102=1))</f>
        <v/>
      </c>
      <c r="AY102" s="4">
        <f>IF(OR($B102="",M102=""),"",--(M102=$B102))</f>
        <v/>
      </c>
      <c r="AZ102" s="4">
        <f>IF(OR($B102="",M102=""),"",IF($B102=1,--(M102=1),""))</f>
        <v/>
      </c>
      <c r="BA102" s="4">
        <f>IF(OR($B102="",M102=""),"",IF($B102=0,--(M102=0),""))</f>
        <v/>
      </c>
      <c r="BB102" s="4">
        <f>IF(M102="","",--(M102=1))</f>
        <v/>
      </c>
      <c r="BC102" s="4">
        <f>IF(OR($B102="",N102=""),"",--(N102=$B102))</f>
        <v/>
      </c>
      <c r="BD102" s="4">
        <f>IF(OR($B102="",N102=""),"",IF($B102=1,--(N102=1),""))</f>
        <v/>
      </c>
      <c r="BE102" s="4">
        <f>IF(OR($B102="",N102=""),"",IF($B102=0,--(N102=0),""))</f>
        <v/>
      </c>
      <c r="BF102" s="4">
        <f>IF(N102="","",--(N102=1))</f>
        <v/>
      </c>
    </row>
    <row r="103">
      <c r="A103" s="3" t="inlineStr">
        <is>
          <t>202024408</t>
        </is>
      </c>
      <c r="B103" s="3" t="inlineStr">
        <is>
          <t>1</t>
        </is>
      </c>
      <c r="C103" s="3" t="inlineStr">
        <is>
          <t>Direct</t>
        </is>
      </c>
      <c r="D103" s="3" t="inlineStr">
        <is>
          <t>1</t>
        </is>
      </c>
      <c r="E103" s="3" t="inlineStr">
        <is>
          <t>1</t>
        </is>
      </c>
      <c r="F103" s="3" t="inlineStr">
        <is>
          <t>1</t>
        </is>
      </c>
      <c r="G103" s="3" t="inlineStr">
        <is>
          <t>1</t>
        </is>
      </c>
      <c r="H103" s="3" t="inlineStr">
        <is>
          <t>1</t>
        </is>
      </c>
      <c r="I103" s="3" t="inlineStr">
        <is>
          <t>1</t>
        </is>
      </c>
      <c r="J103" s="3" t="inlineStr">
        <is>
          <t>1</t>
        </is>
      </c>
      <c r="K103" s="3" t="inlineStr">
        <is>
          <t>1</t>
        </is>
      </c>
      <c r="L103" s="3" t="inlineStr">
        <is>
          <t>1</t>
        </is>
      </c>
      <c r="M103" s="3" t="inlineStr">
        <is>
          <t>1</t>
        </is>
      </c>
      <c r="N103" s="3" t="inlineStr">
        <is>
          <t>1</t>
        </is>
      </c>
      <c r="O103" s="4">
        <f>IF(OR($B103="",D103=""),"",--(D103=$B103))</f>
        <v/>
      </c>
      <c r="P103" s="4">
        <f>IF(OR($B103="",D103=""),"",IF($B103=1,--(D103=1),""))</f>
        <v/>
      </c>
      <c r="Q103" s="4">
        <f>IF(OR($B103="",D103=""),"",IF($B103=0,--(D103=0),""))</f>
        <v/>
      </c>
      <c r="R103" s="4">
        <f>IF(D103="","",--(D103=1))</f>
        <v/>
      </c>
      <c r="S103" s="4">
        <f>IF(OR($B103="",E103=""),"",--(E103=$B103))</f>
        <v/>
      </c>
      <c r="T103" s="4">
        <f>IF(OR($B103="",E103=""),"",IF($B103=1,--(E103=1),""))</f>
        <v/>
      </c>
      <c r="U103" s="4">
        <f>IF(OR($B103="",E103=""),"",IF($B103=0,--(E103=0),""))</f>
        <v/>
      </c>
      <c r="V103" s="4">
        <f>IF(E103="","",--(E103=1))</f>
        <v/>
      </c>
      <c r="W103" s="4">
        <f>IF(OR($B103="",F103=""),"",--(F103=$B103))</f>
        <v/>
      </c>
      <c r="X103" s="4">
        <f>IF(OR($B103="",F103=""),"",IF($B103=1,--(F103=1),""))</f>
        <v/>
      </c>
      <c r="Y103" s="4">
        <f>IF(OR($B103="",F103=""),"",IF($B103=0,--(F103=0),""))</f>
        <v/>
      </c>
      <c r="Z103" s="4">
        <f>IF(F103="","",--(F103=1))</f>
        <v/>
      </c>
      <c r="AA103" s="4">
        <f>IF(OR($B103="",G103=""),"",--(G103=$B103))</f>
        <v/>
      </c>
      <c r="AB103" s="4">
        <f>IF(OR($B103="",G103=""),"",IF($B103=1,--(G103=1),""))</f>
        <v/>
      </c>
      <c r="AC103" s="4">
        <f>IF(OR($B103="",G103=""),"",IF($B103=0,--(G103=0),""))</f>
        <v/>
      </c>
      <c r="AD103" s="4">
        <f>IF(G103="","",--(G103=1))</f>
        <v/>
      </c>
      <c r="AE103" s="4">
        <f>IF(OR($B103="",H103=""),"",--(H103=$B103))</f>
        <v/>
      </c>
      <c r="AF103" s="4">
        <f>IF(OR($B103="",H103=""),"",IF($B103=1,--(H103=1),""))</f>
        <v/>
      </c>
      <c r="AG103" s="4">
        <f>IF(OR($B103="",H103=""),"",IF($B103=0,--(H103=0),""))</f>
        <v/>
      </c>
      <c r="AH103" s="4">
        <f>IF(H103="","",--(H103=1))</f>
        <v/>
      </c>
      <c r="AI103" s="4">
        <f>IF(OR($B103="",I103=""),"",--(I103=$B103))</f>
        <v/>
      </c>
      <c r="AJ103" s="4">
        <f>IF(OR($B103="",I103=""),"",IF($B103=1,--(I103=1),""))</f>
        <v/>
      </c>
      <c r="AK103" s="4">
        <f>IF(OR($B103="",I103=""),"",IF($B103=0,--(I103=0),""))</f>
        <v/>
      </c>
      <c r="AL103" s="4">
        <f>IF(I103="","",--(I103=1))</f>
        <v/>
      </c>
      <c r="AM103" s="4">
        <f>IF(OR($B103="",J103=""),"",--(J103=$B103))</f>
        <v/>
      </c>
      <c r="AN103" s="4">
        <f>IF(OR($B103="",J103=""),"",IF($B103=1,--(J103=1),""))</f>
        <v/>
      </c>
      <c r="AO103" s="4">
        <f>IF(OR($B103="",J103=""),"",IF($B103=0,--(J103=0),""))</f>
        <v/>
      </c>
      <c r="AP103" s="4">
        <f>IF(J103="","",--(J103=1))</f>
        <v/>
      </c>
      <c r="AQ103" s="4">
        <f>IF(OR($B103="",K103=""),"",--(K103=$B103))</f>
        <v/>
      </c>
      <c r="AR103" s="4">
        <f>IF(OR($B103="",K103=""),"",IF($B103=1,--(K103=1),""))</f>
        <v/>
      </c>
      <c r="AS103" s="4">
        <f>IF(OR($B103="",K103=""),"",IF($B103=0,--(K103=0),""))</f>
        <v/>
      </c>
      <c r="AT103" s="4">
        <f>IF(K103="","",--(K103=1))</f>
        <v/>
      </c>
      <c r="AU103" s="4">
        <f>IF(OR($B103="",L103=""),"",--(L103=$B103))</f>
        <v/>
      </c>
      <c r="AV103" s="4">
        <f>IF(OR($B103="",L103=""),"",IF($B103=1,--(L103=1),""))</f>
        <v/>
      </c>
      <c r="AW103" s="4">
        <f>IF(OR($B103="",L103=""),"",IF($B103=0,--(L103=0),""))</f>
        <v/>
      </c>
      <c r="AX103" s="4">
        <f>IF(L103="","",--(L103=1))</f>
        <v/>
      </c>
      <c r="AY103" s="4">
        <f>IF(OR($B103="",M103=""),"",--(M103=$B103))</f>
        <v/>
      </c>
      <c r="AZ103" s="4">
        <f>IF(OR($B103="",M103=""),"",IF($B103=1,--(M103=1),""))</f>
        <v/>
      </c>
      <c r="BA103" s="4">
        <f>IF(OR($B103="",M103=""),"",IF($B103=0,--(M103=0),""))</f>
        <v/>
      </c>
      <c r="BB103" s="4">
        <f>IF(M103="","",--(M103=1))</f>
        <v/>
      </c>
      <c r="BC103" s="4">
        <f>IF(OR($B103="",N103=""),"",--(N103=$B103))</f>
        <v/>
      </c>
      <c r="BD103" s="4">
        <f>IF(OR($B103="",N103=""),"",IF($B103=1,--(N103=1),""))</f>
        <v/>
      </c>
      <c r="BE103" s="4">
        <f>IF(OR($B103="",N103=""),"",IF($B103=0,--(N103=0),""))</f>
        <v/>
      </c>
      <c r="BF103" s="4">
        <f>IF(N103="","",--(N103=1))</f>
        <v/>
      </c>
    </row>
    <row r="104">
      <c r="A104" s="3" t="inlineStr">
        <is>
          <t>202024411</t>
        </is>
      </c>
      <c r="B104" s="3" t="inlineStr">
        <is>
          <t>0</t>
        </is>
      </c>
      <c r="C104" s="3" t="inlineStr">
        <is>
          <t>Direct</t>
        </is>
      </c>
      <c r="D104" s="3" t="inlineStr">
        <is>
          <t>1</t>
        </is>
      </c>
      <c r="E104" s="3" t="inlineStr">
        <is>
          <t>1</t>
        </is>
      </c>
      <c r="F104" s="3" t="inlineStr">
        <is>
          <t>1</t>
        </is>
      </c>
      <c r="G104" s="3" t="inlineStr">
        <is>
          <t>1</t>
        </is>
      </c>
      <c r="H104" s="3" t="inlineStr">
        <is>
          <t>1</t>
        </is>
      </c>
      <c r="I104" s="3" t="inlineStr">
        <is>
          <t>1</t>
        </is>
      </c>
      <c r="J104" s="3" t="inlineStr">
        <is>
          <t>1</t>
        </is>
      </c>
      <c r="K104" s="3" t="inlineStr">
        <is>
          <t>1</t>
        </is>
      </c>
      <c r="L104" s="3" t="inlineStr">
        <is>
          <t>1</t>
        </is>
      </c>
      <c r="M104" s="3" t="inlineStr">
        <is>
          <t>1</t>
        </is>
      </c>
      <c r="N104" s="3" t="inlineStr">
        <is>
          <t>1</t>
        </is>
      </c>
      <c r="O104" s="4">
        <f>IF(OR($B104="",D104=""),"",--(D104=$B104))</f>
        <v/>
      </c>
      <c r="P104" s="4">
        <f>IF(OR($B104="",D104=""),"",IF($B104=1,--(D104=1),""))</f>
        <v/>
      </c>
      <c r="Q104" s="4">
        <f>IF(OR($B104="",D104=""),"",IF($B104=0,--(D104=0),""))</f>
        <v/>
      </c>
      <c r="R104" s="4">
        <f>IF(D104="","",--(D104=1))</f>
        <v/>
      </c>
      <c r="S104" s="4">
        <f>IF(OR($B104="",E104=""),"",--(E104=$B104))</f>
        <v/>
      </c>
      <c r="T104" s="4">
        <f>IF(OR($B104="",E104=""),"",IF($B104=1,--(E104=1),""))</f>
        <v/>
      </c>
      <c r="U104" s="4">
        <f>IF(OR($B104="",E104=""),"",IF($B104=0,--(E104=0),""))</f>
        <v/>
      </c>
      <c r="V104" s="4">
        <f>IF(E104="","",--(E104=1))</f>
        <v/>
      </c>
      <c r="W104" s="4">
        <f>IF(OR($B104="",F104=""),"",--(F104=$B104))</f>
        <v/>
      </c>
      <c r="X104" s="4">
        <f>IF(OR($B104="",F104=""),"",IF($B104=1,--(F104=1),""))</f>
        <v/>
      </c>
      <c r="Y104" s="4">
        <f>IF(OR($B104="",F104=""),"",IF($B104=0,--(F104=0),""))</f>
        <v/>
      </c>
      <c r="Z104" s="4">
        <f>IF(F104="","",--(F104=1))</f>
        <v/>
      </c>
      <c r="AA104" s="4">
        <f>IF(OR($B104="",G104=""),"",--(G104=$B104))</f>
        <v/>
      </c>
      <c r="AB104" s="4">
        <f>IF(OR($B104="",G104=""),"",IF($B104=1,--(G104=1),""))</f>
        <v/>
      </c>
      <c r="AC104" s="4">
        <f>IF(OR($B104="",G104=""),"",IF($B104=0,--(G104=0),""))</f>
        <v/>
      </c>
      <c r="AD104" s="4">
        <f>IF(G104="","",--(G104=1))</f>
        <v/>
      </c>
      <c r="AE104" s="4">
        <f>IF(OR($B104="",H104=""),"",--(H104=$B104))</f>
        <v/>
      </c>
      <c r="AF104" s="4">
        <f>IF(OR($B104="",H104=""),"",IF($B104=1,--(H104=1),""))</f>
        <v/>
      </c>
      <c r="AG104" s="4">
        <f>IF(OR($B104="",H104=""),"",IF($B104=0,--(H104=0),""))</f>
        <v/>
      </c>
      <c r="AH104" s="4">
        <f>IF(H104="","",--(H104=1))</f>
        <v/>
      </c>
      <c r="AI104" s="4">
        <f>IF(OR($B104="",I104=""),"",--(I104=$B104))</f>
        <v/>
      </c>
      <c r="AJ104" s="4">
        <f>IF(OR($B104="",I104=""),"",IF($B104=1,--(I104=1),""))</f>
        <v/>
      </c>
      <c r="AK104" s="4">
        <f>IF(OR($B104="",I104=""),"",IF($B104=0,--(I104=0),""))</f>
        <v/>
      </c>
      <c r="AL104" s="4">
        <f>IF(I104="","",--(I104=1))</f>
        <v/>
      </c>
      <c r="AM104" s="4">
        <f>IF(OR($B104="",J104=""),"",--(J104=$B104))</f>
        <v/>
      </c>
      <c r="AN104" s="4">
        <f>IF(OR($B104="",J104=""),"",IF($B104=1,--(J104=1),""))</f>
        <v/>
      </c>
      <c r="AO104" s="4">
        <f>IF(OR($B104="",J104=""),"",IF($B104=0,--(J104=0),""))</f>
        <v/>
      </c>
      <c r="AP104" s="4">
        <f>IF(J104="","",--(J104=1))</f>
        <v/>
      </c>
      <c r="AQ104" s="4">
        <f>IF(OR($B104="",K104=""),"",--(K104=$B104))</f>
        <v/>
      </c>
      <c r="AR104" s="4">
        <f>IF(OR($B104="",K104=""),"",IF($B104=1,--(K104=1),""))</f>
        <v/>
      </c>
      <c r="AS104" s="4">
        <f>IF(OR($B104="",K104=""),"",IF($B104=0,--(K104=0),""))</f>
        <v/>
      </c>
      <c r="AT104" s="4">
        <f>IF(K104="","",--(K104=1))</f>
        <v/>
      </c>
      <c r="AU104" s="4">
        <f>IF(OR($B104="",L104=""),"",--(L104=$B104))</f>
        <v/>
      </c>
      <c r="AV104" s="4">
        <f>IF(OR($B104="",L104=""),"",IF($B104=1,--(L104=1),""))</f>
        <v/>
      </c>
      <c r="AW104" s="4">
        <f>IF(OR($B104="",L104=""),"",IF($B104=0,--(L104=0),""))</f>
        <v/>
      </c>
      <c r="AX104" s="4">
        <f>IF(L104="","",--(L104=1))</f>
        <v/>
      </c>
      <c r="AY104" s="4">
        <f>IF(OR($B104="",M104=""),"",--(M104=$B104))</f>
        <v/>
      </c>
      <c r="AZ104" s="4">
        <f>IF(OR($B104="",M104=""),"",IF($B104=1,--(M104=1),""))</f>
        <v/>
      </c>
      <c r="BA104" s="4">
        <f>IF(OR($B104="",M104=""),"",IF($B104=0,--(M104=0),""))</f>
        <v/>
      </c>
      <c r="BB104" s="4">
        <f>IF(M104="","",--(M104=1))</f>
        <v/>
      </c>
      <c r="BC104" s="4">
        <f>IF(OR($B104="",N104=""),"",--(N104=$B104))</f>
        <v/>
      </c>
      <c r="BD104" s="4">
        <f>IF(OR($B104="",N104=""),"",IF($B104=1,--(N104=1),""))</f>
        <v/>
      </c>
      <c r="BE104" s="4">
        <f>IF(OR($B104="",N104=""),"",IF($B104=0,--(N104=0),""))</f>
        <v/>
      </c>
      <c r="BF104" s="4">
        <f>IF(N104="","",--(N104=1))</f>
        <v/>
      </c>
    </row>
    <row r="105">
      <c r="A105" s="3" t="inlineStr">
        <is>
          <t>202025141</t>
        </is>
      </c>
      <c r="B105" s="3" t="inlineStr">
        <is>
          <t>1</t>
        </is>
      </c>
      <c r="C105" s="3" t="inlineStr">
        <is>
          <t>Direct</t>
        </is>
      </c>
      <c r="D105" s="3" t="inlineStr">
        <is>
          <t>0</t>
        </is>
      </c>
      <c r="E105" s="3" t="inlineStr">
        <is>
          <t>0</t>
        </is>
      </c>
      <c r="F105" s="3" t="inlineStr">
        <is>
          <t>0</t>
        </is>
      </c>
      <c r="G105" s="3" t="inlineStr">
        <is>
          <t>0</t>
        </is>
      </c>
      <c r="H105" s="3" t="inlineStr">
        <is>
          <t>0</t>
        </is>
      </c>
      <c r="I105" s="3" t="inlineStr">
        <is>
          <t>0</t>
        </is>
      </c>
      <c r="J105" s="3" t="inlineStr">
        <is>
          <t>0</t>
        </is>
      </c>
      <c r="K105" s="3" t="inlineStr">
        <is>
          <t>0</t>
        </is>
      </c>
      <c r="L105" s="3" t="inlineStr">
        <is>
          <t>0</t>
        </is>
      </c>
      <c r="M105" s="3" t="inlineStr">
        <is>
          <t>0</t>
        </is>
      </c>
      <c r="N105" s="3" t="inlineStr">
        <is>
          <t>0</t>
        </is>
      </c>
      <c r="O105" s="4">
        <f>IF(OR($B105="",D105=""),"",--(D105=$B105))</f>
        <v/>
      </c>
      <c r="P105" s="4">
        <f>IF(OR($B105="",D105=""),"",IF($B105=1,--(D105=1),""))</f>
        <v/>
      </c>
      <c r="Q105" s="4">
        <f>IF(OR($B105="",D105=""),"",IF($B105=0,--(D105=0),""))</f>
        <v/>
      </c>
      <c r="R105" s="4">
        <f>IF(D105="","",--(D105=1))</f>
        <v/>
      </c>
      <c r="S105" s="4">
        <f>IF(OR($B105="",E105=""),"",--(E105=$B105))</f>
        <v/>
      </c>
      <c r="T105" s="4">
        <f>IF(OR($B105="",E105=""),"",IF($B105=1,--(E105=1),""))</f>
        <v/>
      </c>
      <c r="U105" s="4">
        <f>IF(OR($B105="",E105=""),"",IF($B105=0,--(E105=0),""))</f>
        <v/>
      </c>
      <c r="V105" s="4">
        <f>IF(E105="","",--(E105=1))</f>
        <v/>
      </c>
      <c r="W105" s="4">
        <f>IF(OR($B105="",F105=""),"",--(F105=$B105))</f>
        <v/>
      </c>
      <c r="X105" s="4">
        <f>IF(OR($B105="",F105=""),"",IF($B105=1,--(F105=1),""))</f>
        <v/>
      </c>
      <c r="Y105" s="4">
        <f>IF(OR($B105="",F105=""),"",IF($B105=0,--(F105=0),""))</f>
        <v/>
      </c>
      <c r="Z105" s="4">
        <f>IF(F105="","",--(F105=1))</f>
        <v/>
      </c>
      <c r="AA105" s="4">
        <f>IF(OR($B105="",G105=""),"",--(G105=$B105))</f>
        <v/>
      </c>
      <c r="AB105" s="4">
        <f>IF(OR($B105="",G105=""),"",IF($B105=1,--(G105=1),""))</f>
        <v/>
      </c>
      <c r="AC105" s="4">
        <f>IF(OR($B105="",G105=""),"",IF($B105=0,--(G105=0),""))</f>
        <v/>
      </c>
      <c r="AD105" s="4">
        <f>IF(G105="","",--(G105=1))</f>
        <v/>
      </c>
      <c r="AE105" s="4">
        <f>IF(OR($B105="",H105=""),"",--(H105=$B105))</f>
        <v/>
      </c>
      <c r="AF105" s="4">
        <f>IF(OR($B105="",H105=""),"",IF($B105=1,--(H105=1),""))</f>
        <v/>
      </c>
      <c r="AG105" s="4">
        <f>IF(OR($B105="",H105=""),"",IF($B105=0,--(H105=0),""))</f>
        <v/>
      </c>
      <c r="AH105" s="4">
        <f>IF(H105="","",--(H105=1))</f>
        <v/>
      </c>
      <c r="AI105" s="4">
        <f>IF(OR($B105="",I105=""),"",--(I105=$B105))</f>
        <v/>
      </c>
      <c r="AJ105" s="4">
        <f>IF(OR($B105="",I105=""),"",IF($B105=1,--(I105=1),""))</f>
        <v/>
      </c>
      <c r="AK105" s="4">
        <f>IF(OR($B105="",I105=""),"",IF($B105=0,--(I105=0),""))</f>
        <v/>
      </c>
      <c r="AL105" s="4">
        <f>IF(I105="","",--(I105=1))</f>
        <v/>
      </c>
      <c r="AM105" s="4">
        <f>IF(OR($B105="",J105=""),"",--(J105=$B105))</f>
        <v/>
      </c>
      <c r="AN105" s="4">
        <f>IF(OR($B105="",J105=""),"",IF($B105=1,--(J105=1),""))</f>
        <v/>
      </c>
      <c r="AO105" s="4">
        <f>IF(OR($B105="",J105=""),"",IF($B105=0,--(J105=0),""))</f>
        <v/>
      </c>
      <c r="AP105" s="4">
        <f>IF(J105="","",--(J105=1))</f>
        <v/>
      </c>
      <c r="AQ105" s="4">
        <f>IF(OR($B105="",K105=""),"",--(K105=$B105))</f>
        <v/>
      </c>
      <c r="AR105" s="4">
        <f>IF(OR($B105="",K105=""),"",IF($B105=1,--(K105=1),""))</f>
        <v/>
      </c>
      <c r="AS105" s="4">
        <f>IF(OR($B105="",K105=""),"",IF($B105=0,--(K105=0),""))</f>
        <v/>
      </c>
      <c r="AT105" s="4">
        <f>IF(K105="","",--(K105=1))</f>
        <v/>
      </c>
      <c r="AU105" s="4">
        <f>IF(OR($B105="",L105=""),"",--(L105=$B105))</f>
        <v/>
      </c>
      <c r="AV105" s="4">
        <f>IF(OR($B105="",L105=""),"",IF($B105=1,--(L105=1),""))</f>
        <v/>
      </c>
      <c r="AW105" s="4">
        <f>IF(OR($B105="",L105=""),"",IF($B105=0,--(L105=0),""))</f>
        <v/>
      </c>
      <c r="AX105" s="4">
        <f>IF(L105="","",--(L105=1))</f>
        <v/>
      </c>
      <c r="AY105" s="4">
        <f>IF(OR($B105="",M105=""),"",--(M105=$B105))</f>
        <v/>
      </c>
      <c r="AZ105" s="4">
        <f>IF(OR($B105="",M105=""),"",IF($B105=1,--(M105=1),""))</f>
        <v/>
      </c>
      <c r="BA105" s="4">
        <f>IF(OR($B105="",M105=""),"",IF($B105=0,--(M105=0),""))</f>
        <v/>
      </c>
      <c r="BB105" s="4">
        <f>IF(M105="","",--(M105=1))</f>
        <v/>
      </c>
      <c r="BC105" s="4">
        <f>IF(OR($B105="",N105=""),"",--(N105=$B105))</f>
        <v/>
      </c>
      <c r="BD105" s="4">
        <f>IF(OR($B105="",N105=""),"",IF($B105=1,--(N105=1),""))</f>
        <v/>
      </c>
      <c r="BE105" s="4">
        <f>IF(OR($B105="",N105=""),"",IF($B105=0,--(N105=0),""))</f>
        <v/>
      </c>
      <c r="BF105" s="4">
        <f>IF(N105="","",--(N105=1))</f>
        <v/>
      </c>
    </row>
    <row r="106">
      <c r="A106" s="3" t="inlineStr">
        <is>
          <t>202025268</t>
        </is>
      </c>
      <c r="B106" s="3" t="inlineStr">
        <is>
          <t>1</t>
        </is>
      </c>
      <c r="C106" s="3" t="inlineStr">
        <is>
          <t>Direct</t>
        </is>
      </c>
      <c r="D106" s="3" t="inlineStr">
        <is>
          <t>1</t>
        </is>
      </c>
      <c r="E106" s="3" t="inlineStr">
        <is>
          <t>1</t>
        </is>
      </c>
      <c r="F106" s="3" t="inlineStr">
        <is>
          <t>0</t>
        </is>
      </c>
      <c r="G106" s="3" t="inlineStr">
        <is>
          <t>0</t>
        </is>
      </c>
      <c r="H106" s="3" t="inlineStr">
        <is>
          <t>1</t>
        </is>
      </c>
      <c r="I106" s="3" t="inlineStr">
        <is>
          <t>1</t>
        </is>
      </c>
      <c r="J106" s="3" t="inlineStr">
        <is>
          <t>1</t>
        </is>
      </c>
      <c r="K106" s="3" t="inlineStr">
        <is>
          <t>1</t>
        </is>
      </c>
      <c r="L106" s="3" t="inlineStr">
        <is>
          <t>1</t>
        </is>
      </c>
      <c r="M106" s="3" t="inlineStr">
        <is>
          <t>1</t>
        </is>
      </c>
      <c r="N106" s="3" t="inlineStr">
        <is>
          <t>1</t>
        </is>
      </c>
      <c r="O106" s="4">
        <f>IF(OR($B106="",D106=""),"",--(D106=$B106))</f>
        <v/>
      </c>
      <c r="P106" s="4">
        <f>IF(OR($B106="",D106=""),"",IF($B106=1,--(D106=1),""))</f>
        <v/>
      </c>
      <c r="Q106" s="4">
        <f>IF(OR($B106="",D106=""),"",IF($B106=0,--(D106=0),""))</f>
        <v/>
      </c>
      <c r="R106" s="4">
        <f>IF(D106="","",--(D106=1))</f>
        <v/>
      </c>
      <c r="S106" s="4">
        <f>IF(OR($B106="",E106=""),"",--(E106=$B106))</f>
        <v/>
      </c>
      <c r="T106" s="4">
        <f>IF(OR($B106="",E106=""),"",IF($B106=1,--(E106=1),""))</f>
        <v/>
      </c>
      <c r="U106" s="4">
        <f>IF(OR($B106="",E106=""),"",IF($B106=0,--(E106=0),""))</f>
        <v/>
      </c>
      <c r="V106" s="4">
        <f>IF(E106="","",--(E106=1))</f>
        <v/>
      </c>
      <c r="W106" s="4">
        <f>IF(OR($B106="",F106=""),"",--(F106=$B106))</f>
        <v/>
      </c>
      <c r="X106" s="4">
        <f>IF(OR($B106="",F106=""),"",IF($B106=1,--(F106=1),""))</f>
        <v/>
      </c>
      <c r="Y106" s="4">
        <f>IF(OR($B106="",F106=""),"",IF($B106=0,--(F106=0),""))</f>
        <v/>
      </c>
      <c r="Z106" s="4">
        <f>IF(F106="","",--(F106=1))</f>
        <v/>
      </c>
      <c r="AA106" s="4">
        <f>IF(OR($B106="",G106=""),"",--(G106=$B106))</f>
        <v/>
      </c>
      <c r="AB106" s="4">
        <f>IF(OR($B106="",G106=""),"",IF($B106=1,--(G106=1),""))</f>
        <v/>
      </c>
      <c r="AC106" s="4">
        <f>IF(OR($B106="",G106=""),"",IF($B106=0,--(G106=0),""))</f>
        <v/>
      </c>
      <c r="AD106" s="4">
        <f>IF(G106="","",--(G106=1))</f>
        <v/>
      </c>
      <c r="AE106" s="4">
        <f>IF(OR($B106="",H106=""),"",--(H106=$B106))</f>
        <v/>
      </c>
      <c r="AF106" s="4">
        <f>IF(OR($B106="",H106=""),"",IF($B106=1,--(H106=1),""))</f>
        <v/>
      </c>
      <c r="AG106" s="4">
        <f>IF(OR($B106="",H106=""),"",IF($B106=0,--(H106=0),""))</f>
        <v/>
      </c>
      <c r="AH106" s="4">
        <f>IF(H106="","",--(H106=1))</f>
        <v/>
      </c>
      <c r="AI106" s="4">
        <f>IF(OR($B106="",I106=""),"",--(I106=$B106))</f>
        <v/>
      </c>
      <c r="AJ106" s="4">
        <f>IF(OR($B106="",I106=""),"",IF($B106=1,--(I106=1),""))</f>
        <v/>
      </c>
      <c r="AK106" s="4">
        <f>IF(OR($B106="",I106=""),"",IF($B106=0,--(I106=0),""))</f>
        <v/>
      </c>
      <c r="AL106" s="4">
        <f>IF(I106="","",--(I106=1))</f>
        <v/>
      </c>
      <c r="AM106" s="4">
        <f>IF(OR($B106="",J106=""),"",--(J106=$B106))</f>
        <v/>
      </c>
      <c r="AN106" s="4">
        <f>IF(OR($B106="",J106=""),"",IF($B106=1,--(J106=1),""))</f>
        <v/>
      </c>
      <c r="AO106" s="4">
        <f>IF(OR($B106="",J106=""),"",IF($B106=0,--(J106=0),""))</f>
        <v/>
      </c>
      <c r="AP106" s="4">
        <f>IF(J106="","",--(J106=1))</f>
        <v/>
      </c>
      <c r="AQ106" s="4">
        <f>IF(OR($B106="",K106=""),"",--(K106=$B106))</f>
        <v/>
      </c>
      <c r="AR106" s="4">
        <f>IF(OR($B106="",K106=""),"",IF($B106=1,--(K106=1),""))</f>
        <v/>
      </c>
      <c r="AS106" s="4">
        <f>IF(OR($B106="",K106=""),"",IF($B106=0,--(K106=0),""))</f>
        <v/>
      </c>
      <c r="AT106" s="4">
        <f>IF(K106="","",--(K106=1))</f>
        <v/>
      </c>
      <c r="AU106" s="4">
        <f>IF(OR($B106="",L106=""),"",--(L106=$B106))</f>
        <v/>
      </c>
      <c r="AV106" s="4">
        <f>IF(OR($B106="",L106=""),"",IF($B106=1,--(L106=1),""))</f>
        <v/>
      </c>
      <c r="AW106" s="4">
        <f>IF(OR($B106="",L106=""),"",IF($B106=0,--(L106=0),""))</f>
        <v/>
      </c>
      <c r="AX106" s="4">
        <f>IF(L106="","",--(L106=1))</f>
        <v/>
      </c>
      <c r="AY106" s="4">
        <f>IF(OR($B106="",M106=""),"",--(M106=$B106))</f>
        <v/>
      </c>
      <c r="AZ106" s="4">
        <f>IF(OR($B106="",M106=""),"",IF($B106=1,--(M106=1),""))</f>
        <v/>
      </c>
      <c r="BA106" s="4">
        <f>IF(OR($B106="",M106=""),"",IF($B106=0,--(M106=0),""))</f>
        <v/>
      </c>
      <c r="BB106" s="4">
        <f>IF(M106="","",--(M106=1))</f>
        <v/>
      </c>
      <c r="BC106" s="4">
        <f>IF(OR($B106="",N106=""),"",--(N106=$B106))</f>
        <v/>
      </c>
      <c r="BD106" s="4">
        <f>IF(OR($B106="",N106=""),"",IF($B106=1,--(N106=1),""))</f>
        <v/>
      </c>
      <c r="BE106" s="4">
        <f>IF(OR($B106="",N106=""),"",IF($B106=0,--(N106=0),""))</f>
        <v/>
      </c>
      <c r="BF106" s="4">
        <f>IF(N106="","",--(N106=1))</f>
        <v/>
      </c>
    </row>
    <row r="107">
      <c r="A107" s="3" t="inlineStr">
        <is>
          <t>202025277</t>
        </is>
      </c>
      <c r="B107" s="3" t="inlineStr">
        <is>
          <t>1</t>
        </is>
      </c>
      <c r="C107" s="3" t="inlineStr">
        <is>
          <t>Direct</t>
        </is>
      </c>
      <c r="D107" s="3" t="inlineStr">
        <is>
          <t>1</t>
        </is>
      </c>
      <c r="E107" s="3" t="inlineStr">
        <is>
          <t>1</t>
        </is>
      </c>
      <c r="F107" s="3" t="inlineStr">
        <is>
          <t>0</t>
        </is>
      </c>
      <c r="G107" s="3" t="inlineStr">
        <is>
          <t>0</t>
        </is>
      </c>
      <c r="H107" s="3" t="inlineStr">
        <is>
          <t>1</t>
        </is>
      </c>
      <c r="I107" s="3" t="inlineStr">
        <is>
          <t>1</t>
        </is>
      </c>
      <c r="J107" s="3" t="inlineStr">
        <is>
          <t>1</t>
        </is>
      </c>
      <c r="K107" s="3" t="inlineStr">
        <is>
          <t>1</t>
        </is>
      </c>
      <c r="L107" s="3" t="inlineStr">
        <is>
          <t>1</t>
        </is>
      </c>
      <c r="M107" s="3" t="inlineStr">
        <is>
          <t>1</t>
        </is>
      </c>
      <c r="N107" s="3" t="inlineStr">
        <is>
          <t>1</t>
        </is>
      </c>
      <c r="O107" s="4">
        <f>IF(OR($B107="",D107=""),"",--(D107=$B107))</f>
        <v/>
      </c>
      <c r="P107" s="4">
        <f>IF(OR($B107="",D107=""),"",IF($B107=1,--(D107=1),""))</f>
        <v/>
      </c>
      <c r="Q107" s="4">
        <f>IF(OR($B107="",D107=""),"",IF($B107=0,--(D107=0),""))</f>
        <v/>
      </c>
      <c r="R107" s="4">
        <f>IF(D107="","",--(D107=1))</f>
        <v/>
      </c>
      <c r="S107" s="4">
        <f>IF(OR($B107="",E107=""),"",--(E107=$B107))</f>
        <v/>
      </c>
      <c r="T107" s="4">
        <f>IF(OR($B107="",E107=""),"",IF($B107=1,--(E107=1),""))</f>
        <v/>
      </c>
      <c r="U107" s="4">
        <f>IF(OR($B107="",E107=""),"",IF($B107=0,--(E107=0),""))</f>
        <v/>
      </c>
      <c r="V107" s="4">
        <f>IF(E107="","",--(E107=1))</f>
        <v/>
      </c>
      <c r="W107" s="4">
        <f>IF(OR($B107="",F107=""),"",--(F107=$B107))</f>
        <v/>
      </c>
      <c r="X107" s="4">
        <f>IF(OR($B107="",F107=""),"",IF($B107=1,--(F107=1),""))</f>
        <v/>
      </c>
      <c r="Y107" s="4">
        <f>IF(OR($B107="",F107=""),"",IF($B107=0,--(F107=0),""))</f>
        <v/>
      </c>
      <c r="Z107" s="4">
        <f>IF(F107="","",--(F107=1))</f>
        <v/>
      </c>
      <c r="AA107" s="4">
        <f>IF(OR($B107="",G107=""),"",--(G107=$B107))</f>
        <v/>
      </c>
      <c r="AB107" s="4">
        <f>IF(OR($B107="",G107=""),"",IF($B107=1,--(G107=1),""))</f>
        <v/>
      </c>
      <c r="AC107" s="4">
        <f>IF(OR($B107="",G107=""),"",IF($B107=0,--(G107=0),""))</f>
        <v/>
      </c>
      <c r="AD107" s="4">
        <f>IF(G107="","",--(G107=1))</f>
        <v/>
      </c>
      <c r="AE107" s="4">
        <f>IF(OR($B107="",H107=""),"",--(H107=$B107))</f>
        <v/>
      </c>
      <c r="AF107" s="4">
        <f>IF(OR($B107="",H107=""),"",IF($B107=1,--(H107=1),""))</f>
        <v/>
      </c>
      <c r="AG107" s="4">
        <f>IF(OR($B107="",H107=""),"",IF($B107=0,--(H107=0),""))</f>
        <v/>
      </c>
      <c r="AH107" s="4">
        <f>IF(H107="","",--(H107=1))</f>
        <v/>
      </c>
      <c r="AI107" s="4">
        <f>IF(OR($B107="",I107=""),"",--(I107=$B107))</f>
        <v/>
      </c>
      <c r="AJ107" s="4">
        <f>IF(OR($B107="",I107=""),"",IF($B107=1,--(I107=1),""))</f>
        <v/>
      </c>
      <c r="AK107" s="4">
        <f>IF(OR($B107="",I107=""),"",IF($B107=0,--(I107=0),""))</f>
        <v/>
      </c>
      <c r="AL107" s="4">
        <f>IF(I107="","",--(I107=1))</f>
        <v/>
      </c>
      <c r="AM107" s="4">
        <f>IF(OR($B107="",J107=""),"",--(J107=$B107))</f>
        <v/>
      </c>
      <c r="AN107" s="4">
        <f>IF(OR($B107="",J107=""),"",IF($B107=1,--(J107=1),""))</f>
        <v/>
      </c>
      <c r="AO107" s="4">
        <f>IF(OR($B107="",J107=""),"",IF($B107=0,--(J107=0),""))</f>
        <v/>
      </c>
      <c r="AP107" s="4">
        <f>IF(J107="","",--(J107=1))</f>
        <v/>
      </c>
      <c r="AQ107" s="4">
        <f>IF(OR($B107="",K107=""),"",--(K107=$B107))</f>
        <v/>
      </c>
      <c r="AR107" s="4">
        <f>IF(OR($B107="",K107=""),"",IF($B107=1,--(K107=1),""))</f>
        <v/>
      </c>
      <c r="AS107" s="4">
        <f>IF(OR($B107="",K107=""),"",IF($B107=0,--(K107=0),""))</f>
        <v/>
      </c>
      <c r="AT107" s="4">
        <f>IF(K107="","",--(K107=1))</f>
        <v/>
      </c>
      <c r="AU107" s="4">
        <f>IF(OR($B107="",L107=""),"",--(L107=$B107))</f>
        <v/>
      </c>
      <c r="AV107" s="4">
        <f>IF(OR($B107="",L107=""),"",IF($B107=1,--(L107=1),""))</f>
        <v/>
      </c>
      <c r="AW107" s="4">
        <f>IF(OR($B107="",L107=""),"",IF($B107=0,--(L107=0),""))</f>
        <v/>
      </c>
      <c r="AX107" s="4">
        <f>IF(L107="","",--(L107=1))</f>
        <v/>
      </c>
      <c r="AY107" s="4">
        <f>IF(OR($B107="",M107=""),"",--(M107=$B107))</f>
        <v/>
      </c>
      <c r="AZ107" s="4">
        <f>IF(OR($B107="",M107=""),"",IF($B107=1,--(M107=1),""))</f>
        <v/>
      </c>
      <c r="BA107" s="4">
        <f>IF(OR($B107="",M107=""),"",IF($B107=0,--(M107=0),""))</f>
        <v/>
      </c>
      <c r="BB107" s="4">
        <f>IF(M107="","",--(M107=1))</f>
        <v/>
      </c>
      <c r="BC107" s="4">
        <f>IF(OR($B107="",N107=""),"",--(N107=$B107))</f>
        <v/>
      </c>
      <c r="BD107" s="4">
        <f>IF(OR($B107="",N107=""),"",IF($B107=1,--(N107=1),""))</f>
        <v/>
      </c>
      <c r="BE107" s="4">
        <f>IF(OR($B107="",N107=""),"",IF($B107=0,--(N107=0),""))</f>
        <v/>
      </c>
      <c r="BF107" s="4">
        <f>IF(N107="","",--(N107=1))</f>
        <v/>
      </c>
    </row>
    <row r="108">
      <c r="A108" s="3" t="inlineStr">
        <is>
          <t>202025514</t>
        </is>
      </c>
      <c r="B108" s="3" t="inlineStr">
        <is>
          <t>0</t>
        </is>
      </c>
      <c r="C108" s="3" t="inlineStr">
        <is>
          <t>Direct</t>
        </is>
      </c>
      <c r="D108" s="3" t="inlineStr">
        <is>
          <t>1</t>
        </is>
      </c>
      <c r="E108" s="3" t="inlineStr">
        <is>
          <t>0</t>
        </is>
      </c>
      <c r="F108" s="3" t="inlineStr">
        <is>
          <t>0</t>
        </is>
      </c>
      <c r="G108" s="3" t="inlineStr">
        <is>
          <t>1</t>
        </is>
      </c>
      <c r="H108" s="3" t="inlineStr">
        <is>
          <t>1</t>
        </is>
      </c>
      <c r="I108" s="3" t="inlineStr">
        <is>
          <t>1</t>
        </is>
      </c>
      <c r="J108" s="3" t="inlineStr">
        <is>
          <t>1</t>
        </is>
      </c>
      <c r="K108" s="3" t="inlineStr">
        <is>
          <t>1</t>
        </is>
      </c>
      <c r="L108" s="3" t="inlineStr">
        <is>
          <t>0</t>
        </is>
      </c>
      <c r="M108" s="3" t="inlineStr">
        <is>
          <t>1</t>
        </is>
      </c>
      <c r="N108" s="3" t="inlineStr">
        <is>
          <t>1</t>
        </is>
      </c>
      <c r="O108" s="4">
        <f>IF(OR($B108="",D108=""),"",--(D108=$B108))</f>
        <v/>
      </c>
      <c r="P108" s="4">
        <f>IF(OR($B108="",D108=""),"",IF($B108=1,--(D108=1),""))</f>
        <v/>
      </c>
      <c r="Q108" s="4">
        <f>IF(OR($B108="",D108=""),"",IF($B108=0,--(D108=0),""))</f>
        <v/>
      </c>
      <c r="R108" s="4">
        <f>IF(D108="","",--(D108=1))</f>
        <v/>
      </c>
      <c r="S108" s="4">
        <f>IF(OR($B108="",E108=""),"",--(E108=$B108))</f>
        <v/>
      </c>
      <c r="T108" s="4">
        <f>IF(OR($B108="",E108=""),"",IF($B108=1,--(E108=1),""))</f>
        <v/>
      </c>
      <c r="U108" s="4">
        <f>IF(OR($B108="",E108=""),"",IF($B108=0,--(E108=0),""))</f>
        <v/>
      </c>
      <c r="V108" s="4">
        <f>IF(E108="","",--(E108=1))</f>
        <v/>
      </c>
      <c r="W108" s="4">
        <f>IF(OR($B108="",F108=""),"",--(F108=$B108))</f>
        <v/>
      </c>
      <c r="X108" s="4">
        <f>IF(OR($B108="",F108=""),"",IF($B108=1,--(F108=1),""))</f>
        <v/>
      </c>
      <c r="Y108" s="4">
        <f>IF(OR($B108="",F108=""),"",IF($B108=0,--(F108=0),""))</f>
        <v/>
      </c>
      <c r="Z108" s="4">
        <f>IF(F108="","",--(F108=1))</f>
        <v/>
      </c>
      <c r="AA108" s="4">
        <f>IF(OR($B108="",G108=""),"",--(G108=$B108))</f>
        <v/>
      </c>
      <c r="AB108" s="4">
        <f>IF(OR($B108="",G108=""),"",IF($B108=1,--(G108=1),""))</f>
        <v/>
      </c>
      <c r="AC108" s="4">
        <f>IF(OR($B108="",G108=""),"",IF($B108=0,--(G108=0),""))</f>
        <v/>
      </c>
      <c r="AD108" s="4">
        <f>IF(G108="","",--(G108=1))</f>
        <v/>
      </c>
      <c r="AE108" s="4">
        <f>IF(OR($B108="",H108=""),"",--(H108=$B108))</f>
        <v/>
      </c>
      <c r="AF108" s="4">
        <f>IF(OR($B108="",H108=""),"",IF($B108=1,--(H108=1),""))</f>
        <v/>
      </c>
      <c r="AG108" s="4">
        <f>IF(OR($B108="",H108=""),"",IF($B108=0,--(H108=0),""))</f>
        <v/>
      </c>
      <c r="AH108" s="4">
        <f>IF(H108="","",--(H108=1))</f>
        <v/>
      </c>
      <c r="AI108" s="4">
        <f>IF(OR($B108="",I108=""),"",--(I108=$B108))</f>
        <v/>
      </c>
      <c r="AJ108" s="4">
        <f>IF(OR($B108="",I108=""),"",IF($B108=1,--(I108=1),""))</f>
        <v/>
      </c>
      <c r="AK108" s="4">
        <f>IF(OR($B108="",I108=""),"",IF($B108=0,--(I108=0),""))</f>
        <v/>
      </c>
      <c r="AL108" s="4">
        <f>IF(I108="","",--(I108=1))</f>
        <v/>
      </c>
      <c r="AM108" s="4">
        <f>IF(OR($B108="",J108=""),"",--(J108=$B108))</f>
        <v/>
      </c>
      <c r="AN108" s="4">
        <f>IF(OR($B108="",J108=""),"",IF($B108=1,--(J108=1),""))</f>
        <v/>
      </c>
      <c r="AO108" s="4">
        <f>IF(OR($B108="",J108=""),"",IF($B108=0,--(J108=0),""))</f>
        <v/>
      </c>
      <c r="AP108" s="4">
        <f>IF(J108="","",--(J108=1))</f>
        <v/>
      </c>
      <c r="AQ108" s="4">
        <f>IF(OR($B108="",K108=""),"",--(K108=$B108))</f>
        <v/>
      </c>
      <c r="AR108" s="4">
        <f>IF(OR($B108="",K108=""),"",IF($B108=1,--(K108=1),""))</f>
        <v/>
      </c>
      <c r="AS108" s="4">
        <f>IF(OR($B108="",K108=""),"",IF($B108=0,--(K108=0),""))</f>
        <v/>
      </c>
      <c r="AT108" s="4">
        <f>IF(K108="","",--(K108=1))</f>
        <v/>
      </c>
      <c r="AU108" s="4">
        <f>IF(OR($B108="",L108=""),"",--(L108=$B108))</f>
        <v/>
      </c>
      <c r="AV108" s="4">
        <f>IF(OR($B108="",L108=""),"",IF($B108=1,--(L108=1),""))</f>
        <v/>
      </c>
      <c r="AW108" s="4">
        <f>IF(OR($B108="",L108=""),"",IF($B108=0,--(L108=0),""))</f>
        <v/>
      </c>
      <c r="AX108" s="4">
        <f>IF(L108="","",--(L108=1))</f>
        <v/>
      </c>
      <c r="AY108" s="4">
        <f>IF(OR($B108="",M108=""),"",--(M108=$B108))</f>
        <v/>
      </c>
      <c r="AZ108" s="4">
        <f>IF(OR($B108="",M108=""),"",IF($B108=1,--(M108=1),""))</f>
        <v/>
      </c>
      <c r="BA108" s="4">
        <f>IF(OR($B108="",M108=""),"",IF($B108=0,--(M108=0),""))</f>
        <v/>
      </c>
      <c r="BB108" s="4">
        <f>IF(M108="","",--(M108=1))</f>
        <v/>
      </c>
      <c r="BC108" s="4">
        <f>IF(OR($B108="",N108=""),"",--(N108=$B108))</f>
        <v/>
      </c>
      <c r="BD108" s="4">
        <f>IF(OR($B108="",N108=""),"",IF($B108=1,--(N108=1),""))</f>
        <v/>
      </c>
      <c r="BE108" s="4">
        <f>IF(OR($B108="",N108=""),"",IF($B108=0,--(N108=0),""))</f>
        <v/>
      </c>
      <c r="BF108" s="4">
        <f>IF(N108="","",--(N108=1))</f>
        <v/>
      </c>
    </row>
    <row r="109">
      <c r="A109" s="3" t="inlineStr">
        <is>
          <t>202025941</t>
        </is>
      </c>
      <c r="B109" s="3" t="inlineStr">
        <is>
          <t>0</t>
        </is>
      </c>
      <c r="C109" s="3" t="inlineStr">
        <is>
          <t>RQ</t>
        </is>
      </c>
      <c r="D109" s="3" t="inlineStr">
        <is>
          <t>0</t>
        </is>
      </c>
      <c r="E109" s="3" t="inlineStr">
        <is>
          <t>0</t>
        </is>
      </c>
      <c r="F109" s="3" t="inlineStr">
        <is>
          <t>0</t>
        </is>
      </c>
      <c r="G109" s="3" t="inlineStr">
        <is>
          <t>0</t>
        </is>
      </c>
      <c r="H109" s="3" t="inlineStr">
        <is>
          <t>1</t>
        </is>
      </c>
      <c r="I109" s="3" t="inlineStr">
        <is>
          <t>0</t>
        </is>
      </c>
      <c r="J109" s="3" t="inlineStr">
        <is>
          <t>0</t>
        </is>
      </c>
      <c r="K109" s="3" t="inlineStr">
        <is>
          <t>1</t>
        </is>
      </c>
      <c r="L109" s="3" t="inlineStr">
        <is>
          <t>1</t>
        </is>
      </c>
      <c r="M109" s="3" t="inlineStr">
        <is>
          <t>1</t>
        </is>
      </c>
      <c r="N109" s="3" t="inlineStr">
        <is>
          <t>1</t>
        </is>
      </c>
      <c r="O109" s="4">
        <f>IF(OR($B109="",D109=""),"",--(D109=$B109))</f>
        <v/>
      </c>
      <c r="P109" s="4">
        <f>IF(OR($B109="",D109=""),"",IF($B109=1,--(D109=1),""))</f>
        <v/>
      </c>
      <c r="Q109" s="4">
        <f>IF(OR($B109="",D109=""),"",IF($B109=0,--(D109=0),""))</f>
        <v/>
      </c>
      <c r="R109" s="4">
        <f>IF(D109="","",--(D109=1))</f>
        <v/>
      </c>
      <c r="S109" s="4">
        <f>IF(OR($B109="",E109=""),"",--(E109=$B109))</f>
        <v/>
      </c>
      <c r="T109" s="4">
        <f>IF(OR($B109="",E109=""),"",IF($B109=1,--(E109=1),""))</f>
        <v/>
      </c>
      <c r="U109" s="4">
        <f>IF(OR($B109="",E109=""),"",IF($B109=0,--(E109=0),""))</f>
        <v/>
      </c>
      <c r="V109" s="4">
        <f>IF(E109="","",--(E109=1))</f>
        <v/>
      </c>
      <c r="W109" s="4">
        <f>IF(OR($B109="",F109=""),"",--(F109=$B109))</f>
        <v/>
      </c>
      <c r="X109" s="4">
        <f>IF(OR($B109="",F109=""),"",IF($B109=1,--(F109=1),""))</f>
        <v/>
      </c>
      <c r="Y109" s="4">
        <f>IF(OR($B109="",F109=""),"",IF($B109=0,--(F109=0),""))</f>
        <v/>
      </c>
      <c r="Z109" s="4">
        <f>IF(F109="","",--(F109=1))</f>
        <v/>
      </c>
      <c r="AA109" s="4">
        <f>IF(OR($B109="",G109=""),"",--(G109=$B109))</f>
        <v/>
      </c>
      <c r="AB109" s="4">
        <f>IF(OR($B109="",G109=""),"",IF($B109=1,--(G109=1),""))</f>
        <v/>
      </c>
      <c r="AC109" s="4">
        <f>IF(OR($B109="",G109=""),"",IF($B109=0,--(G109=0),""))</f>
        <v/>
      </c>
      <c r="AD109" s="4">
        <f>IF(G109="","",--(G109=1))</f>
        <v/>
      </c>
      <c r="AE109" s="4">
        <f>IF(OR($B109="",H109=""),"",--(H109=$B109))</f>
        <v/>
      </c>
      <c r="AF109" s="4">
        <f>IF(OR($B109="",H109=""),"",IF($B109=1,--(H109=1),""))</f>
        <v/>
      </c>
      <c r="AG109" s="4">
        <f>IF(OR($B109="",H109=""),"",IF($B109=0,--(H109=0),""))</f>
        <v/>
      </c>
      <c r="AH109" s="4">
        <f>IF(H109="","",--(H109=1))</f>
        <v/>
      </c>
      <c r="AI109" s="4">
        <f>IF(OR($B109="",I109=""),"",--(I109=$B109))</f>
        <v/>
      </c>
      <c r="AJ109" s="4">
        <f>IF(OR($B109="",I109=""),"",IF($B109=1,--(I109=1),""))</f>
        <v/>
      </c>
      <c r="AK109" s="4">
        <f>IF(OR($B109="",I109=""),"",IF($B109=0,--(I109=0),""))</f>
        <v/>
      </c>
      <c r="AL109" s="4">
        <f>IF(I109="","",--(I109=1))</f>
        <v/>
      </c>
      <c r="AM109" s="4">
        <f>IF(OR($B109="",J109=""),"",--(J109=$B109))</f>
        <v/>
      </c>
      <c r="AN109" s="4">
        <f>IF(OR($B109="",J109=""),"",IF($B109=1,--(J109=1),""))</f>
        <v/>
      </c>
      <c r="AO109" s="4">
        <f>IF(OR($B109="",J109=""),"",IF($B109=0,--(J109=0),""))</f>
        <v/>
      </c>
      <c r="AP109" s="4">
        <f>IF(J109="","",--(J109=1))</f>
        <v/>
      </c>
      <c r="AQ109" s="4">
        <f>IF(OR($B109="",K109=""),"",--(K109=$B109))</f>
        <v/>
      </c>
      <c r="AR109" s="4">
        <f>IF(OR($B109="",K109=""),"",IF($B109=1,--(K109=1),""))</f>
        <v/>
      </c>
      <c r="AS109" s="4">
        <f>IF(OR($B109="",K109=""),"",IF($B109=0,--(K109=0),""))</f>
        <v/>
      </c>
      <c r="AT109" s="4">
        <f>IF(K109="","",--(K109=1))</f>
        <v/>
      </c>
      <c r="AU109" s="4">
        <f>IF(OR($B109="",L109=""),"",--(L109=$B109))</f>
        <v/>
      </c>
      <c r="AV109" s="4">
        <f>IF(OR($B109="",L109=""),"",IF($B109=1,--(L109=1),""))</f>
        <v/>
      </c>
      <c r="AW109" s="4">
        <f>IF(OR($B109="",L109=""),"",IF($B109=0,--(L109=0),""))</f>
        <v/>
      </c>
      <c r="AX109" s="4">
        <f>IF(L109="","",--(L109=1))</f>
        <v/>
      </c>
      <c r="AY109" s="4">
        <f>IF(OR($B109="",M109=""),"",--(M109=$B109))</f>
        <v/>
      </c>
      <c r="AZ109" s="4">
        <f>IF(OR($B109="",M109=""),"",IF($B109=1,--(M109=1),""))</f>
        <v/>
      </c>
      <c r="BA109" s="4">
        <f>IF(OR($B109="",M109=""),"",IF($B109=0,--(M109=0),""))</f>
        <v/>
      </c>
      <c r="BB109" s="4">
        <f>IF(M109="","",--(M109=1))</f>
        <v/>
      </c>
      <c r="BC109" s="4">
        <f>IF(OR($B109="",N109=""),"",--(N109=$B109))</f>
        <v/>
      </c>
      <c r="BD109" s="4">
        <f>IF(OR($B109="",N109=""),"",IF($B109=1,--(N109=1),""))</f>
        <v/>
      </c>
      <c r="BE109" s="4">
        <f>IF(OR($B109="",N109=""),"",IF($B109=0,--(N109=0),""))</f>
        <v/>
      </c>
      <c r="BF109" s="4">
        <f>IF(N109="","",--(N109=1))</f>
        <v/>
      </c>
    </row>
    <row r="110">
      <c r="A110" s="3" t="inlineStr">
        <is>
          <t>202026346</t>
        </is>
      </c>
      <c r="B110" s="3" t="inlineStr">
        <is>
          <t>0</t>
        </is>
      </c>
      <c r="C110" s="3" t="inlineStr">
        <is>
          <t>Direct</t>
        </is>
      </c>
      <c r="D110" s="3" t="inlineStr">
        <is>
          <t>0</t>
        </is>
      </c>
      <c r="E110" s="3" t="inlineStr">
        <is>
          <t>0</t>
        </is>
      </c>
      <c r="F110" s="3" t="inlineStr">
        <is>
          <t>0</t>
        </is>
      </c>
      <c r="G110" s="3" t="inlineStr">
        <is>
          <t>0</t>
        </is>
      </c>
      <c r="H110" s="3" t="inlineStr">
        <is>
          <t>1</t>
        </is>
      </c>
      <c r="I110" s="3" t="inlineStr">
        <is>
          <t>0</t>
        </is>
      </c>
      <c r="J110" s="3" t="inlineStr">
        <is>
          <t>0</t>
        </is>
      </c>
      <c r="K110" s="3" t="inlineStr">
        <is>
          <t>1</t>
        </is>
      </c>
      <c r="L110" s="3" t="inlineStr">
        <is>
          <t>0</t>
        </is>
      </c>
      <c r="M110" s="3" t="inlineStr">
        <is>
          <t>1</t>
        </is>
      </c>
      <c r="N110" s="3" t="inlineStr">
        <is>
          <t>1</t>
        </is>
      </c>
      <c r="O110" s="4">
        <f>IF(OR($B110="",D110=""),"",--(D110=$B110))</f>
        <v/>
      </c>
      <c r="P110" s="4">
        <f>IF(OR($B110="",D110=""),"",IF($B110=1,--(D110=1),""))</f>
        <v/>
      </c>
      <c r="Q110" s="4">
        <f>IF(OR($B110="",D110=""),"",IF($B110=0,--(D110=0),""))</f>
        <v/>
      </c>
      <c r="R110" s="4">
        <f>IF(D110="","",--(D110=1))</f>
        <v/>
      </c>
      <c r="S110" s="4">
        <f>IF(OR($B110="",E110=""),"",--(E110=$B110))</f>
        <v/>
      </c>
      <c r="T110" s="4">
        <f>IF(OR($B110="",E110=""),"",IF($B110=1,--(E110=1),""))</f>
        <v/>
      </c>
      <c r="U110" s="4">
        <f>IF(OR($B110="",E110=""),"",IF($B110=0,--(E110=0),""))</f>
        <v/>
      </c>
      <c r="V110" s="4">
        <f>IF(E110="","",--(E110=1))</f>
        <v/>
      </c>
      <c r="W110" s="4">
        <f>IF(OR($B110="",F110=""),"",--(F110=$B110))</f>
        <v/>
      </c>
      <c r="X110" s="4">
        <f>IF(OR($B110="",F110=""),"",IF($B110=1,--(F110=1),""))</f>
        <v/>
      </c>
      <c r="Y110" s="4">
        <f>IF(OR($B110="",F110=""),"",IF($B110=0,--(F110=0),""))</f>
        <v/>
      </c>
      <c r="Z110" s="4">
        <f>IF(F110="","",--(F110=1))</f>
        <v/>
      </c>
      <c r="AA110" s="4">
        <f>IF(OR($B110="",G110=""),"",--(G110=$B110))</f>
        <v/>
      </c>
      <c r="AB110" s="4">
        <f>IF(OR($B110="",G110=""),"",IF($B110=1,--(G110=1),""))</f>
        <v/>
      </c>
      <c r="AC110" s="4">
        <f>IF(OR($B110="",G110=""),"",IF($B110=0,--(G110=0),""))</f>
        <v/>
      </c>
      <c r="AD110" s="4">
        <f>IF(G110="","",--(G110=1))</f>
        <v/>
      </c>
      <c r="AE110" s="4">
        <f>IF(OR($B110="",H110=""),"",--(H110=$B110))</f>
        <v/>
      </c>
      <c r="AF110" s="4">
        <f>IF(OR($B110="",H110=""),"",IF($B110=1,--(H110=1),""))</f>
        <v/>
      </c>
      <c r="AG110" s="4">
        <f>IF(OR($B110="",H110=""),"",IF($B110=0,--(H110=0),""))</f>
        <v/>
      </c>
      <c r="AH110" s="4">
        <f>IF(H110="","",--(H110=1))</f>
        <v/>
      </c>
      <c r="AI110" s="4">
        <f>IF(OR($B110="",I110=""),"",--(I110=$B110))</f>
        <v/>
      </c>
      <c r="AJ110" s="4">
        <f>IF(OR($B110="",I110=""),"",IF($B110=1,--(I110=1),""))</f>
        <v/>
      </c>
      <c r="AK110" s="4">
        <f>IF(OR($B110="",I110=""),"",IF($B110=0,--(I110=0),""))</f>
        <v/>
      </c>
      <c r="AL110" s="4">
        <f>IF(I110="","",--(I110=1))</f>
        <v/>
      </c>
      <c r="AM110" s="4">
        <f>IF(OR($B110="",J110=""),"",--(J110=$B110))</f>
        <v/>
      </c>
      <c r="AN110" s="4">
        <f>IF(OR($B110="",J110=""),"",IF($B110=1,--(J110=1),""))</f>
        <v/>
      </c>
      <c r="AO110" s="4">
        <f>IF(OR($B110="",J110=""),"",IF($B110=0,--(J110=0),""))</f>
        <v/>
      </c>
      <c r="AP110" s="4">
        <f>IF(J110="","",--(J110=1))</f>
        <v/>
      </c>
      <c r="AQ110" s="4">
        <f>IF(OR($B110="",K110=""),"",--(K110=$B110))</f>
        <v/>
      </c>
      <c r="AR110" s="4">
        <f>IF(OR($B110="",K110=""),"",IF($B110=1,--(K110=1),""))</f>
        <v/>
      </c>
      <c r="AS110" s="4">
        <f>IF(OR($B110="",K110=""),"",IF($B110=0,--(K110=0),""))</f>
        <v/>
      </c>
      <c r="AT110" s="4">
        <f>IF(K110="","",--(K110=1))</f>
        <v/>
      </c>
      <c r="AU110" s="4">
        <f>IF(OR($B110="",L110=""),"",--(L110=$B110))</f>
        <v/>
      </c>
      <c r="AV110" s="4">
        <f>IF(OR($B110="",L110=""),"",IF($B110=1,--(L110=1),""))</f>
        <v/>
      </c>
      <c r="AW110" s="4">
        <f>IF(OR($B110="",L110=""),"",IF($B110=0,--(L110=0),""))</f>
        <v/>
      </c>
      <c r="AX110" s="4">
        <f>IF(L110="","",--(L110=1))</f>
        <v/>
      </c>
      <c r="AY110" s="4">
        <f>IF(OR($B110="",M110=""),"",--(M110=$B110))</f>
        <v/>
      </c>
      <c r="AZ110" s="4">
        <f>IF(OR($B110="",M110=""),"",IF($B110=1,--(M110=1),""))</f>
        <v/>
      </c>
      <c r="BA110" s="4">
        <f>IF(OR($B110="",M110=""),"",IF($B110=0,--(M110=0),""))</f>
        <v/>
      </c>
      <c r="BB110" s="4">
        <f>IF(M110="","",--(M110=1))</f>
        <v/>
      </c>
      <c r="BC110" s="4">
        <f>IF(OR($B110="",N110=""),"",--(N110=$B110))</f>
        <v/>
      </c>
      <c r="BD110" s="4">
        <f>IF(OR($B110="",N110=""),"",IF($B110=1,--(N110=1),""))</f>
        <v/>
      </c>
      <c r="BE110" s="4">
        <f>IF(OR($B110="",N110=""),"",IF($B110=0,--(N110=0),""))</f>
        <v/>
      </c>
      <c r="BF110" s="4">
        <f>IF(N110="","",--(N110=1))</f>
        <v/>
      </c>
    </row>
    <row r="111">
      <c r="A111" s="3" t="inlineStr">
        <is>
          <t>202026803</t>
        </is>
      </c>
      <c r="B111" s="3" t="inlineStr">
        <is>
          <t>0</t>
        </is>
      </c>
      <c r="C111" s="3" t="inlineStr">
        <is>
          <t>Direct</t>
        </is>
      </c>
      <c r="D111" s="3" t="inlineStr">
        <is>
          <t>0</t>
        </is>
      </c>
      <c r="E111" s="3" t="inlineStr">
        <is>
          <t>1</t>
        </is>
      </c>
      <c r="F111" s="3" t="inlineStr">
        <is>
          <t>0</t>
        </is>
      </c>
      <c r="G111" s="3" t="inlineStr">
        <is>
          <t>0</t>
        </is>
      </c>
      <c r="H111" s="3" t="inlineStr">
        <is>
          <t>0</t>
        </is>
      </c>
      <c r="I111" s="3" t="inlineStr">
        <is>
          <t>0</t>
        </is>
      </c>
      <c r="J111" s="3" t="inlineStr">
        <is>
          <t>0</t>
        </is>
      </c>
      <c r="K111" s="3" t="inlineStr">
        <is>
          <t>1</t>
        </is>
      </c>
      <c r="L111" s="3" t="inlineStr">
        <is>
          <t>1</t>
        </is>
      </c>
      <c r="M111" s="3" t="inlineStr">
        <is>
          <t>1</t>
        </is>
      </c>
      <c r="N111" s="3" t="inlineStr">
        <is>
          <t>1</t>
        </is>
      </c>
      <c r="O111" s="4">
        <f>IF(OR($B111="",D111=""),"",--(D111=$B111))</f>
        <v/>
      </c>
      <c r="P111" s="4">
        <f>IF(OR($B111="",D111=""),"",IF($B111=1,--(D111=1),""))</f>
        <v/>
      </c>
      <c r="Q111" s="4">
        <f>IF(OR($B111="",D111=""),"",IF($B111=0,--(D111=0),""))</f>
        <v/>
      </c>
      <c r="R111" s="4">
        <f>IF(D111="","",--(D111=1))</f>
        <v/>
      </c>
      <c r="S111" s="4">
        <f>IF(OR($B111="",E111=""),"",--(E111=$B111))</f>
        <v/>
      </c>
      <c r="T111" s="4">
        <f>IF(OR($B111="",E111=""),"",IF($B111=1,--(E111=1),""))</f>
        <v/>
      </c>
      <c r="U111" s="4">
        <f>IF(OR($B111="",E111=""),"",IF($B111=0,--(E111=0),""))</f>
        <v/>
      </c>
      <c r="V111" s="4">
        <f>IF(E111="","",--(E111=1))</f>
        <v/>
      </c>
      <c r="W111" s="4">
        <f>IF(OR($B111="",F111=""),"",--(F111=$B111))</f>
        <v/>
      </c>
      <c r="X111" s="4">
        <f>IF(OR($B111="",F111=""),"",IF($B111=1,--(F111=1),""))</f>
        <v/>
      </c>
      <c r="Y111" s="4">
        <f>IF(OR($B111="",F111=""),"",IF($B111=0,--(F111=0),""))</f>
        <v/>
      </c>
      <c r="Z111" s="4">
        <f>IF(F111="","",--(F111=1))</f>
        <v/>
      </c>
      <c r="AA111" s="4">
        <f>IF(OR($B111="",G111=""),"",--(G111=$B111))</f>
        <v/>
      </c>
      <c r="AB111" s="4">
        <f>IF(OR($B111="",G111=""),"",IF($B111=1,--(G111=1),""))</f>
        <v/>
      </c>
      <c r="AC111" s="4">
        <f>IF(OR($B111="",G111=""),"",IF($B111=0,--(G111=0),""))</f>
        <v/>
      </c>
      <c r="AD111" s="4">
        <f>IF(G111="","",--(G111=1))</f>
        <v/>
      </c>
      <c r="AE111" s="4">
        <f>IF(OR($B111="",H111=""),"",--(H111=$B111))</f>
        <v/>
      </c>
      <c r="AF111" s="4">
        <f>IF(OR($B111="",H111=""),"",IF($B111=1,--(H111=1),""))</f>
        <v/>
      </c>
      <c r="AG111" s="4">
        <f>IF(OR($B111="",H111=""),"",IF($B111=0,--(H111=0),""))</f>
        <v/>
      </c>
      <c r="AH111" s="4">
        <f>IF(H111="","",--(H111=1))</f>
        <v/>
      </c>
      <c r="AI111" s="4">
        <f>IF(OR($B111="",I111=""),"",--(I111=$B111))</f>
        <v/>
      </c>
      <c r="AJ111" s="4">
        <f>IF(OR($B111="",I111=""),"",IF($B111=1,--(I111=1),""))</f>
        <v/>
      </c>
      <c r="AK111" s="4">
        <f>IF(OR($B111="",I111=""),"",IF($B111=0,--(I111=0),""))</f>
        <v/>
      </c>
      <c r="AL111" s="4">
        <f>IF(I111="","",--(I111=1))</f>
        <v/>
      </c>
      <c r="AM111" s="4">
        <f>IF(OR($B111="",J111=""),"",--(J111=$B111))</f>
        <v/>
      </c>
      <c r="AN111" s="4">
        <f>IF(OR($B111="",J111=""),"",IF($B111=1,--(J111=1),""))</f>
        <v/>
      </c>
      <c r="AO111" s="4">
        <f>IF(OR($B111="",J111=""),"",IF($B111=0,--(J111=0),""))</f>
        <v/>
      </c>
      <c r="AP111" s="4">
        <f>IF(J111="","",--(J111=1))</f>
        <v/>
      </c>
      <c r="AQ111" s="4">
        <f>IF(OR($B111="",K111=""),"",--(K111=$B111))</f>
        <v/>
      </c>
      <c r="AR111" s="4">
        <f>IF(OR($B111="",K111=""),"",IF($B111=1,--(K111=1),""))</f>
        <v/>
      </c>
      <c r="AS111" s="4">
        <f>IF(OR($B111="",K111=""),"",IF($B111=0,--(K111=0),""))</f>
        <v/>
      </c>
      <c r="AT111" s="4">
        <f>IF(K111="","",--(K111=1))</f>
        <v/>
      </c>
      <c r="AU111" s="4">
        <f>IF(OR($B111="",L111=""),"",--(L111=$B111))</f>
        <v/>
      </c>
      <c r="AV111" s="4">
        <f>IF(OR($B111="",L111=""),"",IF($B111=1,--(L111=1),""))</f>
        <v/>
      </c>
      <c r="AW111" s="4">
        <f>IF(OR($B111="",L111=""),"",IF($B111=0,--(L111=0),""))</f>
        <v/>
      </c>
      <c r="AX111" s="4">
        <f>IF(L111="","",--(L111=1))</f>
        <v/>
      </c>
      <c r="AY111" s="4">
        <f>IF(OR($B111="",M111=""),"",--(M111=$B111))</f>
        <v/>
      </c>
      <c r="AZ111" s="4">
        <f>IF(OR($B111="",M111=""),"",IF($B111=1,--(M111=1),""))</f>
        <v/>
      </c>
      <c r="BA111" s="4">
        <f>IF(OR($B111="",M111=""),"",IF($B111=0,--(M111=0),""))</f>
        <v/>
      </c>
      <c r="BB111" s="4">
        <f>IF(M111="","",--(M111=1))</f>
        <v/>
      </c>
      <c r="BC111" s="4">
        <f>IF(OR($B111="",N111=""),"",--(N111=$B111))</f>
        <v/>
      </c>
      <c r="BD111" s="4">
        <f>IF(OR($B111="",N111=""),"",IF($B111=1,--(N111=1),""))</f>
        <v/>
      </c>
      <c r="BE111" s="4">
        <f>IF(OR($B111="",N111=""),"",IF($B111=0,--(N111=0),""))</f>
        <v/>
      </c>
      <c r="BF111" s="4">
        <f>IF(N111="","",--(N111=1))</f>
        <v/>
      </c>
    </row>
    <row r="112">
      <c r="A112" s="3" t="inlineStr">
        <is>
          <t>202027380</t>
        </is>
      </c>
      <c r="B112" s="3" t="inlineStr">
        <is>
          <t>1</t>
        </is>
      </c>
      <c r="C112" s="3" t="inlineStr">
        <is>
          <t>Direct</t>
        </is>
      </c>
      <c r="D112" s="3" t="inlineStr">
        <is>
          <t>1</t>
        </is>
      </c>
      <c r="E112" s="3" t="inlineStr">
        <is>
          <t>0</t>
        </is>
      </c>
      <c r="F112" s="3" t="inlineStr">
        <is>
          <t>0</t>
        </is>
      </c>
      <c r="G112" s="3" t="inlineStr">
        <is>
          <t>0</t>
        </is>
      </c>
      <c r="H112" s="3" t="inlineStr">
        <is>
          <t>0</t>
        </is>
      </c>
      <c r="I112" s="3" t="inlineStr">
        <is>
          <t>1</t>
        </is>
      </c>
      <c r="J112" s="3" t="inlineStr">
        <is>
          <t>1</t>
        </is>
      </c>
      <c r="K112" s="3" t="inlineStr">
        <is>
          <t>1</t>
        </is>
      </c>
      <c r="L112" s="3" t="inlineStr">
        <is>
          <t>0</t>
        </is>
      </c>
      <c r="M112" s="3" t="inlineStr">
        <is>
          <t>1</t>
        </is>
      </c>
      <c r="N112" s="3" t="inlineStr">
        <is>
          <t>1</t>
        </is>
      </c>
      <c r="O112" s="4">
        <f>IF(OR($B112="",D112=""),"",--(D112=$B112))</f>
        <v/>
      </c>
      <c r="P112" s="4">
        <f>IF(OR($B112="",D112=""),"",IF($B112=1,--(D112=1),""))</f>
        <v/>
      </c>
      <c r="Q112" s="4">
        <f>IF(OR($B112="",D112=""),"",IF($B112=0,--(D112=0),""))</f>
        <v/>
      </c>
      <c r="R112" s="4">
        <f>IF(D112="","",--(D112=1))</f>
        <v/>
      </c>
      <c r="S112" s="4">
        <f>IF(OR($B112="",E112=""),"",--(E112=$B112))</f>
        <v/>
      </c>
      <c r="T112" s="4">
        <f>IF(OR($B112="",E112=""),"",IF($B112=1,--(E112=1),""))</f>
        <v/>
      </c>
      <c r="U112" s="4">
        <f>IF(OR($B112="",E112=""),"",IF($B112=0,--(E112=0),""))</f>
        <v/>
      </c>
      <c r="V112" s="4">
        <f>IF(E112="","",--(E112=1))</f>
        <v/>
      </c>
      <c r="W112" s="4">
        <f>IF(OR($B112="",F112=""),"",--(F112=$B112))</f>
        <v/>
      </c>
      <c r="X112" s="4">
        <f>IF(OR($B112="",F112=""),"",IF($B112=1,--(F112=1),""))</f>
        <v/>
      </c>
      <c r="Y112" s="4">
        <f>IF(OR($B112="",F112=""),"",IF($B112=0,--(F112=0),""))</f>
        <v/>
      </c>
      <c r="Z112" s="4">
        <f>IF(F112="","",--(F112=1))</f>
        <v/>
      </c>
      <c r="AA112" s="4">
        <f>IF(OR($B112="",G112=""),"",--(G112=$B112))</f>
        <v/>
      </c>
      <c r="AB112" s="4">
        <f>IF(OR($B112="",G112=""),"",IF($B112=1,--(G112=1),""))</f>
        <v/>
      </c>
      <c r="AC112" s="4">
        <f>IF(OR($B112="",G112=""),"",IF($B112=0,--(G112=0),""))</f>
        <v/>
      </c>
      <c r="AD112" s="4">
        <f>IF(G112="","",--(G112=1))</f>
        <v/>
      </c>
      <c r="AE112" s="4">
        <f>IF(OR($B112="",H112=""),"",--(H112=$B112))</f>
        <v/>
      </c>
      <c r="AF112" s="4">
        <f>IF(OR($B112="",H112=""),"",IF($B112=1,--(H112=1),""))</f>
        <v/>
      </c>
      <c r="AG112" s="4">
        <f>IF(OR($B112="",H112=""),"",IF($B112=0,--(H112=0),""))</f>
        <v/>
      </c>
      <c r="AH112" s="4">
        <f>IF(H112="","",--(H112=1))</f>
        <v/>
      </c>
      <c r="AI112" s="4">
        <f>IF(OR($B112="",I112=""),"",--(I112=$B112))</f>
        <v/>
      </c>
      <c r="AJ112" s="4">
        <f>IF(OR($B112="",I112=""),"",IF($B112=1,--(I112=1),""))</f>
        <v/>
      </c>
      <c r="AK112" s="4">
        <f>IF(OR($B112="",I112=""),"",IF($B112=0,--(I112=0),""))</f>
        <v/>
      </c>
      <c r="AL112" s="4">
        <f>IF(I112="","",--(I112=1))</f>
        <v/>
      </c>
      <c r="AM112" s="4">
        <f>IF(OR($B112="",J112=""),"",--(J112=$B112))</f>
        <v/>
      </c>
      <c r="AN112" s="4">
        <f>IF(OR($B112="",J112=""),"",IF($B112=1,--(J112=1),""))</f>
        <v/>
      </c>
      <c r="AO112" s="4">
        <f>IF(OR($B112="",J112=""),"",IF($B112=0,--(J112=0),""))</f>
        <v/>
      </c>
      <c r="AP112" s="4">
        <f>IF(J112="","",--(J112=1))</f>
        <v/>
      </c>
      <c r="AQ112" s="4">
        <f>IF(OR($B112="",K112=""),"",--(K112=$B112))</f>
        <v/>
      </c>
      <c r="AR112" s="4">
        <f>IF(OR($B112="",K112=""),"",IF($B112=1,--(K112=1),""))</f>
        <v/>
      </c>
      <c r="AS112" s="4">
        <f>IF(OR($B112="",K112=""),"",IF($B112=0,--(K112=0),""))</f>
        <v/>
      </c>
      <c r="AT112" s="4">
        <f>IF(K112="","",--(K112=1))</f>
        <v/>
      </c>
      <c r="AU112" s="4">
        <f>IF(OR($B112="",L112=""),"",--(L112=$B112))</f>
        <v/>
      </c>
      <c r="AV112" s="4">
        <f>IF(OR($B112="",L112=""),"",IF($B112=1,--(L112=1),""))</f>
        <v/>
      </c>
      <c r="AW112" s="4">
        <f>IF(OR($B112="",L112=""),"",IF($B112=0,--(L112=0),""))</f>
        <v/>
      </c>
      <c r="AX112" s="4">
        <f>IF(L112="","",--(L112=1))</f>
        <v/>
      </c>
      <c r="AY112" s="4">
        <f>IF(OR($B112="",M112=""),"",--(M112=$B112))</f>
        <v/>
      </c>
      <c r="AZ112" s="4">
        <f>IF(OR($B112="",M112=""),"",IF($B112=1,--(M112=1),""))</f>
        <v/>
      </c>
      <c r="BA112" s="4">
        <f>IF(OR($B112="",M112=""),"",IF($B112=0,--(M112=0),""))</f>
        <v/>
      </c>
      <c r="BB112" s="4">
        <f>IF(M112="","",--(M112=1))</f>
        <v/>
      </c>
      <c r="BC112" s="4">
        <f>IF(OR($B112="",N112=""),"",--(N112=$B112))</f>
        <v/>
      </c>
      <c r="BD112" s="4">
        <f>IF(OR($B112="",N112=""),"",IF($B112=1,--(N112=1),""))</f>
        <v/>
      </c>
      <c r="BE112" s="4">
        <f>IF(OR($B112="",N112=""),"",IF($B112=0,--(N112=0),""))</f>
        <v/>
      </c>
      <c r="BF112" s="4">
        <f>IF(N112="","",--(N112=1))</f>
        <v/>
      </c>
    </row>
    <row r="113">
      <c r="A113" s="3" t="inlineStr">
        <is>
          <t>202027662</t>
        </is>
      </c>
      <c r="B113" s="3" t="inlineStr">
        <is>
          <t>0</t>
        </is>
      </c>
      <c r="C113" s="3" t="inlineStr">
        <is>
          <t>Direct</t>
        </is>
      </c>
      <c r="D113" s="3" t="inlineStr">
        <is>
          <t>1</t>
        </is>
      </c>
      <c r="E113" s="3" t="inlineStr">
        <is>
          <t>1</t>
        </is>
      </c>
      <c r="F113" s="3" t="inlineStr">
        <is>
          <t>0</t>
        </is>
      </c>
      <c r="G113" s="3" t="inlineStr">
        <is>
          <t>0</t>
        </is>
      </c>
      <c r="H113" s="3" t="inlineStr">
        <is>
          <t>0</t>
        </is>
      </c>
      <c r="I113" s="3" t="inlineStr">
        <is>
          <t>1</t>
        </is>
      </c>
      <c r="J113" s="3" t="inlineStr">
        <is>
          <t>1</t>
        </is>
      </c>
      <c r="K113" s="3" t="inlineStr">
        <is>
          <t>1</t>
        </is>
      </c>
      <c r="L113" s="3" t="inlineStr">
        <is>
          <t>1</t>
        </is>
      </c>
      <c r="M113" s="3" t="inlineStr">
        <is>
          <t>1</t>
        </is>
      </c>
      <c r="N113" s="3" t="inlineStr">
        <is>
          <t>1</t>
        </is>
      </c>
      <c r="O113" s="4">
        <f>IF(OR($B113="",D113=""),"",--(D113=$B113))</f>
        <v/>
      </c>
      <c r="P113" s="4">
        <f>IF(OR($B113="",D113=""),"",IF($B113=1,--(D113=1),""))</f>
        <v/>
      </c>
      <c r="Q113" s="4">
        <f>IF(OR($B113="",D113=""),"",IF($B113=0,--(D113=0),""))</f>
        <v/>
      </c>
      <c r="R113" s="4">
        <f>IF(D113="","",--(D113=1))</f>
        <v/>
      </c>
      <c r="S113" s="4">
        <f>IF(OR($B113="",E113=""),"",--(E113=$B113))</f>
        <v/>
      </c>
      <c r="T113" s="4">
        <f>IF(OR($B113="",E113=""),"",IF($B113=1,--(E113=1),""))</f>
        <v/>
      </c>
      <c r="U113" s="4">
        <f>IF(OR($B113="",E113=""),"",IF($B113=0,--(E113=0),""))</f>
        <v/>
      </c>
      <c r="V113" s="4">
        <f>IF(E113="","",--(E113=1))</f>
        <v/>
      </c>
      <c r="W113" s="4">
        <f>IF(OR($B113="",F113=""),"",--(F113=$B113))</f>
        <v/>
      </c>
      <c r="X113" s="4">
        <f>IF(OR($B113="",F113=""),"",IF($B113=1,--(F113=1),""))</f>
        <v/>
      </c>
      <c r="Y113" s="4">
        <f>IF(OR($B113="",F113=""),"",IF($B113=0,--(F113=0),""))</f>
        <v/>
      </c>
      <c r="Z113" s="4">
        <f>IF(F113="","",--(F113=1))</f>
        <v/>
      </c>
      <c r="AA113" s="4">
        <f>IF(OR($B113="",G113=""),"",--(G113=$B113))</f>
        <v/>
      </c>
      <c r="AB113" s="4">
        <f>IF(OR($B113="",G113=""),"",IF($B113=1,--(G113=1),""))</f>
        <v/>
      </c>
      <c r="AC113" s="4">
        <f>IF(OR($B113="",G113=""),"",IF($B113=0,--(G113=0),""))</f>
        <v/>
      </c>
      <c r="AD113" s="4">
        <f>IF(G113="","",--(G113=1))</f>
        <v/>
      </c>
      <c r="AE113" s="4">
        <f>IF(OR($B113="",H113=""),"",--(H113=$B113))</f>
        <v/>
      </c>
      <c r="AF113" s="4">
        <f>IF(OR($B113="",H113=""),"",IF($B113=1,--(H113=1),""))</f>
        <v/>
      </c>
      <c r="AG113" s="4">
        <f>IF(OR($B113="",H113=""),"",IF($B113=0,--(H113=0),""))</f>
        <v/>
      </c>
      <c r="AH113" s="4">
        <f>IF(H113="","",--(H113=1))</f>
        <v/>
      </c>
      <c r="AI113" s="4">
        <f>IF(OR($B113="",I113=""),"",--(I113=$B113))</f>
        <v/>
      </c>
      <c r="AJ113" s="4">
        <f>IF(OR($B113="",I113=""),"",IF($B113=1,--(I113=1),""))</f>
        <v/>
      </c>
      <c r="AK113" s="4">
        <f>IF(OR($B113="",I113=""),"",IF($B113=0,--(I113=0),""))</f>
        <v/>
      </c>
      <c r="AL113" s="4">
        <f>IF(I113="","",--(I113=1))</f>
        <v/>
      </c>
      <c r="AM113" s="4">
        <f>IF(OR($B113="",J113=""),"",--(J113=$B113))</f>
        <v/>
      </c>
      <c r="AN113" s="4">
        <f>IF(OR($B113="",J113=""),"",IF($B113=1,--(J113=1),""))</f>
        <v/>
      </c>
      <c r="AO113" s="4">
        <f>IF(OR($B113="",J113=""),"",IF($B113=0,--(J113=0),""))</f>
        <v/>
      </c>
      <c r="AP113" s="4">
        <f>IF(J113="","",--(J113=1))</f>
        <v/>
      </c>
      <c r="AQ113" s="4">
        <f>IF(OR($B113="",K113=""),"",--(K113=$B113))</f>
        <v/>
      </c>
      <c r="AR113" s="4">
        <f>IF(OR($B113="",K113=""),"",IF($B113=1,--(K113=1),""))</f>
        <v/>
      </c>
      <c r="AS113" s="4">
        <f>IF(OR($B113="",K113=""),"",IF($B113=0,--(K113=0),""))</f>
        <v/>
      </c>
      <c r="AT113" s="4">
        <f>IF(K113="","",--(K113=1))</f>
        <v/>
      </c>
      <c r="AU113" s="4">
        <f>IF(OR($B113="",L113=""),"",--(L113=$B113))</f>
        <v/>
      </c>
      <c r="AV113" s="4">
        <f>IF(OR($B113="",L113=""),"",IF($B113=1,--(L113=1),""))</f>
        <v/>
      </c>
      <c r="AW113" s="4">
        <f>IF(OR($B113="",L113=""),"",IF($B113=0,--(L113=0),""))</f>
        <v/>
      </c>
      <c r="AX113" s="4">
        <f>IF(L113="","",--(L113=1))</f>
        <v/>
      </c>
      <c r="AY113" s="4">
        <f>IF(OR($B113="",M113=""),"",--(M113=$B113))</f>
        <v/>
      </c>
      <c r="AZ113" s="4">
        <f>IF(OR($B113="",M113=""),"",IF($B113=1,--(M113=1),""))</f>
        <v/>
      </c>
      <c r="BA113" s="4">
        <f>IF(OR($B113="",M113=""),"",IF($B113=0,--(M113=0),""))</f>
        <v/>
      </c>
      <c r="BB113" s="4">
        <f>IF(M113="","",--(M113=1))</f>
        <v/>
      </c>
      <c r="BC113" s="4">
        <f>IF(OR($B113="",N113=""),"",--(N113=$B113))</f>
        <v/>
      </c>
      <c r="BD113" s="4">
        <f>IF(OR($B113="",N113=""),"",IF($B113=1,--(N113=1),""))</f>
        <v/>
      </c>
      <c r="BE113" s="4">
        <f>IF(OR($B113="",N113=""),"",IF($B113=0,--(N113=0),""))</f>
        <v/>
      </c>
      <c r="BF113" s="4">
        <f>IF(N113="","",--(N113=1))</f>
        <v/>
      </c>
    </row>
    <row r="114">
      <c r="A114" s="3" t="inlineStr">
        <is>
          <t>202027697</t>
        </is>
      </c>
      <c r="B114" s="3" t="inlineStr">
        <is>
          <t>1</t>
        </is>
      </c>
      <c r="C114" s="3" t="inlineStr">
        <is>
          <t>Direct</t>
        </is>
      </c>
      <c r="D114" s="3" t="inlineStr">
        <is>
          <t>1</t>
        </is>
      </c>
      <c r="E114" s="3" t="inlineStr">
        <is>
          <t>1</t>
        </is>
      </c>
      <c r="F114" s="3" t="inlineStr">
        <is>
          <t>0</t>
        </is>
      </c>
      <c r="G114" s="3" t="inlineStr">
        <is>
          <t>1</t>
        </is>
      </c>
      <c r="H114" s="3" t="inlineStr">
        <is>
          <t>1</t>
        </is>
      </c>
      <c r="I114" s="3" t="inlineStr">
        <is>
          <t>1</t>
        </is>
      </c>
      <c r="J114" s="3" t="inlineStr">
        <is>
          <t>1</t>
        </is>
      </c>
      <c r="K114" s="3" t="inlineStr">
        <is>
          <t>1</t>
        </is>
      </c>
      <c r="L114" s="3" t="inlineStr">
        <is>
          <t>1</t>
        </is>
      </c>
      <c r="M114" s="3" t="inlineStr">
        <is>
          <t>1</t>
        </is>
      </c>
      <c r="N114" s="3" t="inlineStr">
        <is>
          <t>1</t>
        </is>
      </c>
      <c r="O114" s="4">
        <f>IF(OR($B114="",D114=""),"",--(D114=$B114))</f>
        <v/>
      </c>
      <c r="P114" s="4">
        <f>IF(OR($B114="",D114=""),"",IF($B114=1,--(D114=1),""))</f>
        <v/>
      </c>
      <c r="Q114" s="4">
        <f>IF(OR($B114="",D114=""),"",IF($B114=0,--(D114=0),""))</f>
        <v/>
      </c>
      <c r="R114" s="4">
        <f>IF(D114="","",--(D114=1))</f>
        <v/>
      </c>
      <c r="S114" s="4">
        <f>IF(OR($B114="",E114=""),"",--(E114=$B114))</f>
        <v/>
      </c>
      <c r="T114" s="4">
        <f>IF(OR($B114="",E114=""),"",IF($B114=1,--(E114=1),""))</f>
        <v/>
      </c>
      <c r="U114" s="4">
        <f>IF(OR($B114="",E114=""),"",IF($B114=0,--(E114=0),""))</f>
        <v/>
      </c>
      <c r="V114" s="4">
        <f>IF(E114="","",--(E114=1))</f>
        <v/>
      </c>
      <c r="W114" s="4">
        <f>IF(OR($B114="",F114=""),"",--(F114=$B114))</f>
        <v/>
      </c>
      <c r="X114" s="4">
        <f>IF(OR($B114="",F114=""),"",IF($B114=1,--(F114=1),""))</f>
        <v/>
      </c>
      <c r="Y114" s="4">
        <f>IF(OR($B114="",F114=""),"",IF($B114=0,--(F114=0),""))</f>
        <v/>
      </c>
      <c r="Z114" s="4">
        <f>IF(F114="","",--(F114=1))</f>
        <v/>
      </c>
      <c r="AA114" s="4">
        <f>IF(OR($B114="",G114=""),"",--(G114=$B114))</f>
        <v/>
      </c>
      <c r="AB114" s="4">
        <f>IF(OR($B114="",G114=""),"",IF($B114=1,--(G114=1),""))</f>
        <v/>
      </c>
      <c r="AC114" s="4">
        <f>IF(OR($B114="",G114=""),"",IF($B114=0,--(G114=0),""))</f>
        <v/>
      </c>
      <c r="AD114" s="4">
        <f>IF(G114="","",--(G114=1))</f>
        <v/>
      </c>
      <c r="AE114" s="4">
        <f>IF(OR($B114="",H114=""),"",--(H114=$B114))</f>
        <v/>
      </c>
      <c r="AF114" s="4">
        <f>IF(OR($B114="",H114=""),"",IF($B114=1,--(H114=1),""))</f>
        <v/>
      </c>
      <c r="AG114" s="4">
        <f>IF(OR($B114="",H114=""),"",IF($B114=0,--(H114=0),""))</f>
        <v/>
      </c>
      <c r="AH114" s="4">
        <f>IF(H114="","",--(H114=1))</f>
        <v/>
      </c>
      <c r="AI114" s="4">
        <f>IF(OR($B114="",I114=""),"",--(I114=$B114))</f>
        <v/>
      </c>
      <c r="AJ114" s="4">
        <f>IF(OR($B114="",I114=""),"",IF($B114=1,--(I114=1),""))</f>
        <v/>
      </c>
      <c r="AK114" s="4">
        <f>IF(OR($B114="",I114=""),"",IF($B114=0,--(I114=0),""))</f>
        <v/>
      </c>
      <c r="AL114" s="4">
        <f>IF(I114="","",--(I114=1))</f>
        <v/>
      </c>
      <c r="AM114" s="4">
        <f>IF(OR($B114="",J114=""),"",--(J114=$B114))</f>
        <v/>
      </c>
      <c r="AN114" s="4">
        <f>IF(OR($B114="",J114=""),"",IF($B114=1,--(J114=1),""))</f>
        <v/>
      </c>
      <c r="AO114" s="4">
        <f>IF(OR($B114="",J114=""),"",IF($B114=0,--(J114=0),""))</f>
        <v/>
      </c>
      <c r="AP114" s="4">
        <f>IF(J114="","",--(J114=1))</f>
        <v/>
      </c>
      <c r="AQ114" s="4">
        <f>IF(OR($B114="",K114=""),"",--(K114=$B114))</f>
        <v/>
      </c>
      <c r="AR114" s="4">
        <f>IF(OR($B114="",K114=""),"",IF($B114=1,--(K114=1),""))</f>
        <v/>
      </c>
      <c r="AS114" s="4">
        <f>IF(OR($B114="",K114=""),"",IF($B114=0,--(K114=0),""))</f>
        <v/>
      </c>
      <c r="AT114" s="4">
        <f>IF(K114="","",--(K114=1))</f>
        <v/>
      </c>
      <c r="AU114" s="4">
        <f>IF(OR($B114="",L114=""),"",--(L114=$B114))</f>
        <v/>
      </c>
      <c r="AV114" s="4">
        <f>IF(OR($B114="",L114=""),"",IF($B114=1,--(L114=1),""))</f>
        <v/>
      </c>
      <c r="AW114" s="4">
        <f>IF(OR($B114="",L114=""),"",IF($B114=0,--(L114=0),""))</f>
        <v/>
      </c>
      <c r="AX114" s="4">
        <f>IF(L114="","",--(L114=1))</f>
        <v/>
      </c>
      <c r="AY114" s="4">
        <f>IF(OR($B114="",M114=""),"",--(M114=$B114))</f>
        <v/>
      </c>
      <c r="AZ114" s="4">
        <f>IF(OR($B114="",M114=""),"",IF($B114=1,--(M114=1),""))</f>
        <v/>
      </c>
      <c r="BA114" s="4">
        <f>IF(OR($B114="",M114=""),"",IF($B114=0,--(M114=0),""))</f>
        <v/>
      </c>
      <c r="BB114" s="4">
        <f>IF(M114="","",--(M114=1))</f>
        <v/>
      </c>
      <c r="BC114" s="4">
        <f>IF(OR($B114="",N114=""),"",--(N114=$B114))</f>
        <v/>
      </c>
      <c r="BD114" s="4">
        <f>IF(OR($B114="",N114=""),"",IF($B114=1,--(N114=1),""))</f>
        <v/>
      </c>
      <c r="BE114" s="4">
        <f>IF(OR($B114="",N114=""),"",IF($B114=0,--(N114=0),""))</f>
        <v/>
      </c>
      <c r="BF114" s="4">
        <f>IF(N114="","",--(N114=1))</f>
        <v/>
      </c>
    </row>
    <row r="115">
      <c r="A115" s="3" t="inlineStr">
        <is>
          <t>202027995</t>
        </is>
      </c>
      <c r="B115" s="3" t="inlineStr">
        <is>
          <t>0</t>
        </is>
      </c>
      <c r="C115" s="3" t="inlineStr">
        <is>
          <t>Direct</t>
        </is>
      </c>
      <c r="D115" s="3" t="inlineStr">
        <is>
          <t>1</t>
        </is>
      </c>
      <c r="E115" s="3" t="inlineStr">
        <is>
          <t>0</t>
        </is>
      </c>
      <c r="F115" s="3" t="inlineStr">
        <is>
          <t>0</t>
        </is>
      </c>
      <c r="G115" s="3" t="inlineStr">
        <is>
          <t>0</t>
        </is>
      </c>
      <c r="H115" s="3" t="inlineStr">
        <is>
          <t>0</t>
        </is>
      </c>
      <c r="I115" s="3" t="inlineStr">
        <is>
          <t>0</t>
        </is>
      </c>
      <c r="J115" s="3" t="inlineStr">
        <is>
          <t>0</t>
        </is>
      </c>
      <c r="K115" s="3" t="inlineStr">
        <is>
          <t>0</t>
        </is>
      </c>
      <c r="L115" s="3" t="inlineStr">
        <is>
          <t>0</t>
        </is>
      </c>
      <c r="M115" s="3" t="inlineStr">
        <is>
          <t>0</t>
        </is>
      </c>
      <c r="N115" s="3" t="inlineStr">
        <is>
          <t>0</t>
        </is>
      </c>
      <c r="O115" s="4">
        <f>IF(OR($B115="",D115=""),"",--(D115=$B115))</f>
        <v/>
      </c>
      <c r="P115" s="4">
        <f>IF(OR($B115="",D115=""),"",IF($B115=1,--(D115=1),""))</f>
        <v/>
      </c>
      <c r="Q115" s="4">
        <f>IF(OR($B115="",D115=""),"",IF($B115=0,--(D115=0),""))</f>
        <v/>
      </c>
      <c r="R115" s="4">
        <f>IF(D115="","",--(D115=1))</f>
        <v/>
      </c>
      <c r="S115" s="4">
        <f>IF(OR($B115="",E115=""),"",--(E115=$B115))</f>
        <v/>
      </c>
      <c r="T115" s="4">
        <f>IF(OR($B115="",E115=""),"",IF($B115=1,--(E115=1),""))</f>
        <v/>
      </c>
      <c r="U115" s="4">
        <f>IF(OR($B115="",E115=""),"",IF($B115=0,--(E115=0),""))</f>
        <v/>
      </c>
      <c r="V115" s="4">
        <f>IF(E115="","",--(E115=1))</f>
        <v/>
      </c>
      <c r="W115" s="4">
        <f>IF(OR($B115="",F115=""),"",--(F115=$B115))</f>
        <v/>
      </c>
      <c r="X115" s="4">
        <f>IF(OR($B115="",F115=""),"",IF($B115=1,--(F115=1),""))</f>
        <v/>
      </c>
      <c r="Y115" s="4">
        <f>IF(OR($B115="",F115=""),"",IF($B115=0,--(F115=0),""))</f>
        <v/>
      </c>
      <c r="Z115" s="4">
        <f>IF(F115="","",--(F115=1))</f>
        <v/>
      </c>
      <c r="AA115" s="4">
        <f>IF(OR($B115="",G115=""),"",--(G115=$B115))</f>
        <v/>
      </c>
      <c r="AB115" s="4">
        <f>IF(OR($B115="",G115=""),"",IF($B115=1,--(G115=1),""))</f>
        <v/>
      </c>
      <c r="AC115" s="4">
        <f>IF(OR($B115="",G115=""),"",IF($B115=0,--(G115=0),""))</f>
        <v/>
      </c>
      <c r="AD115" s="4">
        <f>IF(G115="","",--(G115=1))</f>
        <v/>
      </c>
      <c r="AE115" s="4">
        <f>IF(OR($B115="",H115=""),"",--(H115=$B115))</f>
        <v/>
      </c>
      <c r="AF115" s="4">
        <f>IF(OR($B115="",H115=""),"",IF($B115=1,--(H115=1),""))</f>
        <v/>
      </c>
      <c r="AG115" s="4">
        <f>IF(OR($B115="",H115=""),"",IF($B115=0,--(H115=0),""))</f>
        <v/>
      </c>
      <c r="AH115" s="4">
        <f>IF(H115="","",--(H115=1))</f>
        <v/>
      </c>
      <c r="AI115" s="4">
        <f>IF(OR($B115="",I115=""),"",--(I115=$B115))</f>
        <v/>
      </c>
      <c r="AJ115" s="4">
        <f>IF(OR($B115="",I115=""),"",IF($B115=1,--(I115=1),""))</f>
        <v/>
      </c>
      <c r="AK115" s="4">
        <f>IF(OR($B115="",I115=""),"",IF($B115=0,--(I115=0),""))</f>
        <v/>
      </c>
      <c r="AL115" s="4">
        <f>IF(I115="","",--(I115=1))</f>
        <v/>
      </c>
      <c r="AM115" s="4">
        <f>IF(OR($B115="",J115=""),"",--(J115=$B115))</f>
        <v/>
      </c>
      <c r="AN115" s="4">
        <f>IF(OR($B115="",J115=""),"",IF($B115=1,--(J115=1),""))</f>
        <v/>
      </c>
      <c r="AO115" s="4">
        <f>IF(OR($B115="",J115=""),"",IF($B115=0,--(J115=0),""))</f>
        <v/>
      </c>
      <c r="AP115" s="4">
        <f>IF(J115="","",--(J115=1))</f>
        <v/>
      </c>
      <c r="AQ115" s="4">
        <f>IF(OR($B115="",K115=""),"",--(K115=$B115))</f>
        <v/>
      </c>
      <c r="AR115" s="4">
        <f>IF(OR($B115="",K115=""),"",IF($B115=1,--(K115=1),""))</f>
        <v/>
      </c>
      <c r="AS115" s="4">
        <f>IF(OR($B115="",K115=""),"",IF($B115=0,--(K115=0),""))</f>
        <v/>
      </c>
      <c r="AT115" s="4">
        <f>IF(K115="","",--(K115=1))</f>
        <v/>
      </c>
      <c r="AU115" s="4">
        <f>IF(OR($B115="",L115=""),"",--(L115=$B115))</f>
        <v/>
      </c>
      <c r="AV115" s="4">
        <f>IF(OR($B115="",L115=""),"",IF($B115=1,--(L115=1),""))</f>
        <v/>
      </c>
      <c r="AW115" s="4">
        <f>IF(OR($B115="",L115=""),"",IF($B115=0,--(L115=0),""))</f>
        <v/>
      </c>
      <c r="AX115" s="4">
        <f>IF(L115="","",--(L115=1))</f>
        <v/>
      </c>
      <c r="AY115" s="4">
        <f>IF(OR($B115="",M115=""),"",--(M115=$B115))</f>
        <v/>
      </c>
      <c r="AZ115" s="4">
        <f>IF(OR($B115="",M115=""),"",IF($B115=1,--(M115=1),""))</f>
        <v/>
      </c>
      <c r="BA115" s="4">
        <f>IF(OR($B115="",M115=""),"",IF($B115=0,--(M115=0),""))</f>
        <v/>
      </c>
      <c r="BB115" s="4">
        <f>IF(M115="","",--(M115=1))</f>
        <v/>
      </c>
      <c r="BC115" s="4">
        <f>IF(OR($B115="",N115=""),"",--(N115=$B115))</f>
        <v/>
      </c>
      <c r="BD115" s="4">
        <f>IF(OR($B115="",N115=""),"",IF($B115=1,--(N115=1),""))</f>
        <v/>
      </c>
      <c r="BE115" s="4">
        <f>IF(OR($B115="",N115=""),"",IF($B115=0,--(N115=0),""))</f>
        <v/>
      </c>
      <c r="BF115" s="4">
        <f>IF(N115="","",--(N115=1))</f>
        <v/>
      </c>
    </row>
    <row r="116">
      <c r="A116" s="3" t="inlineStr">
        <is>
          <t>202028090</t>
        </is>
      </c>
      <c r="B116" s="3" t="inlineStr">
        <is>
          <t>0</t>
        </is>
      </c>
      <c r="C116" s="3" t="inlineStr">
        <is>
          <t>Direct</t>
        </is>
      </c>
      <c r="D116" s="3" t="inlineStr">
        <is>
          <t>1</t>
        </is>
      </c>
      <c r="E116" s="3" t="inlineStr">
        <is>
          <t>1</t>
        </is>
      </c>
      <c r="F116" s="3" t="inlineStr">
        <is>
          <t>1</t>
        </is>
      </c>
      <c r="G116" s="3" t="inlineStr">
        <is>
          <t>1</t>
        </is>
      </c>
      <c r="H116" s="3" t="inlineStr">
        <is>
          <t>1</t>
        </is>
      </c>
      <c r="I116" s="3" t="inlineStr">
        <is>
          <t>1</t>
        </is>
      </c>
      <c r="J116" s="3" t="inlineStr">
        <is>
          <t>1</t>
        </is>
      </c>
      <c r="K116" s="3" t="inlineStr">
        <is>
          <t>1</t>
        </is>
      </c>
      <c r="L116" s="3" t="inlineStr">
        <is>
          <t>1</t>
        </is>
      </c>
      <c r="M116" s="3" t="inlineStr">
        <is>
          <t>1</t>
        </is>
      </c>
      <c r="N116" s="3" t="inlineStr">
        <is>
          <t>1</t>
        </is>
      </c>
      <c r="O116" s="4">
        <f>IF(OR($B116="",D116=""),"",--(D116=$B116))</f>
        <v/>
      </c>
      <c r="P116" s="4">
        <f>IF(OR($B116="",D116=""),"",IF($B116=1,--(D116=1),""))</f>
        <v/>
      </c>
      <c r="Q116" s="4">
        <f>IF(OR($B116="",D116=""),"",IF($B116=0,--(D116=0),""))</f>
        <v/>
      </c>
      <c r="R116" s="4">
        <f>IF(D116="","",--(D116=1))</f>
        <v/>
      </c>
      <c r="S116" s="4">
        <f>IF(OR($B116="",E116=""),"",--(E116=$B116))</f>
        <v/>
      </c>
      <c r="T116" s="4">
        <f>IF(OR($B116="",E116=""),"",IF($B116=1,--(E116=1),""))</f>
        <v/>
      </c>
      <c r="U116" s="4">
        <f>IF(OR($B116="",E116=""),"",IF($B116=0,--(E116=0),""))</f>
        <v/>
      </c>
      <c r="V116" s="4">
        <f>IF(E116="","",--(E116=1))</f>
        <v/>
      </c>
      <c r="W116" s="4">
        <f>IF(OR($B116="",F116=""),"",--(F116=$B116))</f>
        <v/>
      </c>
      <c r="X116" s="4">
        <f>IF(OR($B116="",F116=""),"",IF($B116=1,--(F116=1),""))</f>
        <v/>
      </c>
      <c r="Y116" s="4">
        <f>IF(OR($B116="",F116=""),"",IF($B116=0,--(F116=0),""))</f>
        <v/>
      </c>
      <c r="Z116" s="4">
        <f>IF(F116="","",--(F116=1))</f>
        <v/>
      </c>
      <c r="AA116" s="4">
        <f>IF(OR($B116="",G116=""),"",--(G116=$B116))</f>
        <v/>
      </c>
      <c r="AB116" s="4">
        <f>IF(OR($B116="",G116=""),"",IF($B116=1,--(G116=1),""))</f>
        <v/>
      </c>
      <c r="AC116" s="4">
        <f>IF(OR($B116="",G116=""),"",IF($B116=0,--(G116=0),""))</f>
        <v/>
      </c>
      <c r="AD116" s="4">
        <f>IF(G116="","",--(G116=1))</f>
        <v/>
      </c>
      <c r="AE116" s="4">
        <f>IF(OR($B116="",H116=""),"",--(H116=$B116))</f>
        <v/>
      </c>
      <c r="AF116" s="4">
        <f>IF(OR($B116="",H116=""),"",IF($B116=1,--(H116=1),""))</f>
        <v/>
      </c>
      <c r="AG116" s="4">
        <f>IF(OR($B116="",H116=""),"",IF($B116=0,--(H116=0),""))</f>
        <v/>
      </c>
      <c r="AH116" s="4">
        <f>IF(H116="","",--(H116=1))</f>
        <v/>
      </c>
      <c r="AI116" s="4">
        <f>IF(OR($B116="",I116=""),"",--(I116=$B116))</f>
        <v/>
      </c>
      <c r="AJ116" s="4">
        <f>IF(OR($B116="",I116=""),"",IF($B116=1,--(I116=1),""))</f>
        <v/>
      </c>
      <c r="AK116" s="4">
        <f>IF(OR($B116="",I116=""),"",IF($B116=0,--(I116=0),""))</f>
        <v/>
      </c>
      <c r="AL116" s="4">
        <f>IF(I116="","",--(I116=1))</f>
        <v/>
      </c>
      <c r="AM116" s="4">
        <f>IF(OR($B116="",J116=""),"",--(J116=$B116))</f>
        <v/>
      </c>
      <c r="AN116" s="4">
        <f>IF(OR($B116="",J116=""),"",IF($B116=1,--(J116=1),""))</f>
        <v/>
      </c>
      <c r="AO116" s="4">
        <f>IF(OR($B116="",J116=""),"",IF($B116=0,--(J116=0),""))</f>
        <v/>
      </c>
      <c r="AP116" s="4">
        <f>IF(J116="","",--(J116=1))</f>
        <v/>
      </c>
      <c r="AQ116" s="4">
        <f>IF(OR($B116="",K116=""),"",--(K116=$B116))</f>
        <v/>
      </c>
      <c r="AR116" s="4">
        <f>IF(OR($B116="",K116=""),"",IF($B116=1,--(K116=1),""))</f>
        <v/>
      </c>
      <c r="AS116" s="4">
        <f>IF(OR($B116="",K116=""),"",IF($B116=0,--(K116=0),""))</f>
        <v/>
      </c>
      <c r="AT116" s="4">
        <f>IF(K116="","",--(K116=1))</f>
        <v/>
      </c>
      <c r="AU116" s="4">
        <f>IF(OR($B116="",L116=""),"",--(L116=$B116))</f>
        <v/>
      </c>
      <c r="AV116" s="4">
        <f>IF(OR($B116="",L116=""),"",IF($B116=1,--(L116=1),""))</f>
        <v/>
      </c>
      <c r="AW116" s="4">
        <f>IF(OR($B116="",L116=""),"",IF($B116=0,--(L116=0),""))</f>
        <v/>
      </c>
      <c r="AX116" s="4">
        <f>IF(L116="","",--(L116=1))</f>
        <v/>
      </c>
      <c r="AY116" s="4">
        <f>IF(OR($B116="",M116=""),"",--(M116=$B116))</f>
        <v/>
      </c>
      <c r="AZ116" s="4">
        <f>IF(OR($B116="",M116=""),"",IF($B116=1,--(M116=1),""))</f>
        <v/>
      </c>
      <c r="BA116" s="4">
        <f>IF(OR($B116="",M116=""),"",IF($B116=0,--(M116=0),""))</f>
        <v/>
      </c>
      <c r="BB116" s="4">
        <f>IF(M116="","",--(M116=1))</f>
        <v/>
      </c>
      <c r="BC116" s="4">
        <f>IF(OR($B116="",N116=""),"",--(N116=$B116))</f>
        <v/>
      </c>
      <c r="BD116" s="4">
        <f>IF(OR($B116="",N116=""),"",IF($B116=1,--(N116=1),""))</f>
        <v/>
      </c>
      <c r="BE116" s="4">
        <f>IF(OR($B116="",N116=""),"",IF($B116=0,--(N116=0),""))</f>
        <v/>
      </c>
      <c r="BF116" s="4">
        <f>IF(N116="","",--(N116=1))</f>
        <v/>
      </c>
    </row>
    <row r="117">
      <c r="A117" s="3" t="inlineStr">
        <is>
          <t>202028313</t>
        </is>
      </c>
      <c r="B117" s="3" t="inlineStr">
        <is>
          <t>0</t>
        </is>
      </c>
      <c r="C117" s="3" t="inlineStr">
        <is>
          <t>Direct</t>
        </is>
      </c>
      <c r="D117" s="3" t="inlineStr">
        <is>
          <t>1</t>
        </is>
      </c>
      <c r="E117" s="3" t="inlineStr">
        <is>
          <t>1</t>
        </is>
      </c>
      <c r="F117" s="3" t="inlineStr">
        <is>
          <t>0</t>
        </is>
      </c>
      <c r="G117" s="3" t="inlineStr">
        <is>
          <t>0</t>
        </is>
      </c>
      <c r="H117" s="3" t="inlineStr">
        <is>
          <t>0</t>
        </is>
      </c>
      <c r="I117" s="3" t="inlineStr">
        <is>
          <t>0</t>
        </is>
      </c>
      <c r="J117" s="3" t="inlineStr">
        <is>
          <t>1</t>
        </is>
      </c>
      <c r="K117" s="3" t="inlineStr">
        <is>
          <t>1</t>
        </is>
      </c>
      <c r="L117" s="3" t="inlineStr">
        <is>
          <t>0</t>
        </is>
      </c>
      <c r="M117" s="3" t="inlineStr">
        <is>
          <t>1</t>
        </is>
      </c>
      <c r="N117" s="3" t="inlineStr">
        <is>
          <t>1</t>
        </is>
      </c>
      <c r="O117" s="4">
        <f>IF(OR($B117="",D117=""),"",--(D117=$B117))</f>
        <v/>
      </c>
      <c r="P117" s="4">
        <f>IF(OR($B117="",D117=""),"",IF($B117=1,--(D117=1),""))</f>
        <v/>
      </c>
      <c r="Q117" s="4">
        <f>IF(OR($B117="",D117=""),"",IF($B117=0,--(D117=0),""))</f>
        <v/>
      </c>
      <c r="R117" s="4">
        <f>IF(D117="","",--(D117=1))</f>
        <v/>
      </c>
      <c r="S117" s="4">
        <f>IF(OR($B117="",E117=""),"",--(E117=$B117))</f>
        <v/>
      </c>
      <c r="T117" s="4">
        <f>IF(OR($B117="",E117=""),"",IF($B117=1,--(E117=1),""))</f>
        <v/>
      </c>
      <c r="U117" s="4">
        <f>IF(OR($B117="",E117=""),"",IF($B117=0,--(E117=0),""))</f>
        <v/>
      </c>
      <c r="V117" s="4">
        <f>IF(E117="","",--(E117=1))</f>
        <v/>
      </c>
      <c r="W117" s="4">
        <f>IF(OR($B117="",F117=""),"",--(F117=$B117))</f>
        <v/>
      </c>
      <c r="X117" s="4">
        <f>IF(OR($B117="",F117=""),"",IF($B117=1,--(F117=1),""))</f>
        <v/>
      </c>
      <c r="Y117" s="4">
        <f>IF(OR($B117="",F117=""),"",IF($B117=0,--(F117=0),""))</f>
        <v/>
      </c>
      <c r="Z117" s="4">
        <f>IF(F117="","",--(F117=1))</f>
        <v/>
      </c>
      <c r="AA117" s="4">
        <f>IF(OR($B117="",G117=""),"",--(G117=$B117))</f>
        <v/>
      </c>
      <c r="AB117" s="4">
        <f>IF(OR($B117="",G117=""),"",IF($B117=1,--(G117=1),""))</f>
        <v/>
      </c>
      <c r="AC117" s="4">
        <f>IF(OR($B117="",G117=""),"",IF($B117=0,--(G117=0),""))</f>
        <v/>
      </c>
      <c r="AD117" s="4">
        <f>IF(G117="","",--(G117=1))</f>
        <v/>
      </c>
      <c r="AE117" s="4">
        <f>IF(OR($B117="",H117=""),"",--(H117=$B117))</f>
        <v/>
      </c>
      <c r="AF117" s="4">
        <f>IF(OR($B117="",H117=""),"",IF($B117=1,--(H117=1),""))</f>
        <v/>
      </c>
      <c r="AG117" s="4">
        <f>IF(OR($B117="",H117=""),"",IF($B117=0,--(H117=0),""))</f>
        <v/>
      </c>
      <c r="AH117" s="4">
        <f>IF(H117="","",--(H117=1))</f>
        <v/>
      </c>
      <c r="AI117" s="4">
        <f>IF(OR($B117="",I117=""),"",--(I117=$B117))</f>
        <v/>
      </c>
      <c r="AJ117" s="4">
        <f>IF(OR($B117="",I117=""),"",IF($B117=1,--(I117=1),""))</f>
        <v/>
      </c>
      <c r="AK117" s="4">
        <f>IF(OR($B117="",I117=""),"",IF($B117=0,--(I117=0),""))</f>
        <v/>
      </c>
      <c r="AL117" s="4">
        <f>IF(I117="","",--(I117=1))</f>
        <v/>
      </c>
      <c r="AM117" s="4">
        <f>IF(OR($B117="",J117=""),"",--(J117=$B117))</f>
        <v/>
      </c>
      <c r="AN117" s="4">
        <f>IF(OR($B117="",J117=""),"",IF($B117=1,--(J117=1),""))</f>
        <v/>
      </c>
      <c r="AO117" s="4">
        <f>IF(OR($B117="",J117=""),"",IF($B117=0,--(J117=0),""))</f>
        <v/>
      </c>
      <c r="AP117" s="4">
        <f>IF(J117="","",--(J117=1))</f>
        <v/>
      </c>
      <c r="AQ117" s="4">
        <f>IF(OR($B117="",K117=""),"",--(K117=$B117))</f>
        <v/>
      </c>
      <c r="AR117" s="4">
        <f>IF(OR($B117="",K117=""),"",IF($B117=1,--(K117=1),""))</f>
        <v/>
      </c>
      <c r="AS117" s="4">
        <f>IF(OR($B117="",K117=""),"",IF($B117=0,--(K117=0),""))</f>
        <v/>
      </c>
      <c r="AT117" s="4">
        <f>IF(K117="","",--(K117=1))</f>
        <v/>
      </c>
      <c r="AU117" s="4">
        <f>IF(OR($B117="",L117=""),"",--(L117=$B117))</f>
        <v/>
      </c>
      <c r="AV117" s="4">
        <f>IF(OR($B117="",L117=""),"",IF($B117=1,--(L117=1),""))</f>
        <v/>
      </c>
      <c r="AW117" s="4">
        <f>IF(OR($B117="",L117=""),"",IF($B117=0,--(L117=0),""))</f>
        <v/>
      </c>
      <c r="AX117" s="4">
        <f>IF(L117="","",--(L117=1))</f>
        <v/>
      </c>
      <c r="AY117" s="4">
        <f>IF(OR($B117="",M117=""),"",--(M117=$B117))</f>
        <v/>
      </c>
      <c r="AZ117" s="4">
        <f>IF(OR($B117="",M117=""),"",IF($B117=1,--(M117=1),""))</f>
        <v/>
      </c>
      <c r="BA117" s="4">
        <f>IF(OR($B117="",M117=""),"",IF($B117=0,--(M117=0),""))</f>
        <v/>
      </c>
      <c r="BB117" s="4">
        <f>IF(M117="","",--(M117=1))</f>
        <v/>
      </c>
      <c r="BC117" s="4">
        <f>IF(OR($B117="",N117=""),"",--(N117=$B117))</f>
        <v/>
      </c>
      <c r="BD117" s="4">
        <f>IF(OR($B117="",N117=""),"",IF($B117=1,--(N117=1),""))</f>
        <v/>
      </c>
      <c r="BE117" s="4">
        <f>IF(OR($B117="",N117=""),"",IF($B117=0,--(N117=0),""))</f>
        <v/>
      </c>
      <c r="BF117" s="4">
        <f>IF(N117="","",--(N117=1))</f>
        <v/>
      </c>
    </row>
    <row r="118">
      <c r="A118" s="3" t="inlineStr">
        <is>
          <t>20202855</t>
        </is>
      </c>
      <c r="B118" s="3" t="inlineStr">
        <is>
          <t>0</t>
        </is>
      </c>
      <c r="C118" s="3" t="inlineStr">
        <is>
          <t>Direct</t>
        </is>
      </c>
      <c r="D118" s="3" t="inlineStr">
        <is>
          <t>0</t>
        </is>
      </c>
      <c r="E118" s="3" t="inlineStr">
        <is>
          <t>0</t>
        </is>
      </c>
      <c r="F118" s="3" t="inlineStr">
        <is>
          <t>0</t>
        </is>
      </c>
      <c r="G118" s="3" t="inlineStr">
        <is>
          <t>1</t>
        </is>
      </c>
      <c r="H118" s="3" t="inlineStr">
        <is>
          <t>0</t>
        </is>
      </c>
      <c r="I118" s="3" t="inlineStr">
        <is>
          <t>1</t>
        </is>
      </c>
      <c r="J118" s="3" t="inlineStr">
        <is>
          <t>1</t>
        </is>
      </c>
      <c r="K118" s="3" t="inlineStr">
        <is>
          <t>1</t>
        </is>
      </c>
      <c r="L118" s="3" t="inlineStr">
        <is>
          <t>1</t>
        </is>
      </c>
      <c r="M118" s="3" t="inlineStr">
        <is>
          <t>1</t>
        </is>
      </c>
      <c r="N118" s="3" t="inlineStr">
        <is>
          <t>1</t>
        </is>
      </c>
      <c r="O118" s="4">
        <f>IF(OR($B118="",D118=""),"",--(D118=$B118))</f>
        <v/>
      </c>
      <c r="P118" s="4">
        <f>IF(OR($B118="",D118=""),"",IF($B118=1,--(D118=1),""))</f>
        <v/>
      </c>
      <c r="Q118" s="4">
        <f>IF(OR($B118="",D118=""),"",IF($B118=0,--(D118=0),""))</f>
        <v/>
      </c>
      <c r="R118" s="4">
        <f>IF(D118="","",--(D118=1))</f>
        <v/>
      </c>
      <c r="S118" s="4">
        <f>IF(OR($B118="",E118=""),"",--(E118=$B118))</f>
        <v/>
      </c>
      <c r="T118" s="4">
        <f>IF(OR($B118="",E118=""),"",IF($B118=1,--(E118=1),""))</f>
        <v/>
      </c>
      <c r="U118" s="4">
        <f>IF(OR($B118="",E118=""),"",IF($B118=0,--(E118=0),""))</f>
        <v/>
      </c>
      <c r="V118" s="4">
        <f>IF(E118="","",--(E118=1))</f>
        <v/>
      </c>
      <c r="W118" s="4">
        <f>IF(OR($B118="",F118=""),"",--(F118=$B118))</f>
        <v/>
      </c>
      <c r="X118" s="4">
        <f>IF(OR($B118="",F118=""),"",IF($B118=1,--(F118=1),""))</f>
        <v/>
      </c>
      <c r="Y118" s="4">
        <f>IF(OR($B118="",F118=""),"",IF($B118=0,--(F118=0),""))</f>
        <v/>
      </c>
      <c r="Z118" s="4">
        <f>IF(F118="","",--(F118=1))</f>
        <v/>
      </c>
      <c r="AA118" s="4">
        <f>IF(OR($B118="",G118=""),"",--(G118=$B118))</f>
        <v/>
      </c>
      <c r="AB118" s="4">
        <f>IF(OR($B118="",G118=""),"",IF($B118=1,--(G118=1),""))</f>
        <v/>
      </c>
      <c r="AC118" s="4">
        <f>IF(OR($B118="",G118=""),"",IF($B118=0,--(G118=0),""))</f>
        <v/>
      </c>
      <c r="AD118" s="4">
        <f>IF(G118="","",--(G118=1))</f>
        <v/>
      </c>
      <c r="AE118" s="4">
        <f>IF(OR($B118="",H118=""),"",--(H118=$B118))</f>
        <v/>
      </c>
      <c r="AF118" s="4">
        <f>IF(OR($B118="",H118=""),"",IF($B118=1,--(H118=1),""))</f>
        <v/>
      </c>
      <c r="AG118" s="4">
        <f>IF(OR($B118="",H118=""),"",IF($B118=0,--(H118=0),""))</f>
        <v/>
      </c>
      <c r="AH118" s="4">
        <f>IF(H118="","",--(H118=1))</f>
        <v/>
      </c>
      <c r="AI118" s="4">
        <f>IF(OR($B118="",I118=""),"",--(I118=$B118))</f>
        <v/>
      </c>
      <c r="AJ118" s="4">
        <f>IF(OR($B118="",I118=""),"",IF($B118=1,--(I118=1),""))</f>
        <v/>
      </c>
      <c r="AK118" s="4">
        <f>IF(OR($B118="",I118=""),"",IF($B118=0,--(I118=0),""))</f>
        <v/>
      </c>
      <c r="AL118" s="4">
        <f>IF(I118="","",--(I118=1))</f>
        <v/>
      </c>
      <c r="AM118" s="4">
        <f>IF(OR($B118="",J118=""),"",--(J118=$B118))</f>
        <v/>
      </c>
      <c r="AN118" s="4">
        <f>IF(OR($B118="",J118=""),"",IF($B118=1,--(J118=1),""))</f>
        <v/>
      </c>
      <c r="AO118" s="4">
        <f>IF(OR($B118="",J118=""),"",IF($B118=0,--(J118=0),""))</f>
        <v/>
      </c>
      <c r="AP118" s="4">
        <f>IF(J118="","",--(J118=1))</f>
        <v/>
      </c>
      <c r="AQ118" s="4">
        <f>IF(OR($B118="",K118=""),"",--(K118=$B118))</f>
        <v/>
      </c>
      <c r="AR118" s="4">
        <f>IF(OR($B118="",K118=""),"",IF($B118=1,--(K118=1),""))</f>
        <v/>
      </c>
      <c r="AS118" s="4">
        <f>IF(OR($B118="",K118=""),"",IF($B118=0,--(K118=0),""))</f>
        <v/>
      </c>
      <c r="AT118" s="4">
        <f>IF(K118="","",--(K118=1))</f>
        <v/>
      </c>
      <c r="AU118" s="4">
        <f>IF(OR($B118="",L118=""),"",--(L118=$B118))</f>
        <v/>
      </c>
      <c r="AV118" s="4">
        <f>IF(OR($B118="",L118=""),"",IF($B118=1,--(L118=1),""))</f>
        <v/>
      </c>
      <c r="AW118" s="4">
        <f>IF(OR($B118="",L118=""),"",IF($B118=0,--(L118=0),""))</f>
        <v/>
      </c>
      <c r="AX118" s="4">
        <f>IF(L118="","",--(L118=1))</f>
        <v/>
      </c>
      <c r="AY118" s="4">
        <f>IF(OR($B118="",M118=""),"",--(M118=$B118))</f>
        <v/>
      </c>
      <c r="AZ118" s="4">
        <f>IF(OR($B118="",M118=""),"",IF($B118=1,--(M118=1),""))</f>
        <v/>
      </c>
      <c r="BA118" s="4">
        <f>IF(OR($B118="",M118=""),"",IF($B118=0,--(M118=0),""))</f>
        <v/>
      </c>
      <c r="BB118" s="4">
        <f>IF(M118="","",--(M118=1))</f>
        <v/>
      </c>
      <c r="BC118" s="4">
        <f>IF(OR($B118="",N118=""),"",--(N118=$B118))</f>
        <v/>
      </c>
      <c r="BD118" s="4">
        <f>IF(OR($B118="",N118=""),"",IF($B118=1,--(N118=1),""))</f>
        <v/>
      </c>
      <c r="BE118" s="4">
        <f>IF(OR($B118="",N118=""),"",IF($B118=0,--(N118=0),""))</f>
        <v/>
      </c>
      <c r="BF118" s="4">
        <f>IF(N118="","",--(N118=1))</f>
        <v/>
      </c>
    </row>
    <row r="119">
      <c r="A119" s="3" t="inlineStr">
        <is>
          <t>202028613</t>
        </is>
      </c>
      <c r="B119" s="3" t="inlineStr">
        <is>
          <t>1</t>
        </is>
      </c>
      <c r="C119" s="3" t="inlineStr">
        <is>
          <t>Direct</t>
        </is>
      </c>
      <c r="D119" s="3" t="inlineStr">
        <is>
          <t>1</t>
        </is>
      </c>
      <c r="E119" s="3" t="inlineStr">
        <is>
          <t>1</t>
        </is>
      </c>
      <c r="F119" s="3" t="inlineStr">
        <is>
          <t>0</t>
        </is>
      </c>
      <c r="G119" s="3" t="inlineStr">
        <is>
          <t>1</t>
        </is>
      </c>
      <c r="H119" s="3" t="inlineStr">
        <is>
          <t>0</t>
        </is>
      </c>
      <c r="I119" s="3" t="inlineStr">
        <is>
          <t>1</t>
        </is>
      </c>
      <c r="J119" s="3" t="inlineStr">
        <is>
          <t>0</t>
        </is>
      </c>
      <c r="K119" s="3" t="inlineStr">
        <is>
          <t>1</t>
        </is>
      </c>
      <c r="L119" s="3" t="inlineStr">
        <is>
          <t>1</t>
        </is>
      </c>
      <c r="M119" s="3" t="inlineStr">
        <is>
          <t>1</t>
        </is>
      </c>
      <c r="N119" s="3" t="inlineStr">
        <is>
          <t>1</t>
        </is>
      </c>
      <c r="O119" s="4">
        <f>IF(OR($B119="",D119=""),"",--(D119=$B119))</f>
        <v/>
      </c>
      <c r="P119" s="4">
        <f>IF(OR($B119="",D119=""),"",IF($B119=1,--(D119=1),""))</f>
        <v/>
      </c>
      <c r="Q119" s="4">
        <f>IF(OR($B119="",D119=""),"",IF($B119=0,--(D119=0),""))</f>
        <v/>
      </c>
      <c r="R119" s="4">
        <f>IF(D119="","",--(D119=1))</f>
        <v/>
      </c>
      <c r="S119" s="4">
        <f>IF(OR($B119="",E119=""),"",--(E119=$B119))</f>
        <v/>
      </c>
      <c r="T119" s="4">
        <f>IF(OR($B119="",E119=""),"",IF($B119=1,--(E119=1),""))</f>
        <v/>
      </c>
      <c r="U119" s="4">
        <f>IF(OR($B119="",E119=""),"",IF($B119=0,--(E119=0),""))</f>
        <v/>
      </c>
      <c r="V119" s="4">
        <f>IF(E119="","",--(E119=1))</f>
        <v/>
      </c>
      <c r="W119" s="4">
        <f>IF(OR($B119="",F119=""),"",--(F119=$B119))</f>
        <v/>
      </c>
      <c r="X119" s="4">
        <f>IF(OR($B119="",F119=""),"",IF($B119=1,--(F119=1),""))</f>
        <v/>
      </c>
      <c r="Y119" s="4">
        <f>IF(OR($B119="",F119=""),"",IF($B119=0,--(F119=0),""))</f>
        <v/>
      </c>
      <c r="Z119" s="4">
        <f>IF(F119="","",--(F119=1))</f>
        <v/>
      </c>
      <c r="AA119" s="4">
        <f>IF(OR($B119="",G119=""),"",--(G119=$B119))</f>
        <v/>
      </c>
      <c r="AB119" s="4">
        <f>IF(OR($B119="",G119=""),"",IF($B119=1,--(G119=1),""))</f>
        <v/>
      </c>
      <c r="AC119" s="4">
        <f>IF(OR($B119="",G119=""),"",IF($B119=0,--(G119=0),""))</f>
        <v/>
      </c>
      <c r="AD119" s="4">
        <f>IF(G119="","",--(G119=1))</f>
        <v/>
      </c>
      <c r="AE119" s="4">
        <f>IF(OR($B119="",H119=""),"",--(H119=$B119))</f>
        <v/>
      </c>
      <c r="AF119" s="4">
        <f>IF(OR($B119="",H119=""),"",IF($B119=1,--(H119=1),""))</f>
        <v/>
      </c>
      <c r="AG119" s="4">
        <f>IF(OR($B119="",H119=""),"",IF($B119=0,--(H119=0),""))</f>
        <v/>
      </c>
      <c r="AH119" s="4">
        <f>IF(H119="","",--(H119=1))</f>
        <v/>
      </c>
      <c r="AI119" s="4">
        <f>IF(OR($B119="",I119=""),"",--(I119=$B119))</f>
        <v/>
      </c>
      <c r="AJ119" s="4">
        <f>IF(OR($B119="",I119=""),"",IF($B119=1,--(I119=1),""))</f>
        <v/>
      </c>
      <c r="AK119" s="4">
        <f>IF(OR($B119="",I119=""),"",IF($B119=0,--(I119=0),""))</f>
        <v/>
      </c>
      <c r="AL119" s="4">
        <f>IF(I119="","",--(I119=1))</f>
        <v/>
      </c>
      <c r="AM119" s="4">
        <f>IF(OR($B119="",J119=""),"",--(J119=$B119))</f>
        <v/>
      </c>
      <c r="AN119" s="4">
        <f>IF(OR($B119="",J119=""),"",IF($B119=1,--(J119=1),""))</f>
        <v/>
      </c>
      <c r="AO119" s="4">
        <f>IF(OR($B119="",J119=""),"",IF($B119=0,--(J119=0),""))</f>
        <v/>
      </c>
      <c r="AP119" s="4">
        <f>IF(J119="","",--(J119=1))</f>
        <v/>
      </c>
      <c r="AQ119" s="4">
        <f>IF(OR($B119="",K119=""),"",--(K119=$B119))</f>
        <v/>
      </c>
      <c r="AR119" s="4">
        <f>IF(OR($B119="",K119=""),"",IF($B119=1,--(K119=1),""))</f>
        <v/>
      </c>
      <c r="AS119" s="4">
        <f>IF(OR($B119="",K119=""),"",IF($B119=0,--(K119=0),""))</f>
        <v/>
      </c>
      <c r="AT119" s="4">
        <f>IF(K119="","",--(K119=1))</f>
        <v/>
      </c>
      <c r="AU119" s="4">
        <f>IF(OR($B119="",L119=""),"",--(L119=$B119))</f>
        <v/>
      </c>
      <c r="AV119" s="4">
        <f>IF(OR($B119="",L119=""),"",IF($B119=1,--(L119=1),""))</f>
        <v/>
      </c>
      <c r="AW119" s="4">
        <f>IF(OR($B119="",L119=""),"",IF($B119=0,--(L119=0),""))</f>
        <v/>
      </c>
      <c r="AX119" s="4">
        <f>IF(L119="","",--(L119=1))</f>
        <v/>
      </c>
      <c r="AY119" s="4">
        <f>IF(OR($B119="",M119=""),"",--(M119=$B119))</f>
        <v/>
      </c>
      <c r="AZ119" s="4">
        <f>IF(OR($B119="",M119=""),"",IF($B119=1,--(M119=1),""))</f>
        <v/>
      </c>
      <c r="BA119" s="4">
        <f>IF(OR($B119="",M119=""),"",IF($B119=0,--(M119=0),""))</f>
        <v/>
      </c>
      <c r="BB119" s="4">
        <f>IF(M119="","",--(M119=1))</f>
        <v/>
      </c>
      <c r="BC119" s="4">
        <f>IF(OR($B119="",N119=""),"",--(N119=$B119))</f>
        <v/>
      </c>
      <c r="BD119" s="4">
        <f>IF(OR($B119="",N119=""),"",IF($B119=1,--(N119=1),""))</f>
        <v/>
      </c>
      <c r="BE119" s="4">
        <f>IF(OR($B119="",N119=""),"",IF($B119=0,--(N119=0),""))</f>
        <v/>
      </c>
      <c r="BF119" s="4">
        <f>IF(N119="","",--(N119=1))</f>
        <v/>
      </c>
    </row>
    <row r="120">
      <c r="A120" s="3" t="inlineStr">
        <is>
          <t>202029044</t>
        </is>
      </c>
      <c r="B120" s="3" t="inlineStr">
        <is>
          <t>1</t>
        </is>
      </c>
      <c r="C120" s="3" t="inlineStr">
        <is>
          <t>Direct</t>
        </is>
      </c>
      <c r="D120" s="3" t="inlineStr">
        <is>
          <t>1</t>
        </is>
      </c>
      <c r="E120" s="3" t="inlineStr">
        <is>
          <t>0</t>
        </is>
      </c>
      <c r="F120" s="3" t="inlineStr">
        <is>
          <t>0</t>
        </is>
      </c>
      <c r="G120" s="3" t="inlineStr">
        <is>
          <t>1</t>
        </is>
      </c>
      <c r="H120" s="3" t="inlineStr">
        <is>
          <t>1</t>
        </is>
      </c>
      <c r="I120" s="3" t="inlineStr">
        <is>
          <t>1</t>
        </is>
      </c>
      <c r="J120" s="3" t="inlineStr">
        <is>
          <t>1</t>
        </is>
      </c>
      <c r="K120" s="3" t="inlineStr">
        <is>
          <t>1</t>
        </is>
      </c>
      <c r="L120" s="3" t="inlineStr">
        <is>
          <t>1</t>
        </is>
      </c>
      <c r="M120" s="3" t="inlineStr">
        <is>
          <t>1</t>
        </is>
      </c>
      <c r="N120" s="3" t="inlineStr">
        <is>
          <t>1</t>
        </is>
      </c>
      <c r="O120" s="4">
        <f>IF(OR($B120="",D120=""),"",--(D120=$B120))</f>
        <v/>
      </c>
      <c r="P120" s="4">
        <f>IF(OR($B120="",D120=""),"",IF($B120=1,--(D120=1),""))</f>
        <v/>
      </c>
      <c r="Q120" s="4">
        <f>IF(OR($B120="",D120=""),"",IF($B120=0,--(D120=0),""))</f>
        <v/>
      </c>
      <c r="R120" s="4">
        <f>IF(D120="","",--(D120=1))</f>
        <v/>
      </c>
      <c r="S120" s="4">
        <f>IF(OR($B120="",E120=""),"",--(E120=$B120))</f>
        <v/>
      </c>
      <c r="T120" s="4">
        <f>IF(OR($B120="",E120=""),"",IF($B120=1,--(E120=1),""))</f>
        <v/>
      </c>
      <c r="U120" s="4">
        <f>IF(OR($B120="",E120=""),"",IF($B120=0,--(E120=0),""))</f>
        <v/>
      </c>
      <c r="V120" s="4">
        <f>IF(E120="","",--(E120=1))</f>
        <v/>
      </c>
      <c r="W120" s="4">
        <f>IF(OR($B120="",F120=""),"",--(F120=$B120))</f>
        <v/>
      </c>
      <c r="X120" s="4">
        <f>IF(OR($B120="",F120=""),"",IF($B120=1,--(F120=1),""))</f>
        <v/>
      </c>
      <c r="Y120" s="4">
        <f>IF(OR($B120="",F120=""),"",IF($B120=0,--(F120=0),""))</f>
        <v/>
      </c>
      <c r="Z120" s="4">
        <f>IF(F120="","",--(F120=1))</f>
        <v/>
      </c>
      <c r="AA120" s="4">
        <f>IF(OR($B120="",G120=""),"",--(G120=$B120))</f>
        <v/>
      </c>
      <c r="AB120" s="4">
        <f>IF(OR($B120="",G120=""),"",IF($B120=1,--(G120=1),""))</f>
        <v/>
      </c>
      <c r="AC120" s="4">
        <f>IF(OR($B120="",G120=""),"",IF($B120=0,--(G120=0),""))</f>
        <v/>
      </c>
      <c r="AD120" s="4">
        <f>IF(G120="","",--(G120=1))</f>
        <v/>
      </c>
      <c r="AE120" s="4">
        <f>IF(OR($B120="",H120=""),"",--(H120=$B120))</f>
        <v/>
      </c>
      <c r="AF120" s="4">
        <f>IF(OR($B120="",H120=""),"",IF($B120=1,--(H120=1),""))</f>
        <v/>
      </c>
      <c r="AG120" s="4">
        <f>IF(OR($B120="",H120=""),"",IF($B120=0,--(H120=0),""))</f>
        <v/>
      </c>
      <c r="AH120" s="4">
        <f>IF(H120="","",--(H120=1))</f>
        <v/>
      </c>
      <c r="AI120" s="4">
        <f>IF(OR($B120="",I120=""),"",--(I120=$B120))</f>
        <v/>
      </c>
      <c r="AJ120" s="4">
        <f>IF(OR($B120="",I120=""),"",IF($B120=1,--(I120=1),""))</f>
        <v/>
      </c>
      <c r="AK120" s="4">
        <f>IF(OR($B120="",I120=""),"",IF($B120=0,--(I120=0),""))</f>
        <v/>
      </c>
      <c r="AL120" s="4">
        <f>IF(I120="","",--(I120=1))</f>
        <v/>
      </c>
      <c r="AM120" s="4">
        <f>IF(OR($B120="",J120=""),"",--(J120=$B120))</f>
        <v/>
      </c>
      <c r="AN120" s="4">
        <f>IF(OR($B120="",J120=""),"",IF($B120=1,--(J120=1),""))</f>
        <v/>
      </c>
      <c r="AO120" s="4">
        <f>IF(OR($B120="",J120=""),"",IF($B120=0,--(J120=0),""))</f>
        <v/>
      </c>
      <c r="AP120" s="4">
        <f>IF(J120="","",--(J120=1))</f>
        <v/>
      </c>
      <c r="AQ120" s="4">
        <f>IF(OR($B120="",K120=""),"",--(K120=$B120))</f>
        <v/>
      </c>
      <c r="AR120" s="4">
        <f>IF(OR($B120="",K120=""),"",IF($B120=1,--(K120=1),""))</f>
        <v/>
      </c>
      <c r="AS120" s="4">
        <f>IF(OR($B120="",K120=""),"",IF($B120=0,--(K120=0),""))</f>
        <v/>
      </c>
      <c r="AT120" s="4">
        <f>IF(K120="","",--(K120=1))</f>
        <v/>
      </c>
      <c r="AU120" s="4">
        <f>IF(OR($B120="",L120=""),"",--(L120=$B120))</f>
        <v/>
      </c>
      <c r="AV120" s="4">
        <f>IF(OR($B120="",L120=""),"",IF($B120=1,--(L120=1),""))</f>
        <v/>
      </c>
      <c r="AW120" s="4">
        <f>IF(OR($B120="",L120=""),"",IF($B120=0,--(L120=0),""))</f>
        <v/>
      </c>
      <c r="AX120" s="4">
        <f>IF(L120="","",--(L120=1))</f>
        <v/>
      </c>
      <c r="AY120" s="4">
        <f>IF(OR($B120="",M120=""),"",--(M120=$B120))</f>
        <v/>
      </c>
      <c r="AZ120" s="4">
        <f>IF(OR($B120="",M120=""),"",IF($B120=1,--(M120=1),""))</f>
        <v/>
      </c>
      <c r="BA120" s="4">
        <f>IF(OR($B120="",M120=""),"",IF($B120=0,--(M120=0),""))</f>
        <v/>
      </c>
      <c r="BB120" s="4">
        <f>IF(M120="","",--(M120=1))</f>
        <v/>
      </c>
      <c r="BC120" s="4">
        <f>IF(OR($B120="",N120=""),"",--(N120=$B120))</f>
        <v/>
      </c>
      <c r="BD120" s="4">
        <f>IF(OR($B120="",N120=""),"",IF($B120=1,--(N120=1),""))</f>
        <v/>
      </c>
      <c r="BE120" s="4">
        <f>IF(OR($B120="",N120=""),"",IF($B120=0,--(N120=0),""))</f>
        <v/>
      </c>
      <c r="BF120" s="4">
        <f>IF(N120="","",--(N120=1))</f>
        <v/>
      </c>
    </row>
    <row r="121">
      <c r="A121" s="3" t="inlineStr">
        <is>
          <t>202029209</t>
        </is>
      </c>
      <c r="B121" s="3" t="inlineStr">
        <is>
          <t>0</t>
        </is>
      </c>
      <c r="C121" s="3" t="inlineStr">
        <is>
          <t>Direct</t>
        </is>
      </c>
      <c r="D121" s="3" t="inlineStr">
        <is>
          <t>0</t>
        </is>
      </c>
      <c r="E121" s="3" t="inlineStr">
        <is>
          <t>1</t>
        </is>
      </c>
      <c r="F121" s="3" t="inlineStr">
        <is>
          <t>0</t>
        </is>
      </c>
      <c r="G121" s="3" t="inlineStr">
        <is>
          <t>0</t>
        </is>
      </c>
      <c r="H121" s="3" t="inlineStr">
        <is>
          <t>1</t>
        </is>
      </c>
      <c r="I121" s="3" t="inlineStr">
        <is>
          <t>0</t>
        </is>
      </c>
      <c r="J121" s="3" t="inlineStr">
        <is>
          <t>0</t>
        </is>
      </c>
      <c r="K121" s="3" t="inlineStr">
        <is>
          <t>1</t>
        </is>
      </c>
      <c r="L121" s="3" t="inlineStr">
        <is>
          <t>0</t>
        </is>
      </c>
      <c r="M121" s="3" t="inlineStr">
        <is>
          <t>1</t>
        </is>
      </c>
      <c r="N121" s="3" t="inlineStr">
        <is>
          <t>1</t>
        </is>
      </c>
      <c r="O121" s="4">
        <f>IF(OR($B121="",D121=""),"",--(D121=$B121))</f>
        <v/>
      </c>
      <c r="P121" s="4">
        <f>IF(OR($B121="",D121=""),"",IF($B121=1,--(D121=1),""))</f>
        <v/>
      </c>
      <c r="Q121" s="4">
        <f>IF(OR($B121="",D121=""),"",IF($B121=0,--(D121=0),""))</f>
        <v/>
      </c>
      <c r="R121" s="4">
        <f>IF(D121="","",--(D121=1))</f>
        <v/>
      </c>
      <c r="S121" s="4">
        <f>IF(OR($B121="",E121=""),"",--(E121=$B121))</f>
        <v/>
      </c>
      <c r="T121" s="4">
        <f>IF(OR($B121="",E121=""),"",IF($B121=1,--(E121=1),""))</f>
        <v/>
      </c>
      <c r="U121" s="4">
        <f>IF(OR($B121="",E121=""),"",IF($B121=0,--(E121=0),""))</f>
        <v/>
      </c>
      <c r="V121" s="4">
        <f>IF(E121="","",--(E121=1))</f>
        <v/>
      </c>
      <c r="W121" s="4">
        <f>IF(OR($B121="",F121=""),"",--(F121=$B121))</f>
        <v/>
      </c>
      <c r="X121" s="4">
        <f>IF(OR($B121="",F121=""),"",IF($B121=1,--(F121=1),""))</f>
        <v/>
      </c>
      <c r="Y121" s="4">
        <f>IF(OR($B121="",F121=""),"",IF($B121=0,--(F121=0),""))</f>
        <v/>
      </c>
      <c r="Z121" s="4">
        <f>IF(F121="","",--(F121=1))</f>
        <v/>
      </c>
      <c r="AA121" s="4">
        <f>IF(OR($B121="",G121=""),"",--(G121=$B121))</f>
        <v/>
      </c>
      <c r="AB121" s="4">
        <f>IF(OR($B121="",G121=""),"",IF($B121=1,--(G121=1),""))</f>
        <v/>
      </c>
      <c r="AC121" s="4">
        <f>IF(OR($B121="",G121=""),"",IF($B121=0,--(G121=0),""))</f>
        <v/>
      </c>
      <c r="AD121" s="4">
        <f>IF(G121="","",--(G121=1))</f>
        <v/>
      </c>
      <c r="AE121" s="4">
        <f>IF(OR($B121="",H121=""),"",--(H121=$B121))</f>
        <v/>
      </c>
      <c r="AF121" s="4">
        <f>IF(OR($B121="",H121=""),"",IF($B121=1,--(H121=1),""))</f>
        <v/>
      </c>
      <c r="AG121" s="4">
        <f>IF(OR($B121="",H121=""),"",IF($B121=0,--(H121=0),""))</f>
        <v/>
      </c>
      <c r="AH121" s="4">
        <f>IF(H121="","",--(H121=1))</f>
        <v/>
      </c>
      <c r="AI121" s="4">
        <f>IF(OR($B121="",I121=""),"",--(I121=$B121))</f>
        <v/>
      </c>
      <c r="AJ121" s="4">
        <f>IF(OR($B121="",I121=""),"",IF($B121=1,--(I121=1),""))</f>
        <v/>
      </c>
      <c r="AK121" s="4">
        <f>IF(OR($B121="",I121=""),"",IF($B121=0,--(I121=0),""))</f>
        <v/>
      </c>
      <c r="AL121" s="4">
        <f>IF(I121="","",--(I121=1))</f>
        <v/>
      </c>
      <c r="AM121" s="4">
        <f>IF(OR($B121="",J121=""),"",--(J121=$B121))</f>
        <v/>
      </c>
      <c r="AN121" s="4">
        <f>IF(OR($B121="",J121=""),"",IF($B121=1,--(J121=1),""))</f>
        <v/>
      </c>
      <c r="AO121" s="4">
        <f>IF(OR($B121="",J121=""),"",IF($B121=0,--(J121=0),""))</f>
        <v/>
      </c>
      <c r="AP121" s="4">
        <f>IF(J121="","",--(J121=1))</f>
        <v/>
      </c>
      <c r="AQ121" s="4">
        <f>IF(OR($B121="",K121=""),"",--(K121=$B121))</f>
        <v/>
      </c>
      <c r="AR121" s="4">
        <f>IF(OR($B121="",K121=""),"",IF($B121=1,--(K121=1),""))</f>
        <v/>
      </c>
      <c r="AS121" s="4">
        <f>IF(OR($B121="",K121=""),"",IF($B121=0,--(K121=0),""))</f>
        <v/>
      </c>
      <c r="AT121" s="4">
        <f>IF(K121="","",--(K121=1))</f>
        <v/>
      </c>
      <c r="AU121" s="4">
        <f>IF(OR($B121="",L121=""),"",--(L121=$B121))</f>
        <v/>
      </c>
      <c r="AV121" s="4">
        <f>IF(OR($B121="",L121=""),"",IF($B121=1,--(L121=1),""))</f>
        <v/>
      </c>
      <c r="AW121" s="4">
        <f>IF(OR($B121="",L121=""),"",IF($B121=0,--(L121=0),""))</f>
        <v/>
      </c>
      <c r="AX121" s="4">
        <f>IF(L121="","",--(L121=1))</f>
        <v/>
      </c>
      <c r="AY121" s="4">
        <f>IF(OR($B121="",M121=""),"",--(M121=$B121))</f>
        <v/>
      </c>
      <c r="AZ121" s="4">
        <f>IF(OR($B121="",M121=""),"",IF($B121=1,--(M121=1),""))</f>
        <v/>
      </c>
      <c r="BA121" s="4">
        <f>IF(OR($B121="",M121=""),"",IF($B121=0,--(M121=0),""))</f>
        <v/>
      </c>
      <c r="BB121" s="4">
        <f>IF(M121="","",--(M121=1))</f>
        <v/>
      </c>
      <c r="BC121" s="4">
        <f>IF(OR($B121="",N121=""),"",--(N121=$B121))</f>
        <v/>
      </c>
      <c r="BD121" s="4">
        <f>IF(OR($B121="",N121=""),"",IF($B121=1,--(N121=1),""))</f>
        <v/>
      </c>
      <c r="BE121" s="4">
        <f>IF(OR($B121="",N121=""),"",IF($B121=0,--(N121=0),""))</f>
        <v/>
      </c>
      <c r="BF121" s="4">
        <f>IF(N121="","",--(N121=1))</f>
        <v/>
      </c>
    </row>
    <row r="122">
      <c r="A122" s="3" t="inlineStr">
        <is>
          <t>202029376</t>
        </is>
      </c>
      <c r="B122" s="3" t="inlineStr">
        <is>
          <t>1</t>
        </is>
      </c>
      <c r="C122" s="3" t="inlineStr">
        <is>
          <t>Direct</t>
        </is>
      </c>
      <c r="D122" s="3" t="inlineStr">
        <is>
          <t>1</t>
        </is>
      </c>
      <c r="E122" s="3" t="inlineStr">
        <is>
          <t>1</t>
        </is>
      </c>
      <c r="F122" s="3" t="inlineStr">
        <is>
          <t>0</t>
        </is>
      </c>
      <c r="G122" s="3" t="inlineStr">
        <is>
          <t>0</t>
        </is>
      </c>
      <c r="H122" s="3" t="inlineStr">
        <is>
          <t>0</t>
        </is>
      </c>
      <c r="I122" s="3" t="inlineStr">
        <is>
          <t>1</t>
        </is>
      </c>
      <c r="J122" s="3" t="inlineStr">
        <is>
          <t>1</t>
        </is>
      </c>
      <c r="K122" s="3" t="inlineStr">
        <is>
          <t>1</t>
        </is>
      </c>
      <c r="L122" s="3" t="inlineStr">
        <is>
          <t>1</t>
        </is>
      </c>
      <c r="M122" s="3" t="inlineStr">
        <is>
          <t>1</t>
        </is>
      </c>
      <c r="N122" s="3" t="inlineStr">
        <is>
          <t>1</t>
        </is>
      </c>
      <c r="O122" s="4">
        <f>IF(OR($B122="",D122=""),"",--(D122=$B122))</f>
        <v/>
      </c>
      <c r="P122" s="4">
        <f>IF(OR($B122="",D122=""),"",IF($B122=1,--(D122=1),""))</f>
        <v/>
      </c>
      <c r="Q122" s="4">
        <f>IF(OR($B122="",D122=""),"",IF($B122=0,--(D122=0),""))</f>
        <v/>
      </c>
      <c r="R122" s="4">
        <f>IF(D122="","",--(D122=1))</f>
        <v/>
      </c>
      <c r="S122" s="4">
        <f>IF(OR($B122="",E122=""),"",--(E122=$B122))</f>
        <v/>
      </c>
      <c r="T122" s="4">
        <f>IF(OR($B122="",E122=""),"",IF($B122=1,--(E122=1),""))</f>
        <v/>
      </c>
      <c r="U122" s="4">
        <f>IF(OR($B122="",E122=""),"",IF($B122=0,--(E122=0),""))</f>
        <v/>
      </c>
      <c r="V122" s="4">
        <f>IF(E122="","",--(E122=1))</f>
        <v/>
      </c>
      <c r="W122" s="4">
        <f>IF(OR($B122="",F122=""),"",--(F122=$B122))</f>
        <v/>
      </c>
      <c r="X122" s="4">
        <f>IF(OR($B122="",F122=""),"",IF($B122=1,--(F122=1),""))</f>
        <v/>
      </c>
      <c r="Y122" s="4">
        <f>IF(OR($B122="",F122=""),"",IF($B122=0,--(F122=0),""))</f>
        <v/>
      </c>
      <c r="Z122" s="4">
        <f>IF(F122="","",--(F122=1))</f>
        <v/>
      </c>
      <c r="AA122" s="4">
        <f>IF(OR($B122="",G122=""),"",--(G122=$B122))</f>
        <v/>
      </c>
      <c r="AB122" s="4">
        <f>IF(OR($B122="",G122=""),"",IF($B122=1,--(G122=1),""))</f>
        <v/>
      </c>
      <c r="AC122" s="4">
        <f>IF(OR($B122="",G122=""),"",IF($B122=0,--(G122=0),""))</f>
        <v/>
      </c>
      <c r="AD122" s="4">
        <f>IF(G122="","",--(G122=1))</f>
        <v/>
      </c>
      <c r="AE122" s="4">
        <f>IF(OR($B122="",H122=""),"",--(H122=$B122))</f>
        <v/>
      </c>
      <c r="AF122" s="4">
        <f>IF(OR($B122="",H122=""),"",IF($B122=1,--(H122=1),""))</f>
        <v/>
      </c>
      <c r="AG122" s="4">
        <f>IF(OR($B122="",H122=""),"",IF($B122=0,--(H122=0),""))</f>
        <v/>
      </c>
      <c r="AH122" s="4">
        <f>IF(H122="","",--(H122=1))</f>
        <v/>
      </c>
      <c r="AI122" s="4">
        <f>IF(OR($B122="",I122=""),"",--(I122=$B122))</f>
        <v/>
      </c>
      <c r="AJ122" s="4">
        <f>IF(OR($B122="",I122=""),"",IF($B122=1,--(I122=1),""))</f>
        <v/>
      </c>
      <c r="AK122" s="4">
        <f>IF(OR($B122="",I122=""),"",IF($B122=0,--(I122=0),""))</f>
        <v/>
      </c>
      <c r="AL122" s="4">
        <f>IF(I122="","",--(I122=1))</f>
        <v/>
      </c>
      <c r="AM122" s="4">
        <f>IF(OR($B122="",J122=""),"",--(J122=$B122))</f>
        <v/>
      </c>
      <c r="AN122" s="4">
        <f>IF(OR($B122="",J122=""),"",IF($B122=1,--(J122=1),""))</f>
        <v/>
      </c>
      <c r="AO122" s="4">
        <f>IF(OR($B122="",J122=""),"",IF($B122=0,--(J122=0),""))</f>
        <v/>
      </c>
      <c r="AP122" s="4">
        <f>IF(J122="","",--(J122=1))</f>
        <v/>
      </c>
      <c r="AQ122" s="4">
        <f>IF(OR($B122="",K122=""),"",--(K122=$B122))</f>
        <v/>
      </c>
      <c r="AR122" s="4">
        <f>IF(OR($B122="",K122=""),"",IF($B122=1,--(K122=1),""))</f>
        <v/>
      </c>
      <c r="AS122" s="4">
        <f>IF(OR($B122="",K122=""),"",IF($B122=0,--(K122=0),""))</f>
        <v/>
      </c>
      <c r="AT122" s="4">
        <f>IF(K122="","",--(K122=1))</f>
        <v/>
      </c>
      <c r="AU122" s="4">
        <f>IF(OR($B122="",L122=""),"",--(L122=$B122))</f>
        <v/>
      </c>
      <c r="AV122" s="4">
        <f>IF(OR($B122="",L122=""),"",IF($B122=1,--(L122=1),""))</f>
        <v/>
      </c>
      <c r="AW122" s="4">
        <f>IF(OR($B122="",L122=""),"",IF($B122=0,--(L122=0),""))</f>
        <v/>
      </c>
      <c r="AX122" s="4">
        <f>IF(L122="","",--(L122=1))</f>
        <v/>
      </c>
      <c r="AY122" s="4">
        <f>IF(OR($B122="",M122=""),"",--(M122=$B122))</f>
        <v/>
      </c>
      <c r="AZ122" s="4">
        <f>IF(OR($B122="",M122=""),"",IF($B122=1,--(M122=1),""))</f>
        <v/>
      </c>
      <c r="BA122" s="4">
        <f>IF(OR($B122="",M122=""),"",IF($B122=0,--(M122=0),""))</f>
        <v/>
      </c>
      <c r="BB122" s="4">
        <f>IF(M122="","",--(M122=1))</f>
        <v/>
      </c>
      <c r="BC122" s="4">
        <f>IF(OR($B122="",N122=""),"",--(N122=$B122))</f>
        <v/>
      </c>
      <c r="BD122" s="4">
        <f>IF(OR($B122="",N122=""),"",IF($B122=1,--(N122=1),""))</f>
        <v/>
      </c>
      <c r="BE122" s="4">
        <f>IF(OR($B122="",N122=""),"",IF($B122=0,--(N122=0),""))</f>
        <v/>
      </c>
      <c r="BF122" s="4">
        <f>IF(N122="","",--(N122=1))</f>
        <v/>
      </c>
    </row>
    <row r="123">
      <c r="A123" s="3" t="inlineStr">
        <is>
          <t>202029410</t>
        </is>
      </c>
      <c r="B123" s="3" t="inlineStr">
        <is>
          <t>1</t>
        </is>
      </c>
      <c r="C123" s="3" t="inlineStr">
        <is>
          <t>Direct</t>
        </is>
      </c>
      <c r="D123" s="3" t="inlineStr">
        <is>
          <t>1</t>
        </is>
      </c>
      <c r="E123" s="3" t="inlineStr">
        <is>
          <t>0</t>
        </is>
      </c>
      <c r="F123" s="3" t="inlineStr">
        <is>
          <t>0</t>
        </is>
      </c>
      <c r="G123" s="3" t="inlineStr">
        <is>
          <t>1</t>
        </is>
      </c>
      <c r="H123" s="3" t="inlineStr">
        <is>
          <t>1</t>
        </is>
      </c>
      <c r="I123" s="3" t="inlineStr">
        <is>
          <t>1</t>
        </is>
      </c>
      <c r="J123" s="3" t="inlineStr">
        <is>
          <t>1</t>
        </is>
      </c>
      <c r="K123" s="3" t="inlineStr">
        <is>
          <t>1</t>
        </is>
      </c>
      <c r="L123" s="3" t="inlineStr">
        <is>
          <t>1</t>
        </is>
      </c>
      <c r="M123" s="3" t="inlineStr">
        <is>
          <t>1</t>
        </is>
      </c>
      <c r="N123" s="3" t="inlineStr">
        <is>
          <t>1</t>
        </is>
      </c>
      <c r="O123" s="4">
        <f>IF(OR($B123="",D123=""),"",--(D123=$B123))</f>
        <v/>
      </c>
      <c r="P123" s="4">
        <f>IF(OR($B123="",D123=""),"",IF($B123=1,--(D123=1),""))</f>
        <v/>
      </c>
      <c r="Q123" s="4">
        <f>IF(OR($B123="",D123=""),"",IF($B123=0,--(D123=0),""))</f>
        <v/>
      </c>
      <c r="R123" s="4">
        <f>IF(D123="","",--(D123=1))</f>
        <v/>
      </c>
      <c r="S123" s="4">
        <f>IF(OR($B123="",E123=""),"",--(E123=$B123))</f>
        <v/>
      </c>
      <c r="T123" s="4">
        <f>IF(OR($B123="",E123=""),"",IF($B123=1,--(E123=1),""))</f>
        <v/>
      </c>
      <c r="U123" s="4">
        <f>IF(OR($B123="",E123=""),"",IF($B123=0,--(E123=0),""))</f>
        <v/>
      </c>
      <c r="V123" s="4">
        <f>IF(E123="","",--(E123=1))</f>
        <v/>
      </c>
      <c r="W123" s="4">
        <f>IF(OR($B123="",F123=""),"",--(F123=$B123))</f>
        <v/>
      </c>
      <c r="X123" s="4">
        <f>IF(OR($B123="",F123=""),"",IF($B123=1,--(F123=1),""))</f>
        <v/>
      </c>
      <c r="Y123" s="4">
        <f>IF(OR($B123="",F123=""),"",IF($B123=0,--(F123=0),""))</f>
        <v/>
      </c>
      <c r="Z123" s="4">
        <f>IF(F123="","",--(F123=1))</f>
        <v/>
      </c>
      <c r="AA123" s="4">
        <f>IF(OR($B123="",G123=""),"",--(G123=$B123))</f>
        <v/>
      </c>
      <c r="AB123" s="4">
        <f>IF(OR($B123="",G123=""),"",IF($B123=1,--(G123=1),""))</f>
        <v/>
      </c>
      <c r="AC123" s="4">
        <f>IF(OR($B123="",G123=""),"",IF($B123=0,--(G123=0),""))</f>
        <v/>
      </c>
      <c r="AD123" s="4">
        <f>IF(G123="","",--(G123=1))</f>
        <v/>
      </c>
      <c r="AE123" s="4">
        <f>IF(OR($B123="",H123=""),"",--(H123=$B123))</f>
        <v/>
      </c>
      <c r="AF123" s="4">
        <f>IF(OR($B123="",H123=""),"",IF($B123=1,--(H123=1),""))</f>
        <v/>
      </c>
      <c r="AG123" s="4">
        <f>IF(OR($B123="",H123=""),"",IF($B123=0,--(H123=0),""))</f>
        <v/>
      </c>
      <c r="AH123" s="4">
        <f>IF(H123="","",--(H123=1))</f>
        <v/>
      </c>
      <c r="AI123" s="4">
        <f>IF(OR($B123="",I123=""),"",--(I123=$B123))</f>
        <v/>
      </c>
      <c r="AJ123" s="4">
        <f>IF(OR($B123="",I123=""),"",IF($B123=1,--(I123=1),""))</f>
        <v/>
      </c>
      <c r="AK123" s="4">
        <f>IF(OR($B123="",I123=""),"",IF($B123=0,--(I123=0),""))</f>
        <v/>
      </c>
      <c r="AL123" s="4">
        <f>IF(I123="","",--(I123=1))</f>
        <v/>
      </c>
      <c r="AM123" s="4">
        <f>IF(OR($B123="",J123=""),"",--(J123=$B123))</f>
        <v/>
      </c>
      <c r="AN123" s="4">
        <f>IF(OR($B123="",J123=""),"",IF($B123=1,--(J123=1),""))</f>
        <v/>
      </c>
      <c r="AO123" s="4">
        <f>IF(OR($B123="",J123=""),"",IF($B123=0,--(J123=0),""))</f>
        <v/>
      </c>
      <c r="AP123" s="4">
        <f>IF(J123="","",--(J123=1))</f>
        <v/>
      </c>
      <c r="AQ123" s="4">
        <f>IF(OR($B123="",K123=""),"",--(K123=$B123))</f>
        <v/>
      </c>
      <c r="AR123" s="4">
        <f>IF(OR($B123="",K123=""),"",IF($B123=1,--(K123=1),""))</f>
        <v/>
      </c>
      <c r="AS123" s="4">
        <f>IF(OR($B123="",K123=""),"",IF($B123=0,--(K123=0),""))</f>
        <v/>
      </c>
      <c r="AT123" s="4">
        <f>IF(K123="","",--(K123=1))</f>
        <v/>
      </c>
      <c r="AU123" s="4">
        <f>IF(OR($B123="",L123=""),"",--(L123=$B123))</f>
        <v/>
      </c>
      <c r="AV123" s="4">
        <f>IF(OR($B123="",L123=""),"",IF($B123=1,--(L123=1),""))</f>
        <v/>
      </c>
      <c r="AW123" s="4">
        <f>IF(OR($B123="",L123=""),"",IF($B123=0,--(L123=0),""))</f>
        <v/>
      </c>
      <c r="AX123" s="4">
        <f>IF(L123="","",--(L123=1))</f>
        <v/>
      </c>
      <c r="AY123" s="4">
        <f>IF(OR($B123="",M123=""),"",--(M123=$B123))</f>
        <v/>
      </c>
      <c r="AZ123" s="4">
        <f>IF(OR($B123="",M123=""),"",IF($B123=1,--(M123=1),""))</f>
        <v/>
      </c>
      <c r="BA123" s="4">
        <f>IF(OR($B123="",M123=""),"",IF($B123=0,--(M123=0),""))</f>
        <v/>
      </c>
      <c r="BB123" s="4">
        <f>IF(M123="","",--(M123=1))</f>
        <v/>
      </c>
      <c r="BC123" s="4">
        <f>IF(OR($B123="",N123=""),"",--(N123=$B123))</f>
        <v/>
      </c>
      <c r="BD123" s="4">
        <f>IF(OR($B123="",N123=""),"",IF($B123=1,--(N123=1),""))</f>
        <v/>
      </c>
      <c r="BE123" s="4">
        <f>IF(OR($B123="",N123=""),"",IF($B123=0,--(N123=0),""))</f>
        <v/>
      </c>
      <c r="BF123" s="4">
        <f>IF(N123="","",--(N123=1))</f>
        <v/>
      </c>
    </row>
    <row r="124">
      <c r="A124" s="3" t="inlineStr">
        <is>
          <t>202029511</t>
        </is>
      </c>
      <c r="B124" s="3" t="inlineStr">
        <is>
          <t>0</t>
        </is>
      </c>
      <c r="C124" s="3" t="inlineStr">
        <is>
          <t>Direct</t>
        </is>
      </c>
      <c r="D124" s="3" t="inlineStr">
        <is>
          <t>1</t>
        </is>
      </c>
      <c r="E124" s="3" t="inlineStr">
        <is>
          <t>1</t>
        </is>
      </c>
      <c r="F124" s="3" t="inlineStr">
        <is>
          <t>0</t>
        </is>
      </c>
      <c r="G124" s="3" t="inlineStr">
        <is>
          <t>0</t>
        </is>
      </c>
      <c r="H124" s="3" t="inlineStr">
        <is>
          <t>0</t>
        </is>
      </c>
      <c r="I124" s="3" t="inlineStr">
        <is>
          <t>1</t>
        </is>
      </c>
      <c r="J124" s="3" t="inlineStr">
        <is>
          <t>0</t>
        </is>
      </c>
      <c r="K124" s="3" t="inlineStr">
        <is>
          <t>0</t>
        </is>
      </c>
      <c r="L124" s="3" t="inlineStr">
        <is>
          <t>1</t>
        </is>
      </c>
      <c r="M124" s="3" t="inlineStr">
        <is>
          <t>1</t>
        </is>
      </c>
      <c r="N124" s="3" t="inlineStr">
        <is>
          <t>1</t>
        </is>
      </c>
      <c r="O124" s="4">
        <f>IF(OR($B124="",D124=""),"",--(D124=$B124))</f>
        <v/>
      </c>
      <c r="P124" s="4">
        <f>IF(OR($B124="",D124=""),"",IF($B124=1,--(D124=1),""))</f>
        <v/>
      </c>
      <c r="Q124" s="4">
        <f>IF(OR($B124="",D124=""),"",IF($B124=0,--(D124=0),""))</f>
        <v/>
      </c>
      <c r="R124" s="4">
        <f>IF(D124="","",--(D124=1))</f>
        <v/>
      </c>
      <c r="S124" s="4">
        <f>IF(OR($B124="",E124=""),"",--(E124=$B124))</f>
        <v/>
      </c>
      <c r="T124" s="4">
        <f>IF(OR($B124="",E124=""),"",IF($B124=1,--(E124=1),""))</f>
        <v/>
      </c>
      <c r="U124" s="4">
        <f>IF(OR($B124="",E124=""),"",IF($B124=0,--(E124=0),""))</f>
        <v/>
      </c>
      <c r="V124" s="4">
        <f>IF(E124="","",--(E124=1))</f>
        <v/>
      </c>
      <c r="W124" s="4">
        <f>IF(OR($B124="",F124=""),"",--(F124=$B124))</f>
        <v/>
      </c>
      <c r="X124" s="4">
        <f>IF(OR($B124="",F124=""),"",IF($B124=1,--(F124=1),""))</f>
        <v/>
      </c>
      <c r="Y124" s="4">
        <f>IF(OR($B124="",F124=""),"",IF($B124=0,--(F124=0),""))</f>
        <v/>
      </c>
      <c r="Z124" s="4">
        <f>IF(F124="","",--(F124=1))</f>
        <v/>
      </c>
      <c r="AA124" s="4">
        <f>IF(OR($B124="",G124=""),"",--(G124=$B124))</f>
        <v/>
      </c>
      <c r="AB124" s="4">
        <f>IF(OR($B124="",G124=""),"",IF($B124=1,--(G124=1),""))</f>
        <v/>
      </c>
      <c r="AC124" s="4">
        <f>IF(OR($B124="",G124=""),"",IF($B124=0,--(G124=0),""))</f>
        <v/>
      </c>
      <c r="AD124" s="4">
        <f>IF(G124="","",--(G124=1))</f>
        <v/>
      </c>
      <c r="AE124" s="4">
        <f>IF(OR($B124="",H124=""),"",--(H124=$B124))</f>
        <v/>
      </c>
      <c r="AF124" s="4">
        <f>IF(OR($B124="",H124=""),"",IF($B124=1,--(H124=1),""))</f>
        <v/>
      </c>
      <c r="AG124" s="4">
        <f>IF(OR($B124="",H124=""),"",IF($B124=0,--(H124=0),""))</f>
        <v/>
      </c>
      <c r="AH124" s="4">
        <f>IF(H124="","",--(H124=1))</f>
        <v/>
      </c>
      <c r="AI124" s="4">
        <f>IF(OR($B124="",I124=""),"",--(I124=$B124))</f>
        <v/>
      </c>
      <c r="AJ124" s="4">
        <f>IF(OR($B124="",I124=""),"",IF($B124=1,--(I124=1),""))</f>
        <v/>
      </c>
      <c r="AK124" s="4">
        <f>IF(OR($B124="",I124=""),"",IF($B124=0,--(I124=0),""))</f>
        <v/>
      </c>
      <c r="AL124" s="4">
        <f>IF(I124="","",--(I124=1))</f>
        <v/>
      </c>
      <c r="AM124" s="4">
        <f>IF(OR($B124="",J124=""),"",--(J124=$B124))</f>
        <v/>
      </c>
      <c r="AN124" s="4">
        <f>IF(OR($B124="",J124=""),"",IF($B124=1,--(J124=1),""))</f>
        <v/>
      </c>
      <c r="AO124" s="4">
        <f>IF(OR($B124="",J124=""),"",IF($B124=0,--(J124=0),""))</f>
        <v/>
      </c>
      <c r="AP124" s="4">
        <f>IF(J124="","",--(J124=1))</f>
        <v/>
      </c>
      <c r="AQ124" s="4">
        <f>IF(OR($B124="",K124=""),"",--(K124=$B124))</f>
        <v/>
      </c>
      <c r="AR124" s="4">
        <f>IF(OR($B124="",K124=""),"",IF($B124=1,--(K124=1),""))</f>
        <v/>
      </c>
      <c r="AS124" s="4">
        <f>IF(OR($B124="",K124=""),"",IF($B124=0,--(K124=0),""))</f>
        <v/>
      </c>
      <c r="AT124" s="4">
        <f>IF(K124="","",--(K124=1))</f>
        <v/>
      </c>
      <c r="AU124" s="4">
        <f>IF(OR($B124="",L124=""),"",--(L124=$B124))</f>
        <v/>
      </c>
      <c r="AV124" s="4">
        <f>IF(OR($B124="",L124=""),"",IF($B124=1,--(L124=1),""))</f>
        <v/>
      </c>
      <c r="AW124" s="4">
        <f>IF(OR($B124="",L124=""),"",IF($B124=0,--(L124=0),""))</f>
        <v/>
      </c>
      <c r="AX124" s="4">
        <f>IF(L124="","",--(L124=1))</f>
        <v/>
      </c>
      <c r="AY124" s="4">
        <f>IF(OR($B124="",M124=""),"",--(M124=$B124))</f>
        <v/>
      </c>
      <c r="AZ124" s="4">
        <f>IF(OR($B124="",M124=""),"",IF($B124=1,--(M124=1),""))</f>
        <v/>
      </c>
      <c r="BA124" s="4">
        <f>IF(OR($B124="",M124=""),"",IF($B124=0,--(M124=0),""))</f>
        <v/>
      </c>
      <c r="BB124" s="4">
        <f>IF(M124="","",--(M124=1))</f>
        <v/>
      </c>
      <c r="BC124" s="4">
        <f>IF(OR($B124="",N124=""),"",--(N124=$B124))</f>
        <v/>
      </c>
      <c r="BD124" s="4">
        <f>IF(OR($B124="",N124=""),"",IF($B124=1,--(N124=1),""))</f>
        <v/>
      </c>
      <c r="BE124" s="4">
        <f>IF(OR($B124="",N124=""),"",IF($B124=0,--(N124=0),""))</f>
        <v/>
      </c>
      <c r="BF124" s="4">
        <f>IF(N124="","",--(N124=1))</f>
        <v/>
      </c>
    </row>
    <row r="125">
      <c r="A125" s="3" t="inlineStr">
        <is>
          <t>202029739</t>
        </is>
      </c>
      <c r="B125" s="3" t="inlineStr">
        <is>
          <t>0</t>
        </is>
      </c>
      <c r="C125" s="3" t="inlineStr">
        <is>
          <t>Direct</t>
        </is>
      </c>
      <c r="D125" s="3" t="inlineStr">
        <is>
          <t>1</t>
        </is>
      </c>
      <c r="E125" s="3" t="inlineStr">
        <is>
          <t>0</t>
        </is>
      </c>
      <c r="F125" s="3" t="inlineStr">
        <is>
          <t>0</t>
        </is>
      </c>
      <c r="G125" s="3" t="inlineStr">
        <is>
          <t>0</t>
        </is>
      </c>
      <c r="H125" s="3" t="inlineStr">
        <is>
          <t>1</t>
        </is>
      </c>
      <c r="I125" s="3" t="inlineStr">
        <is>
          <t>1</t>
        </is>
      </c>
      <c r="J125" s="3" t="inlineStr">
        <is>
          <t>1</t>
        </is>
      </c>
      <c r="K125" s="3" t="inlineStr">
        <is>
          <t>0</t>
        </is>
      </c>
      <c r="L125" s="3" t="inlineStr">
        <is>
          <t>0</t>
        </is>
      </c>
      <c r="M125" s="3" t="inlineStr">
        <is>
          <t>0</t>
        </is>
      </c>
      <c r="N125" s="3" t="inlineStr">
        <is>
          <t>0</t>
        </is>
      </c>
      <c r="O125" s="4">
        <f>IF(OR($B125="",D125=""),"",--(D125=$B125))</f>
        <v/>
      </c>
      <c r="P125" s="4">
        <f>IF(OR($B125="",D125=""),"",IF($B125=1,--(D125=1),""))</f>
        <v/>
      </c>
      <c r="Q125" s="4">
        <f>IF(OR($B125="",D125=""),"",IF($B125=0,--(D125=0),""))</f>
        <v/>
      </c>
      <c r="R125" s="4">
        <f>IF(D125="","",--(D125=1))</f>
        <v/>
      </c>
      <c r="S125" s="4">
        <f>IF(OR($B125="",E125=""),"",--(E125=$B125))</f>
        <v/>
      </c>
      <c r="T125" s="4">
        <f>IF(OR($B125="",E125=""),"",IF($B125=1,--(E125=1),""))</f>
        <v/>
      </c>
      <c r="U125" s="4">
        <f>IF(OR($B125="",E125=""),"",IF($B125=0,--(E125=0),""))</f>
        <v/>
      </c>
      <c r="V125" s="4">
        <f>IF(E125="","",--(E125=1))</f>
        <v/>
      </c>
      <c r="W125" s="4">
        <f>IF(OR($B125="",F125=""),"",--(F125=$B125))</f>
        <v/>
      </c>
      <c r="X125" s="4">
        <f>IF(OR($B125="",F125=""),"",IF($B125=1,--(F125=1),""))</f>
        <v/>
      </c>
      <c r="Y125" s="4">
        <f>IF(OR($B125="",F125=""),"",IF($B125=0,--(F125=0),""))</f>
        <v/>
      </c>
      <c r="Z125" s="4">
        <f>IF(F125="","",--(F125=1))</f>
        <v/>
      </c>
      <c r="AA125" s="4">
        <f>IF(OR($B125="",G125=""),"",--(G125=$B125))</f>
        <v/>
      </c>
      <c r="AB125" s="4">
        <f>IF(OR($B125="",G125=""),"",IF($B125=1,--(G125=1),""))</f>
        <v/>
      </c>
      <c r="AC125" s="4">
        <f>IF(OR($B125="",G125=""),"",IF($B125=0,--(G125=0),""))</f>
        <v/>
      </c>
      <c r="AD125" s="4">
        <f>IF(G125="","",--(G125=1))</f>
        <v/>
      </c>
      <c r="AE125" s="4">
        <f>IF(OR($B125="",H125=""),"",--(H125=$B125))</f>
        <v/>
      </c>
      <c r="AF125" s="4">
        <f>IF(OR($B125="",H125=""),"",IF($B125=1,--(H125=1),""))</f>
        <v/>
      </c>
      <c r="AG125" s="4">
        <f>IF(OR($B125="",H125=""),"",IF($B125=0,--(H125=0),""))</f>
        <v/>
      </c>
      <c r="AH125" s="4">
        <f>IF(H125="","",--(H125=1))</f>
        <v/>
      </c>
      <c r="AI125" s="4">
        <f>IF(OR($B125="",I125=""),"",--(I125=$B125))</f>
        <v/>
      </c>
      <c r="AJ125" s="4">
        <f>IF(OR($B125="",I125=""),"",IF($B125=1,--(I125=1),""))</f>
        <v/>
      </c>
      <c r="AK125" s="4">
        <f>IF(OR($B125="",I125=""),"",IF($B125=0,--(I125=0),""))</f>
        <v/>
      </c>
      <c r="AL125" s="4">
        <f>IF(I125="","",--(I125=1))</f>
        <v/>
      </c>
      <c r="AM125" s="4">
        <f>IF(OR($B125="",J125=""),"",--(J125=$B125))</f>
        <v/>
      </c>
      <c r="AN125" s="4">
        <f>IF(OR($B125="",J125=""),"",IF($B125=1,--(J125=1),""))</f>
        <v/>
      </c>
      <c r="AO125" s="4">
        <f>IF(OR($B125="",J125=""),"",IF($B125=0,--(J125=0),""))</f>
        <v/>
      </c>
      <c r="AP125" s="4">
        <f>IF(J125="","",--(J125=1))</f>
        <v/>
      </c>
      <c r="AQ125" s="4">
        <f>IF(OR($B125="",K125=""),"",--(K125=$B125))</f>
        <v/>
      </c>
      <c r="AR125" s="4">
        <f>IF(OR($B125="",K125=""),"",IF($B125=1,--(K125=1),""))</f>
        <v/>
      </c>
      <c r="AS125" s="4">
        <f>IF(OR($B125="",K125=""),"",IF($B125=0,--(K125=0),""))</f>
        <v/>
      </c>
      <c r="AT125" s="4">
        <f>IF(K125="","",--(K125=1))</f>
        <v/>
      </c>
      <c r="AU125" s="4">
        <f>IF(OR($B125="",L125=""),"",--(L125=$B125))</f>
        <v/>
      </c>
      <c r="AV125" s="4">
        <f>IF(OR($B125="",L125=""),"",IF($B125=1,--(L125=1),""))</f>
        <v/>
      </c>
      <c r="AW125" s="4">
        <f>IF(OR($B125="",L125=""),"",IF($B125=0,--(L125=0),""))</f>
        <v/>
      </c>
      <c r="AX125" s="4">
        <f>IF(L125="","",--(L125=1))</f>
        <v/>
      </c>
      <c r="AY125" s="4">
        <f>IF(OR($B125="",M125=""),"",--(M125=$B125))</f>
        <v/>
      </c>
      <c r="AZ125" s="4">
        <f>IF(OR($B125="",M125=""),"",IF($B125=1,--(M125=1),""))</f>
        <v/>
      </c>
      <c r="BA125" s="4">
        <f>IF(OR($B125="",M125=""),"",IF($B125=0,--(M125=0),""))</f>
        <v/>
      </c>
      <c r="BB125" s="4">
        <f>IF(M125="","",--(M125=1))</f>
        <v/>
      </c>
      <c r="BC125" s="4">
        <f>IF(OR($B125="",N125=""),"",--(N125=$B125))</f>
        <v/>
      </c>
      <c r="BD125" s="4">
        <f>IF(OR($B125="",N125=""),"",IF($B125=1,--(N125=1),""))</f>
        <v/>
      </c>
      <c r="BE125" s="4">
        <f>IF(OR($B125="",N125=""),"",IF($B125=0,--(N125=0),""))</f>
        <v/>
      </c>
      <c r="BF125" s="4">
        <f>IF(N125="","",--(N125=1))</f>
        <v/>
      </c>
    </row>
    <row r="126">
      <c r="A126" s="3" t="inlineStr">
        <is>
          <t>202029845</t>
        </is>
      </c>
      <c r="B126" s="3" t="inlineStr">
        <is>
          <t>0</t>
        </is>
      </c>
      <c r="C126" s="3" t="inlineStr">
        <is>
          <t>RQ</t>
        </is>
      </c>
      <c r="D126" s="3" t="inlineStr">
        <is>
          <t>0</t>
        </is>
      </c>
      <c r="E126" s="3" t="inlineStr">
        <is>
          <t>0</t>
        </is>
      </c>
      <c r="F126" s="3" t="inlineStr">
        <is>
          <t>1</t>
        </is>
      </c>
      <c r="G126" s="3" t="inlineStr">
        <is>
          <t>0</t>
        </is>
      </c>
      <c r="H126" s="3" t="inlineStr">
        <is>
          <t>1</t>
        </is>
      </c>
      <c r="I126" s="3" t="inlineStr">
        <is>
          <t>1</t>
        </is>
      </c>
      <c r="J126" s="3" t="inlineStr">
        <is>
          <t>1</t>
        </is>
      </c>
      <c r="K126" s="3" t="inlineStr">
        <is>
          <t>1</t>
        </is>
      </c>
      <c r="L126" s="3" t="inlineStr">
        <is>
          <t>1</t>
        </is>
      </c>
      <c r="M126" s="3" t="inlineStr">
        <is>
          <t>1</t>
        </is>
      </c>
      <c r="N126" s="3" t="inlineStr">
        <is>
          <t>1</t>
        </is>
      </c>
      <c r="O126" s="4">
        <f>IF(OR($B126="",D126=""),"",--(D126=$B126))</f>
        <v/>
      </c>
      <c r="P126" s="4">
        <f>IF(OR($B126="",D126=""),"",IF($B126=1,--(D126=1),""))</f>
        <v/>
      </c>
      <c r="Q126" s="4">
        <f>IF(OR($B126="",D126=""),"",IF($B126=0,--(D126=0),""))</f>
        <v/>
      </c>
      <c r="R126" s="4">
        <f>IF(D126="","",--(D126=1))</f>
        <v/>
      </c>
      <c r="S126" s="4">
        <f>IF(OR($B126="",E126=""),"",--(E126=$B126))</f>
        <v/>
      </c>
      <c r="T126" s="4">
        <f>IF(OR($B126="",E126=""),"",IF($B126=1,--(E126=1),""))</f>
        <v/>
      </c>
      <c r="U126" s="4">
        <f>IF(OR($B126="",E126=""),"",IF($B126=0,--(E126=0),""))</f>
        <v/>
      </c>
      <c r="V126" s="4">
        <f>IF(E126="","",--(E126=1))</f>
        <v/>
      </c>
      <c r="W126" s="4">
        <f>IF(OR($B126="",F126=""),"",--(F126=$B126))</f>
        <v/>
      </c>
      <c r="X126" s="4">
        <f>IF(OR($B126="",F126=""),"",IF($B126=1,--(F126=1),""))</f>
        <v/>
      </c>
      <c r="Y126" s="4">
        <f>IF(OR($B126="",F126=""),"",IF($B126=0,--(F126=0),""))</f>
        <v/>
      </c>
      <c r="Z126" s="4">
        <f>IF(F126="","",--(F126=1))</f>
        <v/>
      </c>
      <c r="AA126" s="4">
        <f>IF(OR($B126="",G126=""),"",--(G126=$B126))</f>
        <v/>
      </c>
      <c r="AB126" s="4">
        <f>IF(OR($B126="",G126=""),"",IF($B126=1,--(G126=1),""))</f>
        <v/>
      </c>
      <c r="AC126" s="4">
        <f>IF(OR($B126="",G126=""),"",IF($B126=0,--(G126=0),""))</f>
        <v/>
      </c>
      <c r="AD126" s="4">
        <f>IF(G126="","",--(G126=1))</f>
        <v/>
      </c>
      <c r="AE126" s="4">
        <f>IF(OR($B126="",H126=""),"",--(H126=$B126))</f>
        <v/>
      </c>
      <c r="AF126" s="4">
        <f>IF(OR($B126="",H126=""),"",IF($B126=1,--(H126=1),""))</f>
        <v/>
      </c>
      <c r="AG126" s="4">
        <f>IF(OR($B126="",H126=""),"",IF($B126=0,--(H126=0),""))</f>
        <v/>
      </c>
      <c r="AH126" s="4">
        <f>IF(H126="","",--(H126=1))</f>
        <v/>
      </c>
      <c r="AI126" s="4">
        <f>IF(OR($B126="",I126=""),"",--(I126=$B126))</f>
        <v/>
      </c>
      <c r="AJ126" s="4">
        <f>IF(OR($B126="",I126=""),"",IF($B126=1,--(I126=1),""))</f>
        <v/>
      </c>
      <c r="AK126" s="4">
        <f>IF(OR($B126="",I126=""),"",IF($B126=0,--(I126=0),""))</f>
        <v/>
      </c>
      <c r="AL126" s="4">
        <f>IF(I126="","",--(I126=1))</f>
        <v/>
      </c>
      <c r="AM126" s="4">
        <f>IF(OR($B126="",J126=""),"",--(J126=$B126))</f>
        <v/>
      </c>
      <c r="AN126" s="4">
        <f>IF(OR($B126="",J126=""),"",IF($B126=1,--(J126=1),""))</f>
        <v/>
      </c>
      <c r="AO126" s="4">
        <f>IF(OR($B126="",J126=""),"",IF($B126=0,--(J126=0),""))</f>
        <v/>
      </c>
      <c r="AP126" s="4">
        <f>IF(J126="","",--(J126=1))</f>
        <v/>
      </c>
      <c r="AQ126" s="4">
        <f>IF(OR($B126="",K126=""),"",--(K126=$B126))</f>
        <v/>
      </c>
      <c r="AR126" s="4">
        <f>IF(OR($B126="",K126=""),"",IF($B126=1,--(K126=1),""))</f>
        <v/>
      </c>
      <c r="AS126" s="4">
        <f>IF(OR($B126="",K126=""),"",IF($B126=0,--(K126=0),""))</f>
        <v/>
      </c>
      <c r="AT126" s="4">
        <f>IF(K126="","",--(K126=1))</f>
        <v/>
      </c>
      <c r="AU126" s="4">
        <f>IF(OR($B126="",L126=""),"",--(L126=$B126))</f>
        <v/>
      </c>
      <c r="AV126" s="4">
        <f>IF(OR($B126="",L126=""),"",IF($B126=1,--(L126=1),""))</f>
        <v/>
      </c>
      <c r="AW126" s="4">
        <f>IF(OR($B126="",L126=""),"",IF($B126=0,--(L126=0),""))</f>
        <v/>
      </c>
      <c r="AX126" s="4">
        <f>IF(L126="","",--(L126=1))</f>
        <v/>
      </c>
      <c r="AY126" s="4">
        <f>IF(OR($B126="",M126=""),"",--(M126=$B126))</f>
        <v/>
      </c>
      <c r="AZ126" s="4">
        <f>IF(OR($B126="",M126=""),"",IF($B126=1,--(M126=1),""))</f>
        <v/>
      </c>
      <c r="BA126" s="4">
        <f>IF(OR($B126="",M126=""),"",IF($B126=0,--(M126=0),""))</f>
        <v/>
      </c>
      <c r="BB126" s="4">
        <f>IF(M126="","",--(M126=1))</f>
        <v/>
      </c>
      <c r="BC126" s="4">
        <f>IF(OR($B126="",N126=""),"",--(N126=$B126))</f>
        <v/>
      </c>
      <c r="BD126" s="4">
        <f>IF(OR($B126="",N126=""),"",IF($B126=1,--(N126=1),""))</f>
        <v/>
      </c>
      <c r="BE126" s="4">
        <f>IF(OR($B126="",N126=""),"",IF($B126=0,--(N126=0),""))</f>
        <v/>
      </c>
      <c r="BF126" s="4">
        <f>IF(N126="","",--(N126=1))</f>
        <v/>
      </c>
    </row>
    <row r="127">
      <c r="A127" s="3" t="inlineStr">
        <is>
          <t>202030060</t>
        </is>
      </c>
      <c r="B127" s="3" t="inlineStr">
        <is>
          <t>0</t>
        </is>
      </c>
      <c r="C127" s="3" t="inlineStr">
        <is>
          <t>Direct</t>
        </is>
      </c>
      <c r="D127" s="3" t="inlineStr">
        <is>
          <t>1</t>
        </is>
      </c>
      <c r="E127" s="3" t="inlineStr">
        <is>
          <t>1</t>
        </is>
      </c>
      <c r="F127" s="3" t="inlineStr">
        <is>
          <t>1</t>
        </is>
      </c>
      <c r="G127" s="3" t="inlineStr">
        <is>
          <t>1</t>
        </is>
      </c>
      <c r="H127" s="3" t="inlineStr">
        <is>
          <t>1</t>
        </is>
      </c>
      <c r="I127" s="3" t="inlineStr">
        <is>
          <t>1</t>
        </is>
      </c>
      <c r="J127" s="3" t="inlineStr">
        <is>
          <t>1</t>
        </is>
      </c>
      <c r="K127" s="3" t="inlineStr">
        <is>
          <t>1</t>
        </is>
      </c>
      <c r="L127" s="3" t="inlineStr">
        <is>
          <t>1</t>
        </is>
      </c>
      <c r="M127" s="3" t="inlineStr">
        <is>
          <t>1</t>
        </is>
      </c>
      <c r="N127" s="3" t="inlineStr">
        <is>
          <t>1</t>
        </is>
      </c>
      <c r="O127" s="4">
        <f>IF(OR($B127="",D127=""),"",--(D127=$B127))</f>
        <v/>
      </c>
      <c r="P127" s="4">
        <f>IF(OR($B127="",D127=""),"",IF($B127=1,--(D127=1),""))</f>
        <v/>
      </c>
      <c r="Q127" s="4">
        <f>IF(OR($B127="",D127=""),"",IF($B127=0,--(D127=0),""))</f>
        <v/>
      </c>
      <c r="R127" s="4">
        <f>IF(D127="","",--(D127=1))</f>
        <v/>
      </c>
      <c r="S127" s="4">
        <f>IF(OR($B127="",E127=""),"",--(E127=$B127))</f>
        <v/>
      </c>
      <c r="T127" s="4">
        <f>IF(OR($B127="",E127=""),"",IF($B127=1,--(E127=1),""))</f>
        <v/>
      </c>
      <c r="U127" s="4">
        <f>IF(OR($B127="",E127=""),"",IF($B127=0,--(E127=0),""))</f>
        <v/>
      </c>
      <c r="V127" s="4">
        <f>IF(E127="","",--(E127=1))</f>
        <v/>
      </c>
      <c r="W127" s="4">
        <f>IF(OR($B127="",F127=""),"",--(F127=$B127))</f>
        <v/>
      </c>
      <c r="X127" s="4">
        <f>IF(OR($B127="",F127=""),"",IF($B127=1,--(F127=1),""))</f>
        <v/>
      </c>
      <c r="Y127" s="4">
        <f>IF(OR($B127="",F127=""),"",IF($B127=0,--(F127=0),""))</f>
        <v/>
      </c>
      <c r="Z127" s="4">
        <f>IF(F127="","",--(F127=1))</f>
        <v/>
      </c>
      <c r="AA127" s="4">
        <f>IF(OR($B127="",G127=""),"",--(G127=$B127))</f>
        <v/>
      </c>
      <c r="AB127" s="4">
        <f>IF(OR($B127="",G127=""),"",IF($B127=1,--(G127=1),""))</f>
        <v/>
      </c>
      <c r="AC127" s="4">
        <f>IF(OR($B127="",G127=""),"",IF($B127=0,--(G127=0),""))</f>
        <v/>
      </c>
      <c r="AD127" s="4">
        <f>IF(G127="","",--(G127=1))</f>
        <v/>
      </c>
      <c r="AE127" s="4">
        <f>IF(OR($B127="",H127=""),"",--(H127=$B127))</f>
        <v/>
      </c>
      <c r="AF127" s="4">
        <f>IF(OR($B127="",H127=""),"",IF($B127=1,--(H127=1),""))</f>
        <v/>
      </c>
      <c r="AG127" s="4">
        <f>IF(OR($B127="",H127=""),"",IF($B127=0,--(H127=0),""))</f>
        <v/>
      </c>
      <c r="AH127" s="4">
        <f>IF(H127="","",--(H127=1))</f>
        <v/>
      </c>
      <c r="AI127" s="4">
        <f>IF(OR($B127="",I127=""),"",--(I127=$B127))</f>
        <v/>
      </c>
      <c r="AJ127" s="4">
        <f>IF(OR($B127="",I127=""),"",IF($B127=1,--(I127=1),""))</f>
        <v/>
      </c>
      <c r="AK127" s="4">
        <f>IF(OR($B127="",I127=""),"",IF($B127=0,--(I127=0),""))</f>
        <v/>
      </c>
      <c r="AL127" s="4">
        <f>IF(I127="","",--(I127=1))</f>
        <v/>
      </c>
      <c r="AM127" s="4">
        <f>IF(OR($B127="",J127=""),"",--(J127=$B127))</f>
        <v/>
      </c>
      <c r="AN127" s="4">
        <f>IF(OR($B127="",J127=""),"",IF($B127=1,--(J127=1),""))</f>
        <v/>
      </c>
      <c r="AO127" s="4">
        <f>IF(OR($B127="",J127=""),"",IF($B127=0,--(J127=0),""))</f>
        <v/>
      </c>
      <c r="AP127" s="4">
        <f>IF(J127="","",--(J127=1))</f>
        <v/>
      </c>
      <c r="AQ127" s="4">
        <f>IF(OR($B127="",K127=""),"",--(K127=$B127))</f>
        <v/>
      </c>
      <c r="AR127" s="4">
        <f>IF(OR($B127="",K127=""),"",IF($B127=1,--(K127=1),""))</f>
        <v/>
      </c>
      <c r="AS127" s="4">
        <f>IF(OR($B127="",K127=""),"",IF($B127=0,--(K127=0),""))</f>
        <v/>
      </c>
      <c r="AT127" s="4">
        <f>IF(K127="","",--(K127=1))</f>
        <v/>
      </c>
      <c r="AU127" s="4">
        <f>IF(OR($B127="",L127=""),"",--(L127=$B127))</f>
        <v/>
      </c>
      <c r="AV127" s="4">
        <f>IF(OR($B127="",L127=""),"",IF($B127=1,--(L127=1),""))</f>
        <v/>
      </c>
      <c r="AW127" s="4">
        <f>IF(OR($B127="",L127=""),"",IF($B127=0,--(L127=0),""))</f>
        <v/>
      </c>
      <c r="AX127" s="4">
        <f>IF(L127="","",--(L127=1))</f>
        <v/>
      </c>
      <c r="AY127" s="4">
        <f>IF(OR($B127="",M127=""),"",--(M127=$B127))</f>
        <v/>
      </c>
      <c r="AZ127" s="4">
        <f>IF(OR($B127="",M127=""),"",IF($B127=1,--(M127=1),""))</f>
        <v/>
      </c>
      <c r="BA127" s="4">
        <f>IF(OR($B127="",M127=""),"",IF($B127=0,--(M127=0),""))</f>
        <v/>
      </c>
      <c r="BB127" s="4">
        <f>IF(M127="","",--(M127=1))</f>
        <v/>
      </c>
      <c r="BC127" s="4">
        <f>IF(OR($B127="",N127=""),"",--(N127=$B127))</f>
        <v/>
      </c>
      <c r="BD127" s="4">
        <f>IF(OR($B127="",N127=""),"",IF($B127=1,--(N127=1),""))</f>
        <v/>
      </c>
      <c r="BE127" s="4">
        <f>IF(OR($B127="",N127=""),"",IF($B127=0,--(N127=0),""))</f>
        <v/>
      </c>
      <c r="BF127" s="4">
        <f>IF(N127="","",--(N127=1))</f>
        <v/>
      </c>
    </row>
    <row r="128">
      <c r="A128" s="3" t="inlineStr">
        <is>
          <t>202030431</t>
        </is>
      </c>
      <c r="B128" s="3" t="inlineStr">
        <is>
          <t>1</t>
        </is>
      </c>
      <c r="C128" s="3" t="inlineStr">
        <is>
          <t>Direct</t>
        </is>
      </c>
      <c r="D128" s="3" t="inlineStr">
        <is>
          <t>1</t>
        </is>
      </c>
      <c r="E128" s="3" t="inlineStr">
        <is>
          <t>1</t>
        </is>
      </c>
      <c r="F128" s="3" t="inlineStr">
        <is>
          <t>1</t>
        </is>
      </c>
      <c r="G128" s="3" t="inlineStr">
        <is>
          <t>1</t>
        </is>
      </c>
      <c r="H128" s="3" t="inlineStr">
        <is>
          <t>1</t>
        </is>
      </c>
      <c r="I128" s="3" t="inlineStr">
        <is>
          <t>1</t>
        </is>
      </c>
      <c r="J128" s="3" t="inlineStr">
        <is>
          <t>1</t>
        </is>
      </c>
      <c r="K128" s="3" t="inlineStr">
        <is>
          <t>1</t>
        </is>
      </c>
      <c r="L128" s="3" t="inlineStr">
        <is>
          <t>1</t>
        </is>
      </c>
      <c r="M128" s="3" t="inlineStr">
        <is>
          <t>1</t>
        </is>
      </c>
      <c r="N128" s="3" t="inlineStr">
        <is>
          <t>1</t>
        </is>
      </c>
      <c r="O128" s="4">
        <f>IF(OR($B128="",D128=""),"",--(D128=$B128))</f>
        <v/>
      </c>
      <c r="P128" s="4">
        <f>IF(OR($B128="",D128=""),"",IF($B128=1,--(D128=1),""))</f>
        <v/>
      </c>
      <c r="Q128" s="4">
        <f>IF(OR($B128="",D128=""),"",IF($B128=0,--(D128=0),""))</f>
        <v/>
      </c>
      <c r="R128" s="4">
        <f>IF(D128="","",--(D128=1))</f>
        <v/>
      </c>
      <c r="S128" s="4">
        <f>IF(OR($B128="",E128=""),"",--(E128=$B128))</f>
        <v/>
      </c>
      <c r="T128" s="4">
        <f>IF(OR($B128="",E128=""),"",IF($B128=1,--(E128=1),""))</f>
        <v/>
      </c>
      <c r="U128" s="4">
        <f>IF(OR($B128="",E128=""),"",IF($B128=0,--(E128=0),""))</f>
        <v/>
      </c>
      <c r="V128" s="4">
        <f>IF(E128="","",--(E128=1))</f>
        <v/>
      </c>
      <c r="W128" s="4">
        <f>IF(OR($B128="",F128=""),"",--(F128=$B128))</f>
        <v/>
      </c>
      <c r="X128" s="4">
        <f>IF(OR($B128="",F128=""),"",IF($B128=1,--(F128=1),""))</f>
        <v/>
      </c>
      <c r="Y128" s="4">
        <f>IF(OR($B128="",F128=""),"",IF($B128=0,--(F128=0),""))</f>
        <v/>
      </c>
      <c r="Z128" s="4">
        <f>IF(F128="","",--(F128=1))</f>
        <v/>
      </c>
      <c r="AA128" s="4">
        <f>IF(OR($B128="",G128=""),"",--(G128=$B128))</f>
        <v/>
      </c>
      <c r="AB128" s="4">
        <f>IF(OR($B128="",G128=""),"",IF($B128=1,--(G128=1),""))</f>
        <v/>
      </c>
      <c r="AC128" s="4">
        <f>IF(OR($B128="",G128=""),"",IF($B128=0,--(G128=0),""))</f>
        <v/>
      </c>
      <c r="AD128" s="4">
        <f>IF(G128="","",--(G128=1))</f>
        <v/>
      </c>
      <c r="AE128" s="4">
        <f>IF(OR($B128="",H128=""),"",--(H128=$B128))</f>
        <v/>
      </c>
      <c r="AF128" s="4">
        <f>IF(OR($B128="",H128=""),"",IF($B128=1,--(H128=1),""))</f>
        <v/>
      </c>
      <c r="AG128" s="4">
        <f>IF(OR($B128="",H128=""),"",IF($B128=0,--(H128=0),""))</f>
        <v/>
      </c>
      <c r="AH128" s="4">
        <f>IF(H128="","",--(H128=1))</f>
        <v/>
      </c>
      <c r="AI128" s="4">
        <f>IF(OR($B128="",I128=""),"",--(I128=$B128))</f>
        <v/>
      </c>
      <c r="AJ128" s="4">
        <f>IF(OR($B128="",I128=""),"",IF($B128=1,--(I128=1),""))</f>
        <v/>
      </c>
      <c r="AK128" s="4">
        <f>IF(OR($B128="",I128=""),"",IF($B128=0,--(I128=0),""))</f>
        <v/>
      </c>
      <c r="AL128" s="4">
        <f>IF(I128="","",--(I128=1))</f>
        <v/>
      </c>
      <c r="AM128" s="4">
        <f>IF(OR($B128="",J128=""),"",--(J128=$B128))</f>
        <v/>
      </c>
      <c r="AN128" s="4">
        <f>IF(OR($B128="",J128=""),"",IF($B128=1,--(J128=1),""))</f>
        <v/>
      </c>
      <c r="AO128" s="4">
        <f>IF(OR($B128="",J128=""),"",IF($B128=0,--(J128=0),""))</f>
        <v/>
      </c>
      <c r="AP128" s="4">
        <f>IF(J128="","",--(J128=1))</f>
        <v/>
      </c>
      <c r="AQ128" s="4">
        <f>IF(OR($B128="",K128=""),"",--(K128=$B128))</f>
        <v/>
      </c>
      <c r="AR128" s="4">
        <f>IF(OR($B128="",K128=""),"",IF($B128=1,--(K128=1),""))</f>
        <v/>
      </c>
      <c r="AS128" s="4">
        <f>IF(OR($B128="",K128=""),"",IF($B128=0,--(K128=0),""))</f>
        <v/>
      </c>
      <c r="AT128" s="4">
        <f>IF(K128="","",--(K128=1))</f>
        <v/>
      </c>
      <c r="AU128" s="4">
        <f>IF(OR($B128="",L128=""),"",--(L128=$B128))</f>
        <v/>
      </c>
      <c r="AV128" s="4">
        <f>IF(OR($B128="",L128=""),"",IF($B128=1,--(L128=1),""))</f>
        <v/>
      </c>
      <c r="AW128" s="4">
        <f>IF(OR($B128="",L128=""),"",IF($B128=0,--(L128=0),""))</f>
        <v/>
      </c>
      <c r="AX128" s="4">
        <f>IF(L128="","",--(L128=1))</f>
        <v/>
      </c>
      <c r="AY128" s="4">
        <f>IF(OR($B128="",M128=""),"",--(M128=$B128))</f>
        <v/>
      </c>
      <c r="AZ128" s="4">
        <f>IF(OR($B128="",M128=""),"",IF($B128=1,--(M128=1),""))</f>
        <v/>
      </c>
      <c r="BA128" s="4">
        <f>IF(OR($B128="",M128=""),"",IF($B128=0,--(M128=0),""))</f>
        <v/>
      </c>
      <c r="BB128" s="4">
        <f>IF(M128="","",--(M128=1))</f>
        <v/>
      </c>
      <c r="BC128" s="4">
        <f>IF(OR($B128="",N128=""),"",--(N128=$B128))</f>
        <v/>
      </c>
      <c r="BD128" s="4">
        <f>IF(OR($B128="",N128=""),"",IF($B128=1,--(N128=1),""))</f>
        <v/>
      </c>
      <c r="BE128" s="4">
        <f>IF(OR($B128="",N128=""),"",IF($B128=0,--(N128=0),""))</f>
        <v/>
      </c>
      <c r="BF128" s="4">
        <f>IF(N128="","",--(N128=1))</f>
        <v/>
      </c>
    </row>
    <row r="129">
      <c r="A129" s="3" t="inlineStr">
        <is>
          <t>202030559</t>
        </is>
      </c>
      <c r="B129" s="3" t="inlineStr">
        <is>
          <t>1</t>
        </is>
      </c>
      <c r="C129" s="3" t="inlineStr">
        <is>
          <t>Direct</t>
        </is>
      </c>
      <c r="D129" s="3" t="inlineStr">
        <is>
          <t>1</t>
        </is>
      </c>
      <c r="E129" s="3" t="inlineStr">
        <is>
          <t>1</t>
        </is>
      </c>
      <c r="F129" s="3" t="inlineStr">
        <is>
          <t>1</t>
        </is>
      </c>
      <c r="G129" s="3" t="inlineStr">
        <is>
          <t>1</t>
        </is>
      </c>
      <c r="H129" s="3" t="inlineStr">
        <is>
          <t>1</t>
        </is>
      </c>
      <c r="I129" s="3" t="inlineStr">
        <is>
          <t>1</t>
        </is>
      </c>
      <c r="J129" s="3" t="inlineStr">
        <is>
          <t>1</t>
        </is>
      </c>
      <c r="K129" s="3" t="inlineStr">
        <is>
          <t>1</t>
        </is>
      </c>
      <c r="L129" s="3" t="inlineStr">
        <is>
          <t>1</t>
        </is>
      </c>
      <c r="M129" s="3" t="inlineStr">
        <is>
          <t>1</t>
        </is>
      </c>
      <c r="N129" s="3" t="inlineStr">
        <is>
          <t>1</t>
        </is>
      </c>
      <c r="O129" s="4">
        <f>IF(OR($B129="",D129=""),"",--(D129=$B129))</f>
        <v/>
      </c>
      <c r="P129" s="4">
        <f>IF(OR($B129="",D129=""),"",IF($B129=1,--(D129=1),""))</f>
        <v/>
      </c>
      <c r="Q129" s="4">
        <f>IF(OR($B129="",D129=""),"",IF($B129=0,--(D129=0),""))</f>
        <v/>
      </c>
      <c r="R129" s="4">
        <f>IF(D129="","",--(D129=1))</f>
        <v/>
      </c>
      <c r="S129" s="4">
        <f>IF(OR($B129="",E129=""),"",--(E129=$B129))</f>
        <v/>
      </c>
      <c r="T129" s="4">
        <f>IF(OR($B129="",E129=""),"",IF($B129=1,--(E129=1),""))</f>
        <v/>
      </c>
      <c r="U129" s="4">
        <f>IF(OR($B129="",E129=""),"",IF($B129=0,--(E129=0),""))</f>
        <v/>
      </c>
      <c r="V129" s="4">
        <f>IF(E129="","",--(E129=1))</f>
        <v/>
      </c>
      <c r="W129" s="4">
        <f>IF(OR($B129="",F129=""),"",--(F129=$B129))</f>
        <v/>
      </c>
      <c r="X129" s="4">
        <f>IF(OR($B129="",F129=""),"",IF($B129=1,--(F129=1),""))</f>
        <v/>
      </c>
      <c r="Y129" s="4">
        <f>IF(OR($B129="",F129=""),"",IF($B129=0,--(F129=0),""))</f>
        <v/>
      </c>
      <c r="Z129" s="4">
        <f>IF(F129="","",--(F129=1))</f>
        <v/>
      </c>
      <c r="AA129" s="4">
        <f>IF(OR($B129="",G129=""),"",--(G129=$B129))</f>
        <v/>
      </c>
      <c r="AB129" s="4">
        <f>IF(OR($B129="",G129=""),"",IF($B129=1,--(G129=1),""))</f>
        <v/>
      </c>
      <c r="AC129" s="4">
        <f>IF(OR($B129="",G129=""),"",IF($B129=0,--(G129=0),""))</f>
        <v/>
      </c>
      <c r="AD129" s="4">
        <f>IF(G129="","",--(G129=1))</f>
        <v/>
      </c>
      <c r="AE129" s="4">
        <f>IF(OR($B129="",H129=""),"",--(H129=$B129))</f>
        <v/>
      </c>
      <c r="AF129" s="4">
        <f>IF(OR($B129="",H129=""),"",IF($B129=1,--(H129=1),""))</f>
        <v/>
      </c>
      <c r="AG129" s="4">
        <f>IF(OR($B129="",H129=""),"",IF($B129=0,--(H129=0),""))</f>
        <v/>
      </c>
      <c r="AH129" s="4">
        <f>IF(H129="","",--(H129=1))</f>
        <v/>
      </c>
      <c r="AI129" s="4">
        <f>IF(OR($B129="",I129=""),"",--(I129=$B129))</f>
        <v/>
      </c>
      <c r="AJ129" s="4">
        <f>IF(OR($B129="",I129=""),"",IF($B129=1,--(I129=1),""))</f>
        <v/>
      </c>
      <c r="AK129" s="4">
        <f>IF(OR($B129="",I129=""),"",IF($B129=0,--(I129=0),""))</f>
        <v/>
      </c>
      <c r="AL129" s="4">
        <f>IF(I129="","",--(I129=1))</f>
        <v/>
      </c>
      <c r="AM129" s="4">
        <f>IF(OR($B129="",J129=""),"",--(J129=$B129))</f>
        <v/>
      </c>
      <c r="AN129" s="4">
        <f>IF(OR($B129="",J129=""),"",IF($B129=1,--(J129=1),""))</f>
        <v/>
      </c>
      <c r="AO129" s="4">
        <f>IF(OR($B129="",J129=""),"",IF($B129=0,--(J129=0),""))</f>
        <v/>
      </c>
      <c r="AP129" s="4">
        <f>IF(J129="","",--(J129=1))</f>
        <v/>
      </c>
      <c r="AQ129" s="4">
        <f>IF(OR($B129="",K129=""),"",--(K129=$B129))</f>
        <v/>
      </c>
      <c r="AR129" s="4">
        <f>IF(OR($B129="",K129=""),"",IF($B129=1,--(K129=1),""))</f>
        <v/>
      </c>
      <c r="AS129" s="4">
        <f>IF(OR($B129="",K129=""),"",IF($B129=0,--(K129=0),""))</f>
        <v/>
      </c>
      <c r="AT129" s="4">
        <f>IF(K129="","",--(K129=1))</f>
        <v/>
      </c>
      <c r="AU129" s="4">
        <f>IF(OR($B129="",L129=""),"",--(L129=$B129))</f>
        <v/>
      </c>
      <c r="AV129" s="4">
        <f>IF(OR($B129="",L129=""),"",IF($B129=1,--(L129=1),""))</f>
        <v/>
      </c>
      <c r="AW129" s="4">
        <f>IF(OR($B129="",L129=""),"",IF($B129=0,--(L129=0),""))</f>
        <v/>
      </c>
      <c r="AX129" s="4">
        <f>IF(L129="","",--(L129=1))</f>
        <v/>
      </c>
      <c r="AY129" s="4">
        <f>IF(OR($B129="",M129=""),"",--(M129=$B129))</f>
        <v/>
      </c>
      <c r="AZ129" s="4">
        <f>IF(OR($B129="",M129=""),"",IF($B129=1,--(M129=1),""))</f>
        <v/>
      </c>
      <c r="BA129" s="4">
        <f>IF(OR($B129="",M129=""),"",IF($B129=0,--(M129=0),""))</f>
        <v/>
      </c>
      <c r="BB129" s="4">
        <f>IF(M129="","",--(M129=1))</f>
        <v/>
      </c>
      <c r="BC129" s="4">
        <f>IF(OR($B129="",N129=""),"",--(N129=$B129))</f>
        <v/>
      </c>
      <c r="BD129" s="4">
        <f>IF(OR($B129="",N129=""),"",IF($B129=1,--(N129=1),""))</f>
        <v/>
      </c>
      <c r="BE129" s="4">
        <f>IF(OR($B129="",N129=""),"",IF($B129=0,--(N129=0),""))</f>
        <v/>
      </c>
      <c r="BF129" s="4">
        <f>IF(N129="","",--(N129=1))</f>
        <v/>
      </c>
    </row>
    <row r="130">
      <c r="A130" s="3" t="inlineStr">
        <is>
          <t>20203061</t>
        </is>
      </c>
      <c r="B130" s="3" t="inlineStr">
        <is>
          <t>0</t>
        </is>
      </c>
      <c r="C130" s="3" t="inlineStr">
        <is>
          <t>Direct</t>
        </is>
      </c>
      <c r="D130" s="3" t="inlineStr">
        <is>
          <t>0</t>
        </is>
      </c>
      <c r="E130" s="3" t="inlineStr">
        <is>
          <t>0</t>
        </is>
      </c>
      <c r="F130" s="3" t="inlineStr">
        <is>
          <t>0</t>
        </is>
      </c>
      <c r="G130" s="3" t="inlineStr">
        <is>
          <t>0</t>
        </is>
      </c>
      <c r="H130" s="3" t="inlineStr">
        <is>
          <t>0</t>
        </is>
      </c>
      <c r="I130" s="3" t="inlineStr">
        <is>
          <t>0</t>
        </is>
      </c>
      <c r="J130" s="3" t="inlineStr">
        <is>
          <t>0</t>
        </is>
      </c>
      <c r="K130" s="3" t="inlineStr">
        <is>
          <t>0</t>
        </is>
      </c>
      <c r="L130" s="3" t="inlineStr">
        <is>
          <t>1</t>
        </is>
      </c>
      <c r="M130" s="3" t="inlineStr">
        <is>
          <t>0</t>
        </is>
      </c>
      <c r="N130" s="3" t="inlineStr">
        <is>
          <t>1</t>
        </is>
      </c>
      <c r="O130" s="4">
        <f>IF(OR($B130="",D130=""),"",--(D130=$B130))</f>
        <v/>
      </c>
      <c r="P130" s="4">
        <f>IF(OR($B130="",D130=""),"",IF($B130=1,--(D130=1),""))</f>
        <v/>
      </c>
      <c r="Q130" s="4">
        <f>IF(OR($B130="",D130=""),"",IF($B130=0,--(D130=0),""))</f>
        <v/>
      </c>
      <c r="R130" s="4">
        <f>IF(D130="","",--(D130=1))</f>
        <v/>
      </c>
      <c r="S130" s="4">
        <f>IF(OR($B130="",E130=""),"",--(E130=$B130))</f>
        <v/>
      </c>
      <c r="T130" s="4">
        <f>IF(OR($B130="",E130=""),"",IF($B130=1,--(E130=1),""))</f>
        <v/>
      </c>
      <c r="U130" s="4">
        <f>IF(OR($B130="",E130=""),"",IF($B130=0,--(E130=0),""))</f>
        <v/>
      </c>
      <c r="V130" s="4">
        <f>IF(E130="","",--(E130=1))</f>
        <v/>
      </c>
      <c r="W130" s="4">
        <f>IF(OR($B130="",F130=""),"",--(F130=$B130))</f>
        <v/>
      </c>
      <c r="X130" s="4">
        <f>IF(OR($B130="",F130=""),"",IF($B130=1,--(F130=1),""))</f>
        <v/>
      </c>
      <c r="Y130" s="4">
        <f>IF(OR($B130="",F130=""),"",IF($B130=0,--(F130=0),""))</f>
        <v/>
      </c>
      <c r="Z130" s="4">
        <f>IF(F130="","",--(F130=1))</f>
        <v/>
      </c>
      <c r="AA130" s="4">
        <f>IF(OR($B130="",G130=""),"",--(G130=$B130))</f>
        <v/>
      </c>
      <c r="AB130" s="4">
        <f>IF(OR($B130="",G130=""),"",IF($B130=1,--(G130=1),""))</f>
        <v/>
      </c>
      <c r="AC130" s="4">
        <f>IF(OR($B130="",G130=""),"",IF($B130=0,--(G130=0),""))</f>
        <v/>
      </c>
      <c r="AD130" s="4">
        <f>IF(G130="","",--(G130=1))</f>
        <v/>
      </c>
      <c r="AE130" s="4">
        <f>IF(OR($B130="",H130=""),"",--(H130=$B130))</f>
        <v/>
      </c>
      <c r="AF130" s="4">
        <f>IF(OR($B130="",H130=""),"",IF($B130=1,--(H130=1),""))</f>
        <v/>
      </c>
      <c r="AG130" s="4">
        <f>IF(OR($B130="",H130=""),"",IF($B130=0,--(H130=0),""))</f>
        <v/>
      </c>
      <c r="AH130" s="4">
        <f>IF(H130="","",--(H130=1))</f>
        <v/>
      </c>
      <c r="AI130" s="4">
        <f>IF(OR($B130="",I130=""),"",--(I130=$B130))</f>
        <v/>
      </c>
      <c r="AJ130" s="4">
        <f>IF(OR($B130="",I130=""),"",IF($B130=1,--(I130=1),""))</f>
        <v/>
      </c>
      <c r="AK130" s="4">
        <f>IF(OR($B130="",I130=""),"",IF($B130=0,--(I130=0),""))</f>
        <v/>
      </c>
      <c r="AL130" s="4">
        <f>IF(I130="","",--(I130=1))</f>
        <v/>
      </c>
      <c r="AM130" s="4">
        <f>IF(OR($B130="",J130=""),"",--(J130=$B130))</f>
        <v/>
      </c>
      <c r="AN130" s="4">
        <f>IF(OR($B130="",J130=""),"",IF($B130=1,--(J130=1),""))</f>
        <v/>
      </c>
      <c r="AO130" s="4">
        <f>IF(OR($B130="",J130=""),"",IF($B130=0,--(J130=0),""))</f>
        <v/>
      </c>
      <c r="AP130" s="4">
        <f>IF(J130="","",--(J130=1))</f>
        <v/>
      </c>
      <c r="AQ130" s="4">
        <f>IF(OR($B130="",K130=""),"",--(K130=$B130))</f>
        <v/>
      </c>
      <c r="AR130" s="4">
        <f>IF(OR($B130="",K130=""),"",IF($B130=1,--(K130=1),""))</f>
        <v/>
      </c>
      <c r="AS130" s="4">
        <f>IF(OR($B130="",K130=""),"",IF($B130=0,--(K130=0),""))</f>
        <v/>
      </c>
      <c r="AT130" s="4">
        <f>IF(K130="","",--(K130=1))</f>
        <v/>
      </c>
      <c r="AU130" s="4">
        <f>IF(OR($B130="",L130=""),"",--(L130=$B130))</f>
        <v/>
      </c>
      <c r="AV130" s="4">
        <f>IF(OR($B130="",L130=""),"",IF($B130=1,--(L130=1),""))</f>
        <v/>
      </c>
      <c r="AW130" s="4">
        <f>IF(OR($B130="",L130=""),"",IF($B130=0,--(L130=0),""))</f>
        <v/>
      </c>
      <c r="AX130" s="4">
        <f>IF(L130="","",--(L130=1))</f>
        <v/>
      </c>
      <c r="AY130" s="4">
        <f>IF(OR($B130="",M130=""),"",--(M130=$B130))</f>
        <v/>
      </c>
      <c r="AZ130" s="4">
        <f>IF(OR($B130="",M130=""),"",IF($B130=1,--(M130=1),""))</f>
        <v/>
      </c>
      <c r="BA130" s="4">
        <f>IF(OR($B130="",M130=""),"",IF($B130=0,--(M130=0),""))</f>
        <v/>
      </c>
      <c r="BB130" s="4">
        <f>IF(M130="","",--(M130=1))</f>
        <v/>
      </c>
      <c r="BC130" s="4">
        <f>IF(OR($B130="",N130=""),"",--(N130=$B130))</f>
        <v/>
      </c>
      <c r="BD130" s="4">
        <f>IF(OR($B130="",N130=""),"",IF($B130=1,--(N130=1),""))</f>
        <v/>
      </c>
      <c r="BE130" s="4">
        <f>IF(OR($B130="",N130=""),"",IF($B130=0,--(N130=0),""))</f>
        <v/>
      </c>
      <c r="BF130" s="4">
        <f>IF(N130="","",--(N130=1))</f>
        <v/>
      </c>
    </row>
    <row r="131">
      <c r="A131" s="3" t="inlineStr">
        <is>
          <t>20203067</t>
        </is>
      </c>
      <c r="B131" s="3" t="inlineStr">
        <is>
          <t>0</t>
        </is>
      </c>
      <c r="C131" s="3" t="inlineStr">
        <is>
          <t>Direct</t>
        </is>
      </c>
      <c r="D131" s="3" t="inlineStr">
        <is>
          <t>1</t>
        </is>
      </c>
      <c r="E131" s="3" t="inlineStr">
        <is>
          <t>1</t>
        </is>
      </c>
      <c r="F131" s="3" t="inlineStr">
        <is>
          <t>1</t>
        </is>
      </c>
      <c r="G131" s="3" t="inlineStr">
        <is>
          <t>1</t>
        </is>
      </c>
      <c r="H131" s="3" t="inlineStr">
        <is>
          <t>1</t>
        </is>
      </c>
      <c r="I131" s="3" t="inlineStr">
        <is>
          <t>1</t>
        </is>
      </c>
      <c r="J131" s="3" t="inlineStr">
        <is>
          <t>0</t>
        </is>
      </c>
      <c r="K131" s="3" t="inlineStr">
        <is>
          <t>1</t>
        </is>
      </c>
      <c r="L131" s="3" t="inlineStr">
        <is>
          <t>1</t>
        </is>
      </c>
      <c r="M131" s="3" t="inlineStr">
        <is>
          <t>1</t>
        </is>
      </c>
      <c r="N131" s="3" t="inlineStr">
        <is>
          <t>1</t>
        </is>
      </c>
      <c r="O131" s="4">
        <f>IF(OR($B131="",D131=""),"",--(D131=$B131))</f>
        <v/>
      </c>
      <c r="P131" s="4">
        <f>IF(OR($B131="",D131=""),"",IF($B131=1,--(D131=1),""))</f>
        <v/>
      </c>
      <c r="Q131" s="4">
        <f>IF(OR($B131="",D131=""),"",IF($B131=0,--(D131=0),""))</f>
        <v/>
      </c>
      <c r="R131" s="4">
        <f>IF(D131="","",--(D131=1))</f>
        <v/>
      </c>
      <c r="S131" s="4">
        <f>IF(OR($B131="",E131=""),"",--(E131=$B131))</f>
        <v/>
      </c>
      <c r="T131" s="4">
        <f>IF(OR($B131="",E131=""),"",IF($B131=1,--(E131=1),""))</f>
        <v/>
      </c>
      <c r="U131" s="4">
        <f>IF(OR($B131="",E131=""),"",IF($B131=0,--(E131=0),""))</f>
        <v/>
      </c>
      <c r="V131" s="4">
        <f>IF(E131="","",--(E131=1))</f>
        <v/>
      </c>
      <c r="W131" s="4">
        <f>IF(OR($B131="",F131=""),"",--(F131=$B131))</f>
        <v/>
      </c>
      <c r="X131" s="4">
        <f>IF(OR($B131="",F131=""),"",IF($B131=1,--(F131=1),""))</f>
        <v/>
      </c>
      <c r="Y131" s="4">
        <f>IF(OR($B131="",F131=""),"",IF($B131=0,--(F131=0),""))</f>
        <v/>
      </c>
      <c r="Z131" s="4">
        <f>IF(F131="","",--(F131=1))</f>
        <v/>
      </c>
      <c r="AA131" s="4">
        <f>IF(OR($B131="",G131=""),"",--(G131=$B131))</f>
        <v/>
      </c>
      <c r="AB131" s="4">
        <f>IF(OR($B131="",G131=""),"",IF($B131=1,--(G131=1),""))</f>
        <v/>
      </c>
      <c r="AC131" s="4">
        <f>IF(OR($B131="",G131=""),"",IF($B131=0,--(G131=0),""))</f>
        <v/>
      </c>
      <c r="AD131" s="4">
        <f>IF(G131="","",--(G131=1))</f>
        <v/>
      </c>
      <c r="AE131" s="4">
        <f>IF(OR($B131="",H131=""),"",--(H131=$B131))</f>
        <v/>
      </c>
      <c r="AF131" s="4">
        <f>IF(OR($B131="",H131=""),"",IF($B131=1,--(H131=1),""))</f>
        <v/>
      </c>
      <c r="AG131" s="4">
        <f>IF(OR($B131="",H131=""),"",IF($B131=0,--(H131=0),""))</f>
        <v/>
      </c>
      <c r="AH131" s="4">
        <f>IF(H131="","",--(H131=1))</f>
        <v/>
      </c>
      <c r="AI131" s="4">
        <f>IF(OR($B131="",I131=""),"",--(I131=$B131))</f>
        <v/>
      </c>
      <c r="AJ131" s="4">
        <f>IF(OR($B131="",I131=""),"",IF($B131=1,--(I131=1),""))</f>
        <v/>
      </c>
      <c r="AK131" s="4">
        <f>IF(OR($B131="",I131=""),"",IF($B131=0,--(I131=0),""))</f>
        <v/>
      </c>
      <c r="AL131" s="4">
        <f>IF(I131="","",--(I131=1))</f>
        <v/>
      </c>
      <c r="AM131" s="4">
        <f>IF(OR($B131="",J131=""),"",--(J131=$B131))</f>
        <v/>
      </c>
      <c r="AN131" s="4">
        <f>IF(OR($B131="",J131=""),"",IF($B131=1,--(J131=1),""))</f>
        <v/>
      </c>
      <c r="AO131" s="4">
        <f>IF(OR($B131="",J131=""),"",IF($B131=0,--(J131=0),""))</f>
        <v/>
      </c>
      <c r="AP131" s="4">
        <f>IF(J131="","",--(J131=1))</f>
        <v/>
      </c>
      <c r="AQ131" s="4">
        <f>IF(OR($B131="",K131=""),"",--(K131=$B131))</f>
        <v/>
      </c>
      <c r="AR131" s="4">
        <f>IF(OR($B131="",K131=""),"",IF($B131=1,--(K131=1),""))</f>
        <v/>
      </c>
      <c r="AS131" s="4">
        <f>IF(OR($B131="",K131=""),"",IF($B131=0,--(K131=0),""))</f>
        <v/>
      </c>
      <c r="AT131" s="4">
        <f>IF(K131="","",--(K131=1))</f>
        <v/>
      </c>
      <c r="AU131" s="4">
        <f>IF(OR($B131="",L131=""),"",--(L131=$B131))</f>
        <v/>
      </c>
      <c r="AV131" s="4">
        <f>IF(OR($B131="",L131=""),"",IF($B131=1,--(L131=1),""))</f>
        <v/>
      </c>
      <c r="AW131" s="4">
        <f>IF(OR($B131="",L131=""),"",IF($B131=0,--(L131=0),""))</f>
        <v/>
      </c>
      <c r="AX131" s="4">
        <f>IF(L131="","",--(L131=1))</f>
        <v/>
      </c>
      <c r="AY131" s="4">
        <f>IF(OR($B131="",M131=""),"",--(M131=$B131))</f>
        <v/>
      </c>
      <c r="AZ131" s="4">
        <f>IF(OR($B131="",M131=""),"",IF($B131=1,--(M131=1),""))</f>
        <v/>
      </c>
      <c r="BA131" s="4">
        <f>IF(OR($B131="",M131=""),"",IF($B131=0,--(M131=0),""))</f>
        <v/>
      </c>
      <c r="BB131" s="4">
        <f>IF(M131="","",--(M131=1))</f>
        <v/>
      </c>
      <c r="BC131" s="4">
        <f>IF(OR($B131="",N131=""),"",--(N131=$B131))</f>
        <v/>
      </c>
      <c r="BD131" s="4">
        <f>IF(OR($B131="",N131=""),"",IF($B131=1,--(N131=1),""))</f>
        <v/>
      </c>
      <c r="BE131" s="4">
        <f>IF(OR($B131="",N131=""),"",IF($B131=0,--(N131=0),""))</f>
        <v/>
      </c>
      <c r="BF131" s="4">
        <f>IF(N131="","",--(N131=1))</f>
        <v/>
      </c>
    </row>
    <row r="132">
      <c r="A132" s="3" t="inlineStr">
        <is>
          <t>202030707</t>
        </is>
      </c>
      <c r="B132" s="3" t="inlineStr">
        <is>
          <t>0</t>
        </is>
      </c>
      <c r="C132" s="3" t="inlineStr">
        <is>
          <t>RQ</t>
        </is>
      </c>
      <c r="D132" s="3" t="inlineStr">
        <is>
          <t>0</t>
        </is>
      </c>
      <c r="E132" s="3" t="inlineStr">
        <is>
          <t>1</t>
        </is>
      </c>
      <c r="F132" s="3" t="inlineStr">
        <is>
          <t>0</t>
        </is>
      </c>
      <c r="G132" s="3" t="inlineStr">
        <is>
          <t>0</t>
        </is>
      </c>
      <c r="H132" s="3" t="inlineStr">
        <is>
          <t>0</t>
        </is>
      </c>
      <c r="I132" s="3" t="inlineStr">
        <is>
          <t>1</t>
        </is>
      </c>
      <c r="J132" s="3" t="inlineStr">
        <is>
          <t>1</t>
        </is>
      </c>
      <c r="K132" s="3" t="inlineStr">
        <is>
          <t>1</t>
        </is>
      </c>
      <c r="L132" s="3" t="inlineStr">
        <is>
          <t>1</t>
        </is>
      </c>
      <c r="M132" s="3" t="inlineStr">
        <is>
          <t>1</t>
        </is>
      </c>
      <c r="N132" s="3" t="inlineStr">
        <is>
          <t>1</t>
        </is>
      </c>
      <c r="O132" s="4">
        <f>IF(OR($B132="",D132=""),"",--(D132=$B132))</f>
        <v/>
      </c>
      <c r="P132" s="4">
        <f>IF(OR($B132="",D132=""),"",IF($B132=1,--(D132=1),""))</f>
        <v/>
      </c>
      <c r="Q132" s="4">
        <f>IF(OR($B132="",D132=""),"",IF($B132=0,--(D132=0),""))</f>
        <v/>
      </c>
      <c r="R132" s="4">
        <f>IF(D132="","",--(D132=1))</f>
        <v/>
      </c>
      <c r="S132" s="4">
        <f>IF(OR($B132="",E132=""),"",--(E132=$B132))</f>
        <v/>
      </c>
      <c r="T132" s="4">
        <f>IF(OR($B132="",E132=""),"",IF($B132=1,--(E132=1),""))</f>
        <v/>
      </c>
      <c r="U132" s="4">
        <f>IF(OR($B132="",E132=""),"",IF($B132=0,--(E132=0),""))</f>
        <v/>
      </c>
      <c r="V132" s="4">
        <f>IF(E132="","",--(E132=1))</f>
        <v/>
      </c>
      <c r="W132" s="4">
        <f>IF(OR($B132="",F132=""),"",--(F132=$B132))</f>
        <v/>
      </c>
      <c r="X132" s="4">
        <f>IF(OR($B132="",F132=""),"",IF($B132=1,--(F132=1),""))</f>
        <v/>
      </c>
      <c r="Y132" s="4">
        <f>IF(OR($B132="",F132=""),"",IF($B132=0,--(F132=0),""))</f>
        <v/>
      </c>
      <c r="Z132" s="4">
        <f>IF(F132="","",--(F132=1))</f>
        <v/>
      </c>
      <c r="AA132" s="4">
        <f>IF(OR($B132="",G132=""),"",--(G132=$B132))</f>
        <v/>
      </c>
      <c r="AB132" s="4">
        <f>IF(OR($B132="",G132=""),"",IF($B132=1,--(G132=1),""))</f>
        <v/>
      </c>
      <c r="AC132" s="4">
        <f>IF(OR($B132="",G132=""),"",IF($B132=0,--(G132=0),""))</f>
        <v/>
      </c>
      <c r="AD132" s="4">
        <f>IF(G132="","",--(G132=1))</f>
        <v/>
      </c>
      <c r="AE132" s="4">
        <f>IF(OR($B132="",H132=""),"",--(H132=$B132))</f>
        <v/>
      </c>
      <c r="AF132" s="4">
        <f>IF(OR($B132="",H132=""),"",IF($B132=1,--(H132=1),""))</f>
        <v/>
      </c>
      <c r="AG132" s="4">
        <f>IF(OR($B132="",H132=""),"",IF($B132=0,--(H132=0),""))</f>
        <v/>
      </c>
      <c r="AH132" s="4">
        <f>IF(H132="","",--(H132=1))</f>
        <v/>
      </c>
      <c r="AI132" s="4">
        <f>IF(OR($B132="",I132=""),"",--(I132=$B132))</f>
        <v/>
      </c>
      <c r="AJ132" s="4">
        <f>IF(OR($B132="",I132=""),"",IF($B132=1,--(I132=1),""))</f>
        <v/>
      </c>
      <c r="AK132" s="4">
        <f>IF(OR($B132="",I132=""),"",IF($B132=0,--(I132=0),""))</f>
        <v/>
      </c>
      <c r="AL132" s="4">
        <f>IF(I132="","",--(I132=1))</f>
        <v/>
      </c>
      <c r="AM132" s="4">
        <f>IF(OR($B132="",J132=""),"",--(J132=$B132))</f>
        <v/>
      </c>
      <c r="AN132" s="4">
        <f>IF(OR($B132="",J132=""),"",IF($B132=1,--(J132=1),""))</f>
        <v/>
      </c>
      <c r="AO132" s="4">
        <f>IF(OR($B132="",J132=""),"",IF($B132=0,--(J132=0),""))</f>
        <v/>
      </c>
      <c r="AP132" s="4">
        <f>IF(J132="","",--(J132=1))</f>
        <v/>
      </c>
      <c r="AQ132" s="4">
        <f>IF(OR($B132="",K132=""),"",--(K132=$B132))</f>
        <v/>
      </c>
      <c r="AR132" s="4">
        <f>IF(OR($B132="",K132=""),"",IF($B132=1,--(K132=1),""))</f>
        <v/>
      </c>
      <c r="AS132" s="4">
        <f>IF(OR($B132="",K132=""),"",IF($B132=0,--(K132=0),""))</f>
        <v/>
      </c>
      <c r="AT132" s="4">
        <f>IF(K132="","",--(K132=1))</f>
        <v/>
      </c>
      <c r="AU132" s="4">
        <f>IF(OR($B132="",L132=""),"",--(L132=$B132))</f>
        <v/>
      </c>
      <c r="AV132" s="4">
        <f>IF(OR($B132="",L132=""),"",IF($B132=1,--(L132=1),""))</f>
        <v/>
      </c>
      <c r="AW132" s="4">
        <f>IF(OR($B132="",L132=""),"",IF($B132=0,--(L132=0),""))</f>
        <v/>
      </c>
      <c r="AX132" s="4">
        <f>IF(L132="","",--(L132=1))</f>
        <v/>
      </c>
      <c r="AY132" s="4">
        <f>IF(OR($B132="",M132=""),"",--(M132=$B132))</f>
        <v/>
      </c>
      <c r="AZ132" s="4">
        <f>IF(OR($B132="",M132=""),"",IF($B132=1,--(M132=1),""))</f>
        <v/>
      </c>
      <c r="BA132" s="4">
        <f>IF(OR($B132="",M132=""),"",IF($B132=0,--(M132=0),""))</f>
        <v/>
      </c>
      <c r="BB132" s="4">
        <f>IF(M132="","",--(M132=1))</f>
        <v/>
      </c>
      <c r="BC132" s="4">
        <f>IF(OR($B132="",N132=""),"",--(N132=$B132))</f>
        <v/>
      </c>
      <c r="BD132" s="4">
        <f>IF(OR($B132="",N132=""),"",IF($B132=1,--(N132=1),""))</f>
        <v/>
      </c>
      <c r="BE132" s="4">
        <f>IF(OR($B132="",N132=""),"",IF($B132=0,--(N132=0),""))</f>
        <v/>
      </c>
      <c r="BF132" s="4">
        <f>IF(N132="","",--(N132=1))</f>
        <v/>
      </c>
    </row>
    <row r="133">
      <c r="A133" s="3" t="inlineStr">
        <is>
          <t>202030778</t>
        </is>
      </c>
      <c r="B133" s="3" t="inlineStr">
        <is>
          <t>0</t>
        </is>
      </c>
      <c r="C133" s="3" t="inlineStr">
        <is>
          <t>RQ</t>
        </is>
      </c>
      <c r="D133" s="3" t="inlineStr">
        <is>
          <t>1</t>
        </is>
      </c>
      <c r="E133" s="3" t="inlineStr">
        <is>
          <t>1</t>
        </is>
      </c>
      <c r="F133" s="3" t="inlineStr">
        <is>
          <t>0</t>
        </is>
      </c>
      <c r="G133" s="3" t="inlineStr">
        <is>
          <t>0</t>
        </is>
      </c>
      <c r="H133" s="3" t="inlineStr">
        <is>
          <t>1</t>
        </is>
      </c>
      <c r="I133" s="3" t="inlineStr">
        <is>
          <t>1</t>
        </is>
      </c>
      <c r="J133" s="3" t="inlineStr">
        <is>
          <t>1</t>
        </is>
      </c>
      <c r="K133" s="3" t="inlineStr">
        <is>
          <t>1</t>
        </is>
      </c>
      <c r="L133" s="3" t="inlineStr">
        <is>
          <t>1</t>
        </is>
      </c>
      <c r="M133" s="3" t="inlineStr">
        <is>
          <t>1</t>
        </is>
      </c>
      <c r="N133" s="3" t="inlineStr">
        <is>
          <t>1</t>
        </is>
      </c>
      <c r="O133" s="4">
        <f>IF(OR($B133="",D133=""),"",--(D133=$B133))</f>
        <v/>
      </c>
      <c r="P133" s="4">
        <f>IF(OR($B133="",D133=""),"",IF($B133=1,--(D133=1),""))</f>
        <v/>
      </c>
      <c r="Q133" s="4">
        <f>IF(OR($B133="",D133=""),"",IF($B133=0,--(D133=0),""))</f>
        <v/>
      </c>
      <c r="R133" s="4">
        <f>IF(D133="","",--(D133=1))</f>
        <v/>
      </c>
      <c r="S133" s="4">
        <f>IF(OR($B133="",E133=""),"",--(E133=$B133))</f>
        <v/>
      </c>
      <c r="T133" s="4">
        <f>IF(OR($B133="",E133=""),"",IF($B133=1,--(E133=1),""))</f>
        <v/>
      </c>
      <c r="U133" s="4">
        <f>IF(OR($B133="",E133=""),"",IF($B133=0,--(E133=0),""))</f>
        <v/>
      </c>
      <c r="V133" s="4">
        <f>IF(E133="","",--(E133=1))</f>
        <v/>
      </c>
      <c r="W133" s="4">
        <f>IF(OR($B133="",F133=""),"",--(F133=$B133))</f>
        <v/>
      </c>
      <c r="X133" s="4">
        <f>IF(OR($B133="",F133=""),"",IF($B133=1,--(F133=1),""))</f>
        <v/>
      </c>
      <c r="Y133" s="4">
        <f>IF(OR($B133="",F133=""),"",IF($B133=0,--(F133=0),""))</f>
        <v/>
      </c>
      <c r="Z133" s="4">
        <f>IF(F133="","",--(F133=1))</f>
        <v/>
      </c>
      <c r="AA133" s="4">
        <f>IF(OR($B133="",G133=""),"",--(G133=$B133))</f>
        <v/>
      </c>
      <c r="AB133" s="4">
        <f>IF(OR($B133="",G133=""),"",IF($B133=1,--(G133=1),""))</f>
        <v/>
      </c>
      <c r="AC133" s="4">
        <f>IF(OR($B133="",G133=""),"",IF($B133=0,--(G133=0),""))</f>
        <v/>
      </c>
      <c r="AD133" s="4">
        <f>IF(G133="","",--(G133=1))</f>
        <v/>
      </c>
      <c r="AE133" s="4">
        <f>IF(OR($B133="",H133=""),"",--(H133=$B133))</f>
        <v/>
      </c>
      <c r="AF133" s="4">
        <f>IF(OR($B133="",H133=""),"",IF($B133=1,--(H133=1),""))</f>
        <v/>
      </c>
      <c r="AG133" s="4">
        <f>IF(OR($B133="",H133=""),"",IF($B133=0,--(H133=0),""))</f>
        <v/>
      </c>
      <c r="AH133" s="4">
        <f>IF(H133="","",--(H133=1))</f>
        <v/>
      </c>
      <c r="AI133" s="4">
        <f>IF(OR($B133="",I133=""),"",--(I133=$B133))</f>
        <v/>
      </c>
      <c r="AJ133" s="4">
        <f>IF(OR($B133="",I133=""),"",IF($B133=1,--(I133=1),""))</f>
        <v/>
      </c>
      <c r="AK133" s="4">
        <f>IF(OR($B133="",I133=""),"",IF($B133=0,--(I133=0),""))</f>
        <v/>
      </c>
      <c r="AL133" s="4">
        <f>IF(I133="","",--(I133=1))</f>
        <v/>
      </c>
      <c r="AM133" s="4">
        <f>IF(OR($B133="",J133=""),"",--(J133=$B133))</f>
        <v/>
      </c>
      <c r="AN133" s="4">
        <f>IF(OR($B133="",J133=""),"",IF($B133=1,--(J133=1),""))</f>
        <v/>
      </c>
      <c r="AO133" s="4">
        <f>IF(OR($B133="",J133=""),"",IF($B133=0,--(J133=0),""))</f>
        <v/>
      </c>
      <c r="AP133" s="4">
        <f>IF(J133="","",--(J133=1))</f>
        <v/>
      </c>
      <c r="AQ133" s="4">
        <f>IF(OR($B133="",K133=""),"",--(K133=$B133))</f>
        <v/>
      </c>
      <c r="AR133" s="4">
        <f>IF(OR($B133="",K133=""),"",IF($B133=1,--(K133=1),""))</f>
        <v/>
      </c>
      <c r="AS133" s="4">
        <f>IF(OR($B133="",K133=""),"",IF($B133=0,--(K133=0),""))</f>
        <v/>
      </c>
      <c r="AT133" s="4">
        <f>IF(K133="","",--(K133=1))</f>
        <v/>
      </c>
      <c r="AU133" s="4">
        <f>IF(OR($B133="",L133=""),"",--(L133=$B133))</f>
        <v/>
      </c>
      <c r="AV133" s="4">
        <f>IF(OR($B133="",L133=""),"",IF($B133=1,--(L133=1),""))</f>
        <v/>
      </c>
      <c r="AW133" s="4">
        <f>IF(OR($B133="",L133=""),"",IF($B133=0,--(L133=0),""))</f>
        <v/>
      </c>
      <c r="AX133" s="4">
        <f>IF(L133="","",--(L133=1))</f>
        <v/>
      </c>
      <c r="AY133" s="4">
        <f>IF(OR($B133="",M133=""),"",--(M133=$B133))</f>
        <v/>
      </c>
      <c r="AZ133" s="4">
        <f>IF(OR($B133="",M133=""),"",IF($B133=1,--(M133=1),""))</f>
        <v/>
      </c>
      <c r="BA133" s="4">
        <f>IF(OR($B133="",M133=""),"",IF($B133=0,--(M133=0),""))</f>
        <v/>
      </c>
      <c r="BB133" s="4">
        <f>IF(M133="","",--(M133=1))</f>
        <v/>
      </c>
      <c r="BC133" s="4">
        <f>IF(OR($B133="",N133=""),"",--(N133=$B133))</f>
        <v/>
      </c>
      <c r="BD133" s="4">
        <f>IF(OR($B133="",N133=""),"",IF($B133=1,--(N133=1),""))</f>
        <v/>
      </c>
      <c r="BE133" s="4">
        <f>IF(OR($B133="",N133=""),"",IF($B133=0,--(N133=0),""))</f>
        <v/>
      </c>
      <c r="BF133" s="4">
        <f>IF(N133="","",--(N133=1))</f>
        <v/>
      </c>
    </row>
    <row r="134">
      <c r="A134" s="3" t="inlineStr">
        <is>
          <t>202030986</t>
        </is>
      </c>
      <c r="B134" s="3" t="inlineStr">
        <is>
          <t>0</t>
        </is>
      </c>
      <c r="C134" s="3" t="inlineStr">
        <is>
          <t>Direct</t>
        </is>
      </c>
      <c r="D134" s="3" t="inlineStr">
        <is>
          <t>1</t>
        </is>
      </c>
      <c r="E134" s="3" t="inlineStr">
        <is>
          <t>0</t>
        </is>
      </c>
      <c r="F134" s="3" t="inlineStr">
        <is>
          <t>0</t>
        </is>
      </c>
      <c r="G134" s="3" t="inlineStr">
        <is>
          <t>1</t>
        </is>
      </c>
      <c r="H134" s="3" t="inlineStr">
        <is>
          <t>1</t>
        </is>
      </c>
      <c r="I134" s="3" t="inlineStr">
        <is>
          <t>0</t>
        </is>
      </c>
      <c r="J134" s="3" t="inlineStr">
        <is>
          <t>0</t>
        </is>
      </c>
      <c r="K134" s="3" t="inlineStr">
        <is>
          <t>0</t>
        </is>
      </c>
      <c r="L134" s="3" t="inlineStr">
        <is>
          <t>0</t>
        </is>
      </c>
      <c r="M134" s="3" t="inlineStr">
        <is>
          <t>1</t>
        </is>
      </c>
      <c r="N134" s="3" t="inlineStr">
        <is>
          <t>0</t>
        </is>
      </c>
      <c r="O134" s="4">
        <f>IF(OR($B134="",D134=""),"",--(D134=$B134))</f>
        <v/>
      </c>
      <c r="P134" s="4">
        <f>IF(OR($B134="",D134=""),"",IF($B134=1,--(D134=1),""))</f>
        <v/>
      </c>
      <c r="Q134" s="4">
        <f>IF(OR($B134="",D134=""),"",IF($B134=0,--(D134=0),""))</f>
        <v/>
      </c>
      <c r="R134" s="4">
        <f>IF(D134="","",--(D134=1))</f>
        <v/>
      </c>
      <c r="S134" s="4">
        <f>IF(OR($B134="",E134=""),"",--(E134=$B134))</f>
        <v/>
      </c>
      <c r="T134" s="4">
        <f>IF(OR($B134="",E134=""),"",IF($B134=1,--(E134=1),""))</f>
        <v/>
      </c>
      <c r="U134" s="4">
        <f>IF(OR($B134="",E134=""),"",IF($B134=0,--(E134=0),""))</f>
        <v/>
      </c>
      <c r="V134" s="4">
        <f>IF(E134="","",--(E134=1))</f>
        <v/>
      </c>
      <c r="W134" s="4">
        <f>IF(OR($B134="",F134=""),"",--(F134=$B134))</f>
        <v/>
      </c>
      <c r="X134" s="4">
        <f>IF(OR($B134="",F134=""),"",IF($B134=1,--(F134=1),""))</f>
        <v/>
      </c>
      <c r="Y134" s="4">
        <f>IF(OR($B134="",F134=""),"",IF($B134=0,--(F134=0),""))</f>
        <v/>
      </c>
      <c r="Z134" s="4">
        <f>IF(F134="","",--(F134=1))</f>
        <v/>
      </c>
      <c r="AA134" s="4">
        <f>IF(OR($B134="",G134=""),"",--(G134=$B134))</f>
        <v/>
      </c>
      <c r="AB134" s="4">
        <f>IF(OR($B134="",G134=""),"",IF($B134=1,--(G134=1),""))</f>
        <v/>
      </c>
      <c r="AC134" s="4">
        <f>IF(OR($B134="",G134=""),"",IF($B134=0,--(G134=0),""))</f>
        <v/>
      </c>
      <c r="AD134" s="4">
        <f>IF(G134="","",--(G134=1))</f>
        <v/>
      </c>
      <c r="AE134" s="4">
        <f>IF(OR($B134="",H134=""),"",--(H134=$B134))</f>
        <v/>
      </c>
      <c r="AF134" s="4">
        <f>IF(OR($B134="",H134=""),"",IF($B134=1,--(H134=1),""))</f>
        <v/>
      </c>
      <c r="AG134" s="4">
        <f>IF(OR($B134="",H134=""),"",IF($B134=0,--(H134=0),""))</f>
        <v/>
      </c>
      <c r="AH134" s="4">
        <f>IF(H134="","",--(H134=1))</f>
        <v/>
      </c>
      <c r="AI134" s="4">
        <f>IF(OR($B134="",I134=""),"",--(I134=$B134))</f>
        <v/>
      </c>
      <c r="AJ134" s="4">
        <f>IF(OR($B134="",I134=""),"",IF($B134=1,--(I134=1),""))</f>
        <v/>
      </c>
      <c r="AK134" s="4">
        <f>IF(OR($B134="",I134=""),"",IF($B134=0,--(I134=0),""))</f>
        <v/>
      </c>
      <c r="AL134" s="4">
        <f>IF(I134="","",--(I134=1))</f>
        <v/>
      </c>
      <c r="AM134" s="4">
        <f>IF(OR($B134="",J134=""),"",--(J134=$B134))</f>
        <v/>
      </c>
      <c r="AN134" s="4">
        <f>IF(OR($B134="",J134=""),"",IF($B134=1,--(J134=1),""))</f>
        <v/>
      </c>
      <c r="AO134" s="4">
        <f>IF(OR($B134="",J134=""),"",IF($B134=0,--(J134=0),""))</f>
        <v/>
      </c>
      <c r="AP134" s="4">
        <f>IF(J134="","",--(J134=1))</f>
        <v/>
      </c>
      <c r="AQ134" s="4">
        <f>IF(OR($B134="",K134=""),"",--(K134=$B134))</f>
        <v/>
      </c>
      <c r="AR134" s="4">
        <f>IF(OR($B134="",K134=""),"",IF($B134=1,--(K134=1),""))</f>
        <v/>
      </c>
      <c r="AS134" s="4">
        <f>IF(OR($B134="",K134=""),"",IF($B134=0,--(K134=0),""))</f>
        <v/>
      </c>
      <c r="AT134" s="4">
        <f>IF(K134="","",--(K134=1))</f>
        <v/>
      </c>
      <c r="AU134" s="4">
        <f>IF(OR($B134="",L134=""),"",--(L134=$B134))</f>
        <v/>
      </c>
      <c r="AV134" s="4">
        <f>IF(OR($B134="",L134=""),"",IF($B134=1,--(L134=1),""))</f>
        <v/>
      </c>
      <c r="AW134" s="4">
        <f>IF(OR($B134="",L134=""),"",IF($B134=0,--(L134=0),""))</f>
        <v/>
      </c>
      <c r="AX134" s="4">
        <f>IF(L134="","",--(L134=1))</f>
        <v/>
      </c>
      <c r="AY134" s="4">
        <f>IF(OR($B134="",M134=""),"",--(M134=$B134))</f>
        <v/>
      </c>
      <c r="AZ134" s="4">
        <f>IF(OR($B134="",M134=""),"",IF($B134=1,--(M134=1),""))</f>
        <v/>
      </c>
      <c r="BA134" s="4">
        <f>IF(OR($B134="",M134=""),"",IF($B134=0,--(M134=0),""))</f>
        <v/>
      </c>
      <c r="BB134" s="4">
        <f>IF(M134="","",--(M134=1))</f>
        <v/>
      </c>
      <c r="BC134" s="4">
        <f>IF(OR($B134="",N134=""),"",--(N134=$B134))</f>
        <v/>
      </c>
      <c r="BD134" s="4">
        <f>IF(OR($B134="",N134=""),"",IF($B134=1,--(N134=1),""))</f>
        <v/>
      </c>
      <c r="BE134" s="4">
        <f>IF(OR($B134="",N134=""),"",IF($B134=0,--(N134=0),""))</f>
        <v/>
      </c>
      <c r="BF134" s="4">
        <f>IF(N134="","",--(N134=1))</f>
        <v/>
      </c>
    </row>
    <row r="135">
      <c r="A135" s="3" t="inlineStr">
        <is>
          <t>202031030</t>
        </is>
      </c>
      <c r="B135" s="3" t="inlineStr">
        <is>
          <t>0</t>
        </is>
      </c>
      <c r="C135" s="3" t="inlineStr">
        <is>
          <t>Direct</t>
        </is>
      </c>
      <c r="D135" s="3" t="inlineStr">
        <is>
          <t>1</t>
        </is>
      </c>
      <c r="E135" s="3" t="inlineStr">
        <is>
          <t>1</t>
        </is>
      </c>
      <c r="F135" s="3" t="inlineStr">
        <is>
          <t>1</t>
        </is>
      </c>
      <c r="G135" s="3" t="inlineStr">
        <is>
          <t>1</t>
        </is>
      </c>
      <c r="H135" s="3" t="inlineStr">
        <is>
          <t>1</t>
        </is>
      </c>
      <c r="I135" s="3" t="inlineStr">
        <is>
          <t>1</t>
        </is>
      </c>
      <c r="J135" s="3" t="inlineStr">
        <is>
          <t>1</t>
        </is>
      </c>
      <c r="K135" s="3" t="inlineStr">
        <is>
          <t>1</t>
        </is>
      </c>
      <c r="L135" s="3" t="inlineStr">
        <is>
          <t>1</t>
        </is>
      </c>
      <c r="M135" s="3" t="inlineStr">
        <is>
          <t>1</t>
        </is>
      </c>
      <c r="N135" s="3" t="inlineStr">
        <is>
          <t>1</t>
        </is>
      </c>
      <c r="O135" s="4">
        <f>IF(OR($B135="",D135=""),"",--(D135=$B135))</f>
        <v/>
      </c>
      <c r="P135" s="4">
        <f>IF(OR($B135="",D135=""),"",IF($B135=1,--(D135=1),""))</f>
        <v/>
      </c>
      <c r="Q135" s="4">
        <f>IF(OR($B135="",D135=""),"",IF($B135=0,--(D135=0),""))</f>
        <v/>
      </c>
      <c r="R135" s="4">
        <f>IF(D135="","",--(D135=1))</f>
        <v/>
      </c>
      <c r="S135" s="4">
        <f>IF(OR($B135="",E135=""),"",--(E135=$B135))</f>
        <v/>
      </c>
      <c r="T135" s="4">
        <f>IF(OR($B135="",E135=""),"",IF($B135=1,--(E135=1),""))</f>
        <v/>
      </c>
      <c r="U135" s="4">
        <f>IF(OR($B135="",E135=""),"",IF($B135=0,--(E135=0),""))</f>
        <v/>
      </c>
      <c r="V135" s="4">
        <f>IF(E135="","",--(E135=1))</f>
        <v/>
      </c>
      <c r="W135" s="4">
        <f>IF(OR($B135="",F135=""),"",--(F135=$B135))</f>
        <v/>
      </c>
      <c r="X135" s="4">
        <f>IF(OR($B135="",F135=""),"",IF($B135=1,--(F135=1),""))</f>
        <v/>
      </c>
      <c r="Y135" s="4">
        <f>IF(OR($B135="",F135=""),"",IF($B135=0,--(F135=0),""))</f>
        <v/>
      </c>
      <c r="Z135" s="4">
        <f>IF(F135="","",--(F135=1))</f>
        <v/>
      </c>
      <c r="AA135" s="4">
        <f>IF(OR($B135="",G135=""),"",--(G135=$B135))</f>
        <v/>
      </c>
      <c r="AB135" s="4">
        <f>IF(OR($B135="",G135=""),"",IF($B135=1,--(G135=1),""))</f>
        <v/>
      </c>
      <c r="AC135" s="4">
        <f>IF(OR($B135="",G135=""),"",IF($B135=0,--(G135=0),""))</f>
        <v/>
      </c>
      <c r="AD135" s="4">
        <f>IF(G135="","",--(G135=1))</f>
        <v/>
      </c>
      <c r="AE135" s="4">
        <f>IF(OR($B135="",H135=""),"",--(H135=$B135))</f>
        <v/>
      </c>
      <c r="AF135" s="4">
        <f>IF(OR($B135="",H135=""),"",IF($B135=1,--(H135=1),""))</f>
        <v/>
      </c>
      <c r="AG135" s="4">
        <f>IF(OR($B135="",H135=""),"",IF($B135=0,--(H135=0),""))</f>
        <v/>
      </c>
      <c r="AH135" s="4">
        <f>IF(H135="","",--(H135=1))</f>
        <v/>
      </c>
      <c r="AI135" s="4">
        <f>IF(OR($B135="",I135=""),"",--(I135=$B135))</f>
        <v/>
      </c>
      <c r="AJ135" s="4">
        <f>IF(OR($B135="",I135=""),"",IF($B135=1,--(I135=1),""))</f>
        <v/>
      </c>
      <c r="AK135" s="4">
        <f>IF(OR($B135="",I135=""),"",IF($B135=0,--(I135=0),""))</f>
        <v/>
      </c>
      <c r="AL135" s="4">
        <f>IF(I135="","",--(I135=1))</f>
        <v/>
      </c>
      <c r="AM135" s="4">
        <f>IF(OR($B135="",J135=""),"",--(J135=$B135))</f>
        <v/>
      </c>
      <c r="AN135" s="4">
        <f>IF(OR($B135="",J135=""),"",IF($B135=1,--(J135=1),""))</f>
        <v/>
      </c>
      <c r="AO135" s="4">
        <f>IF(OR($B135="",J135=""),"",IF($B135=0,--(J135=0),""))</f>
        <v/>
      </c>
      <c r="AP135" s="4">
        <f>IF(J135="","",--(J135=1))</f>
        <v/>
      </c>
      <c r="AQ135" s="4">
        <f>IF(OR($B135="",K135=""),"",--(K135=$B135))</f>
        <v/>
      </c>
      <c r="AR135" s="4">
        <f>IF(OR($B135="",K135=""),"",IF($B135=1,--(K135=1),""))</f>
        <v/>
      </c>
      <c r="AS135" s="4">
        <f>IF(OR($B135="",K135=""),"",IF($B135=0,--(K135=0),""))</f>
        <v/>
      </c>
      <c r="AT135" s="4">
        <f>IF(K135="","",--(K135=1))</f>
        <v/>
      </c>
      <c r="AU135" s="4">
        <f>IF(OR($B135="",L135=""),"",--(L135=$B135))</f>
        <v/>
      </c>
      <c r="AV135" s="4">
        <f>IF(OR($B135="",L135=""),"",IF($B135=1,--(L135=1),""))</f>
        <v/>
      </c>
      <c r="AW135" s="4">
        <f>IF(OR($B135="",L135=""),"",IF($B135=0,--(L135=0),""))</f>
        <v/>
      </c>
      <c r="AX135" s="4">
        <f>IF(L135="","",--(L135=1))</f>
        <v/>
      </c>
      <c r="AY135" s="4">
        <f>IF(OR($B135="",M135=""),"",--(M135=$B135))</f>
        <v/>
      </c>
      <c r="AZ135" s="4">
        <f>IF(OR($B135="",M135=""),"",IF($B135=1,--(M135=1),""))</f>
        <v/>
      </c>
      <c r="BA135" s="4">
        <f>IF(OR($B135="",M135=""),"",IF($B135=0,--(M135=0),""))</f>
        <v/>
      </c>
      <c r="BB135" s="4">
        <f>IF(M135="","",--(M135=1))</f>
        <v/>
      </c>
      <c r="BC135" s="4">
        <f>IF(OR($B135="",N135=""),"",--(N135=$B135))</f>
        <v/>
      </c>
      <c r="BD135" s="4">
        <f>IF(OR($B135="",N135=""),"",IF($B135=1,--(N135=1),""))</f>
        <v/>
      </c>
      <c r="BE135" s="4">
        <f>IF(OR($B135="",N135=""),"",IF($B135=0,--(N135=0),""))</f>
        <v/>
      </c>
      <c r="BF135" s="4">
        <f>IF(N135="","",--(N135=1))</f>
        <v/>
      </c>
    </row>
    <row r="136">
      <c r="A136" s="3" t="inlineStr">
        <is>
          <t>202031479</t>
        </is>
      </c>
      <c r="B136" s="3" t="inlineStr">
        <is>
          <t>0</t>
        </is>
      </c>
      <c r="C136" s="3" t="inlineStr">
        <is>
          <t>Direct</t>
        </is>
      </c>
      <c r="D136" s="3" t="inlineStr">
        <is>
          <t>1</t>
        </is>
      </c>
      <c r="E136" s="3" t="inlineStr">
        <is>
          <t>0</t>
        </is>
      </c>
      <c r="F136" s="3" t="inlineStr">
        <is>
          <t>1</t>
        </is>
      </c>
      <c r="G136" s="3" t="inlineStr">
        <is>
          <t>1</t>
        </is>
      </c>
      <c r="H136" s="3" t="inlineStr">
        <is>
          <t>1</t>
        </is>
      </c>
      <c r="I136" s="3" t="inlineStr">
        <is>
          <t>1</t>
        </is>
      </c>
      <c r="J136" s="3" t="inlineStr">
        <is>
          <t>1</t>
        </is>
      </c>
      <c r="K136" s="3" t="inlineStr">
        <is>
          <t>1</t>
        </is>
      </c>
      <c r="L136" s="3" t="inlineStr">
        <is>
          <t>1</t>
        </is>
      </c>
      <c r="M136" s="3" t="inlineStr">
        <is>
          <t>1</t>
        </is>
      </c>
      <c r="N136" s="3" t="inlineStr">
        <is>
          <t>1</t>
        </is>
      </c>
      <c r="O136" s="4">
        <f>IF(OR($B136="",D136=""),"",--(D136=$B136))</f>
        <v/>
      </c>
      <c r="P136" s="4">
        <f>IF(OR($B136="",D136=""),"",IF($B136=1,--(D136=1),""))</f>
        <v/>
      </c>
      <c r="Q136" s="4">
        <f>IF(OR($B136="",D136=""),"",IF($B136=0,--(D136=0),""))</f>
        <v/>
      </c>
      <c r="R136" s="4">
        <f>IF(D136="","",--(D136=1))</f>
        <v/>
      </c>
      <c r="S136" s="4">
        <f>IF(OR($B136="",E136=""),"",--(E136=$B136))</f>
        <v/>
      </c>
      <c r="T136" s="4">
        <f>IF(OR($B136="",E136=""),"",IF($B136=1,--(E136=1),""))</f>
        <v/>
      </c>
      <c r="U136" s="4">
        <f>IF(OR($B136="",E136=""),"",IF($B136=0,--(E136=0),""))</f>
        <v/>
      </c>
      <c r="V136" s="4">
        <f>IF(E136="","",--(E136=1))</f>
        <v/>
      </c>
      <c r="W136" s="4">
        <f>IF(OR($B136="",F136=""),"",--(F136=$B136))</f>
        <v/>
      </c>
      <c r="X136" s="4">
        <f>IF(OR($B136="",F136=""),"",IF($B136=1,--(F136=1),""))</f>
        <v/>
      </c>
      <c r="Y136" s="4">
        <f>IF(OR($B136="",F136=""),"",IF($B136=0,--(F136=0),""))</f>
        <v/>
      </c>
      <c r="Z136" s="4">
        <f>IF(F136="","",--(F136=1))</f>
        <v/>
      </c>
      <c r="AA136" s="4">
        <f>IF(OR($B136="",G136=""),"",--(G136=$B136))</f>
        <v/>
      </c>
      <c r="AB136" s="4">
        <f>IF(OR($B136="",G136=""),"",IF($B136=1,--(G136=1),""))</f>
        <v/>
      </c>
      <c r="AC136" s="4">
        <f>IF(OR($B136="",G136=""),"",IF($B136=0,--(G136=0),""))</f>
        <v/>
      </c>
      <c r="AD136" s="4">
        <f>IF(G136="","",--(G136=1))</f>
        <v/>
      </c>
      <c r="AE136" s="4">
        <f>IF(OR($B136="",H136=""),"",--(H136=$B136))</f>
        <v/>
      </c>
      <c r="AF136" s="4">
        <f>IF(OR($B136="",H136=""),"",IF($B136=1,--(H136=1),""))</f>
        <v/>
      </c>
      <c r="AG136" s="4">
        <f>IF(OR($B136="",H136=""),"",IF($B136=0,--(H136=0),""))</f>
        <v/>
      </c>
      <c r="AH136" s="4">
        <f>IF(H136="","",--(H136=1))</f>
        <v/>
      </c>
      <c r="AI136" s="4">
        <f>IF(OR($B136="",I136=""),"",--(I136=$B136))</f>
        <v/>
      </c>
      <c r="AJ136" s="4">
        <f>IF(OR($B136="",I136=""),"",IF($B136=1,--(I136=1),""))</f>
        <v/>
      </c>
      <c r="AK136" s="4">
        <f>IF(OR($B136="",I136=""),"",IF($B136=0,--(I136=0),""))</f>
        <v/>
      </c>
      <c r="AL136" s="4">
        <f>IF(I136="","",--(I136=1))</f>
        <v/>
      </c>
      <c r="AM136" s="4">
        <f>IF(OR($B136="",J136=""),"",--(J136=$B136))</f>
        <v/>
      </c>
      <c r="AN136" s="4">
        <f>IF(OR($B136="",J136=""),"",IF($B136=1,--(J136=1),""))</f>
        <v/>
      </c>
      <c r="AO136" s="4">
        <f>IF(OR($B136="",J136=""),"",IF($B136=0,--(J136=0),""))</f>
        <v/>
      </c>
      <c r="AP136" s="4">
        <f>IF(J136="","",--(J136=1))</f>
        <v/>
      </c>
      <c r="AQ136" s="4">
        <f>IF(OR($B136="",K136=""),"",--(K136=$B136))</f>
        <v/>
      </c>
      <c r="AR136" s="4">
        <f>IF(OR($B136="",K136=""),"",IF($B136=1,--(K136=1),""))</f>
        <v/>
      </c>
      <c r="AS136" s="4">
        <f>IF(OR($B136="",K136=""),"",IF($B136=0,--(K136=0),""))</f>
        <v/>
      </c>
      <c r="AT136" s="4">
        <f>IF(K136="","",--(K136=1))</f>
        <v/>
      </c>
      <c r="AU136" s="4">
        <f>IF(OR($B136="",L136=""),"",--(L136=$B136))</f>
        <v/>
      </c>
      <c r="AV136" s="4">
        <f>IF(OR($B136="",L136=""),"",IF($B136=1,--(L136=1),""))</f>
        <v/>
      </c>
      <c r="AW136" s="4">
        <f>IF(OR($B136="",L136=""),"",IF($B136=0,--(L136=0),""))</f>
        <v/>
      </c>
      <c r="AX136" s="4">
        <f>IF(L136="","",--(L136=1))</f>
        <v/>
      </c>
      <c r="AY136" s="4">
        <f>IF(OR($B136="",M136=""),"",--(M136=$B136))</f>
        <v/>
      </c>
      <c r="AZ136" s="4">
        <f>IF(OR($B136="",M136=""),"",IF($B136=1,--(M136=1),""))</f>
        <v/>
      </c>
      <c r="BA136" s="4">
        <f>IF(OR($B136="",M136=""),"",IF($B136=0,--(M136=0),""))</f>
        <v/>
      </c>
      <c r="BB136" s="4">
        <f>IF(M136="","",--(M136=1))</f>
        <v/>
      </c>
      <c r="BC136" s="4">
        <f>IF(OR($B136="",N136=""),"",--(N136=$B136))</f>
        <v/>
      </c>
      <c r="BD136" s="4">
        <f>IF(OR($B136="",N136=""),"",IF($B136=1,--(N136=1),""))</f>
        <v/>
      </c>
      <c r="BE136" s="4">
        <f>IF(OR($B136="",N136=""),"",IF($B136=0,--(N136=0),""))</f>
        <v/>
      </c>
      <c r="BF136" s="4">
        <f>IF(N136="","",--(N136=1))</f>
        <v/>
      </c>
    </row>
    <row r="137">
      <c r="A137" s="3" t="inlineStr">
        <is>
          <t>202031562</t>
        </is>
      </c>
      <c r="B137" s="3" t="inlineStr">
        <is>
          <t>1</t>
        </is>
      </c>
      <c r="C137" s="3" t="inlineStr">
        <is>
          <t>Direct</t>
        </is>
      </c>
      <c r="D137" s="3" t="inlineStr">
        <is>
          <t>1</t>
        </is>
      </c>
      <c r="E137" s="3" t="inlineStr">
        <is>
          <t>1</t>
        </is>
      </c>
      <c r="F137" s="3" t="inlineStr">
        <is>
          <t>1</t>
        </is>
      </c>
      <c r="G137" s="3" t="inlineStr">
        <is>
          <t>1</t>
        </is>
      </c>
      <c r="H137" s="3" t="inlineStr">
        <is>
          <t>1</t>
        </is>
      </c>
      <c r="I137" s="3" t="inlineStr">
        <is>
          <t>1</t>
        </is>
      </c>
      <c r="J137" s="3" t="inlineStr">
        <is>
          <t>1</t>
        </is>
      </c>
      <c r="K137" s="3" t="inlineStr">
        <is>
          <t>1</t>
        </is>
      </c>
      <c r="L137" s="3" t="inlineStr">
        <is>
          <t>1</t>
        </is>
      </c>
      <c r="M137" s="3" t="inlineStr">
        <is>
          <t>1</t>
        </is>
      </c>
      <c r="N137" s="3" t="inlineStr">
        <is>
          <t>1</t>
        </is>
      </c>
      <c r="O137" s="4">
        <f>IF(OR($B137="",D137=""),"",--(D137=$B137))</f>
        <v/>
      </c>
      <c r="P137" s="4">
        <f>IF(OR($B137="",D137=""),"",IF($B137=1,--(D137=1),""))</f>
        <v/>
      </c>
      <c r="Q137" s="4">
        <f>IF(OR($B137="",D137=""),"",IF($B137=0,--(D137=0),""))</f>
        <v/>
      </c>
      <c r="R137" s="4">
        <f>IF(D137="","",--(D137=1))</f>
        <v/>
      </c>
      <c r="S137" s="4">
        <f>IF(OR($B137="",E137=""),"",--(E137=$B137))</f>
        <v/>
      </c>
      <c r="T137" s="4">
        <f>IF(OR($B137="",E137=""),"",IF($B137=1,--(E137=1),""))</f>
        <v/>
      </c>
      <c r="U137" s="4">
        <f>IF(OR($B137="",E137=""),"",IF($B137=0,--(E137=0),""))</f>
        <v/>
      </c>
      <c r="V137" s="4">
        <f>IF(E137="","",--(E137=1))</f>
        <v/>
      </c>
      <c r="W137" s="4">
        <f>IF(OR($B137="",F137=""),"",--(F137=$B137))</f>
        <v/>
      </c>
      <c r="X137" s="4">
        <f>IF(OR($B137="",F137=""),"",IF($B137=1,--(F137=1),""))</f>
        <v/>
      </c>
      <c r="Y137" s="4">
        <f>IF(OR($B137="",F137=""),"",IF($B137=0,--(F137=0),""))</f>
        <v/>
      </c>
      <c r="Z137" s="4">
        <f>IF(F137="","",--(F137=1))</f>
        <v/>
      </c>
      <c r="AA137" s="4">
        <f>IF(OR($B137="",G137=""),"",--(G137=$B137))</f>
        <v/>
      </c>
      <c r="AB137" s="4">
        <f>IF(OR($B137="",G137=""),"",IF($B137=1,--(G137=1),""))</f>
        <v/>
      </c>
      <c r="AC137" s="4">
        <f>IF(OR($B137="",G137=""),"",IF($B137=0,--(G137=0),""))</f>
        <v/>
      </c>
      <c r="AD137" s="4">
        <f>IF(G137="","",--(G137=1))</f>
        <v/>
      </c>
      <c r="AE137" s="4">
        <f>IF(OR($B137="",H137=""),"",--(H137=$B137))</f>
        <v/>
      </c>
      <c r="AF137" s="4">
        <f>IF(OR($B137="",H137=""),"",IF($B137=1,--(H137=1),""))</f>
        <v/>
      </c>
      <c r="AG137" s="4">
        <f>IF(OR($B137="",H137=""),"",IF($B137=0,--(H137=0),""))</f>
        <v/>
      </c>
      <c r="AH137" s="4">
        <f>IF(H137="","",--(H137=1))</f>
        <v/>
      </c>
      <c r="AI137" s="4">
        <f>IF(OR($B137="",I137=""),"",--(I137=$B137))</f>
        <v/>
      </c>
      <c r="AJ137" s="4">
        <f>IF(OR($B137="",I137=""),"",IF($B137=1,--(I137=1),""))</f>
        <v/>
      </c>
      <c r="AK137" s="4">
        <f>IF(OR($B137="",I137=""),"",IF($B137=0,--(I137=0),""))</f>
        <v/>
      </c>
      <c r="AL137" s="4">
        <f>IF(I137="","",--(I137=1))</f>
        <v/>
      </c>
      <c r="AM137" s="4">
        <f>IF(OR($B137="",J137=""),"",--(J137=$B137))</f>
        <v/>
      </c>
      <c r="AN137" s="4">
        <f>IF(OR($B137="",J137=""),"",IF($B137=1,--(J137=1),""))</f>
        <v/>
      </c>
      <c r="AO137" s="4">
        <f>IF(OR($B137="",J137=""),"",IF($B137=0,--(J137=0),""))</f>
        <v/>
      </c>
      <c r="AP137" s="4">
        <f>IF(J137="","",--(J137=1))</f>
        <v/>
      </c>
      <c r="AQ137" s="4">
        <f>IF(OR($B137="",K137=""),"",--(K137=$B137))</f>
        <v/>
      </c>
      <c r="AR137" s="4">
        <f>IF(OR($B137="",K137=""),"",IF($B137=1,--(K137=1),""))</f>
        <v/>
      </c>
      <c r="AS137" s="4">
        <f>IF(OR($B137="",K137=""),"",IF($B137=0,--(K137=0),""))</f>
        <v/>
      </c>
      <c r="AT137" s="4">
        <f>IF(K137="","",--(K137=1))</f>
        <v/>
      </c>
      <c r="AU137" s="4">
        <f>IF(OR($B137="",L137=""),"",--(L137=$B137))</f>
        <v/>
      </c>
      <c r="AV137" s="4">
        <f>IF(OR($B137="",L137=""),"",IF($B137=1,--(L137=1),""))</f>
        <v/>
      </c>
      <c r="AW137" s="4">
        <f>IF(OR($B137="",L137=""),"",IF($B137=0,--(L137=0),""))</f>
        <v/>
      </c>
      <c r="AX137" s="4">
        <f>IF(L137="","",--(L137=1))</f>
        <v/>
      </c>
      <c r="AY137" s="4">
        <f>IF(OR($B137="",M137=""),"",--(M137=$B137))</f>
        <v/>
      </c>
      <c r="AZ137" s="4">
        <f>IF(OR($B137="",M137=""),"",IF($B137=1,--(M137=1),""))</f>
        <v/>
      </c>
      <c r="BA137" s="4">
        <f>IF(OR($B137="",M137=""),"",IF($B137=0,--(M137=0),""))</f>
        <v/>
      </c>
      <c r="BB137" s="4">
        <f>IF(M137="","",--(M137=1))</f>
        <v/>
      </c>
      <c r="BC137" s="4">
        <f>IF(OR($B137="",N137=""),"",--(N137=$B137))</f>
        <v/>
      </c>
      <c r="BD137" s="4">
        <f>IF(OR($B137="",N137=""),"",IF($B137=1,--(N137=1),""))</f>
        <v/>
      </c>
      <c r="BE137" s="4">
        <f>IF(OR($B137="",N137=""),"",IF($B137=0,--(N137=0),""))</f>
        <v/>
      </c>
      <c r="BF137" s="4">
        <f>IF(N137="","",--(N137=1))</f>
        <v/>
      </c>
    </row>
    <row r="138">
      <c r="A138" s="3" t="inlineStr">
        <is>
          <t>202031809</t>
        </is>
      </c>
      <c r="B138" s="3" t="inlineStr">
        <is>
          <t>0</t>
        </is>
      </c>
      <c r="C138" s="3" t="inlineStr">
        <is>
          <t>Direct</t>
        </is>
      </c>
      <c r="D138" s="3" t="inlineStr">
        <is>
          <t>1</t>
        </is>
      </c>
      <c r="E138" s="3" t="inlineStr">
        <is>
          <t>0</t>
        </is>
      </c>
      <c r="F138" s="3" t="inlineStr">
        <is>
          <t>0</t>
        </is>
      </c>
      <c r="G138" s="3" t="inlineStr">
        <is>
          <t>0</t>
        </is>
      </c>
      <c r="H138" s="3" t="inlineStr">
        <is>
          <t>0</t>
        </is>
      </c>
      <c r="I138" s="3" t="inlineStr">
        <is>
          <t>0</t>
        </is>
      </c>
      <c r="J138" s="3" t="inlineStr">
        <is>
          <t>0</t>
        </is>
      </c>
      <c r="K138" s="3" t="inlineStr">
        <is>
          <t>0</t>
        </is>
      </c>
      <c r="L138" s="3" t="inlineStr">
        <is>
          <t>0</t>
        </is>
      </c>
      <c r="M138" s="3" t="inlineStr">
        <is>
          <t>0</t>
        </is>
      </c>
      <c r="N138" s="3" t="inlineStr">
        <is>
          <t>1</t>
        </is>
      </c>
      <c r="O138" s="4">
        <f>IF(OR($B138="",D138=""),"",--(D138=$B138))</f>
        <v/>
      </c>
      <c r="P138" s="4">
        <f>IF(OR($B138="",D138=""),"",IF($B138=1,--(D138=1),""))</f>
        <v/>
      </c>
      <c r="Q138" s="4">
        <f>IF(OR($B138="",D138=""),"",IF($B138=0,--(D138=0),""))</f>
        <v/>
      </c>
      <c r="R138" s="4">
        <f>IF(D138="","",--(D138=1))</f>
        <v/>
      </c>
      <c r="S138" s="4">
        <f>IF(OR($B138="",E138=""),"",--(E138=$B138))</f>
        <v/>
      </c>
      <c r="T138" s="4">
        <f>IF(OR($B138="",E138=""),"",IF($B138=1,--(E138=1),""))</f>
        <v/>
      </c>
      <c r="U138" s="4">
        <f>IF(OR($B138="",E138=""),"",IF($B138=0,--(E138=0),""))</f>
        <v/>
      </c>
      <c r="V138" s="4">
        <f>IF(E138="","",--(E138=1))</f>
        <v/>
      </c>
      <c r="W138" s="4">
        <f>IF(OR($B138="",F138=""),"",--(F138=$B138))</f>
        <v/>
      </c>
      <c r="X138" s="4">
        <f>IF(OR($B138="",F138=""),"",IF($B138=1,--(F138=1),""))</f>
        <v/>
      </c>
      <c r="Y138" s="4">
        <f>IF(OR($B138="",F138=""),"",IF($B138=0,--(F138=0),""))</f>
        <v/>
      </c>
      <c r="Z138" s="4">
        <f>IF(F138="","",--(F138=1))</f>
        <v/>
      </c>
      <c r="AA138" s="4">
        <f>IF(OR($B138="",G138=""),"",--(G138=$B138))</f>
        <v/>
      </c>
      <c r="AB138" s="4">
        <f>IF(OR($B138="",G138=""),"",IF($B138=1,--(G138=1),""))</f>
        <v/>
      </c>
      <c r="AC138" s="4">
        <f>IF(OR($B138="",G138=""),"",IF($B138=0,--(G138=0),""))</f>
        <v/>
      </c>
      <c r="AD138" s="4">
        <f>IF(G138="","",--(G138=1))</f>
        <v/>
      </c>
      <c r="AE138" s="4">
        <f>IF(OR($B138="",H138=""),"",--(H138=$B138))</f>
        <v/>
      </c>
      <c r="AF138" s="4">
        <f>IF(OR($B138="",H138=""),"",IF($B138=1,--(H138=1),""))</f>
        <v/>
      </c>
      <c r="AG138" s="4">
        <f>IF(OR($B138="",H138=""),"",IF($B138=0,--(H138=0),""))</f>
        <v/>
      </c>
      <c r="AH138" s="4">
        <f>IF(H138="","",--(H138=1))</f>
        <v/>
      </c>
      <c r="AI138" s="4">
        <f>IF(OR($B138="",I138=""),"",--(I138=$B138))</f>
        <v/>
      </c>
      <c r="AJ138" s="4">
        <f>IF(OR($B138="",I138=""),"",IF($B138=1,--(I138=1),""))</f>
        <v/>
      </c>
      <c r="AK138" s="4">
        <f>IF(OR($B138="",I138=""),"",IF($B138=0,--(I138=0),""))</f>
        <v/>
      </c>
      <c r="AL138" s="4">
        <f>IF(I138="","",--(I138=1))</f>
        <v/>
      </c>
      <c r="AM138" s="4">
        <f>IF(OR($B138="",J138=""),"",--(J138=$B138))</f>
        <v/>
      </c>
      <c r="AN138" s="4">
        <f>IF(OR($B138="",J138=""),"",IF($B138=1,--(J138=1),""))</f>
        <v/>
      </c>
      <c r="AO138" s="4">
        <f>IF(OR($B138="",J138=""),"",IF($B138=0,--(J138=0),""))</f>
        <v/>
      </c>
      <c r="AP138" s="4">
        <f>IF(J138="","",--(J138=1))</f>
        <v/>
      </c>
      <c r="AQ138" s="4">
        <f>IF(OR($B138="",K138=""),"",--(K138=$B138))</f>
        <v/>
      </c>
      <c r="AR138" s="4">
        <f>IF(OR($B138="",K138=""),"",IF($B138=1,--(K138=1),""))</f>
        <v/>
      </c>
      <c r="AS138" s="4">
        <f>IF(OR($B138="",K138=""),"",IF($B138=0,--(K138=0),""))</f>
        <v/>
      </c>
      <c r="AT138" s="4">
        <f>IF(K138="","",--(K138=1))</f>
        <v/>
      </c>
      <c r="AU138" s="4">
        <f>IF(OR($B138="",L138=""),"",--(L138=$B138))</f>
        <v/>
      </c>
      <c r="AV138" s="4">
        <f>IF(OR($B138="",L138=""),"",IF($B138=1,--(L138=1),""))</f>
        <v/>
      </c>
      <c r="AW138" s="4">
        <f>IF(OR($B138="",L138=""),"",IF($B138=0,--(L138=0),""))</f>
        <v/>
      </c>
      <c r="AX138" s="4">
        <f>IF(L138="","",--(L138=1))</f>
        <v/>
      </c>
      <c r="AY138" s="4">
        <f>IF(OR($B138="",M138=""),"",--(M138=$B138))</f>
        <v/>
      </c>
      <c r="AZ138" s="4">
        <f>IF(OR($B138="",M138=""),"",IF($B138=1,--(M138=1),""))</f>
        <v/>
      </c>
      <c r="BA138" s="4">
        <f>IF(OR($B138="",M138=""),"",IF($B138=0,--(M138=0),""))</f>
        <v/>
      </c>
      <c r="BB138" s="4">
        <f>IF(M138="","",--(M138=1))</f>
        <v/>
      </c>
      <c r="BC138" s="4">
        <f>IF(OR($B138="",N138=""),"",--(N138=$B138))</f>
        <v/>
      </c>
      <c r="BD138" s="4">
        <f>IF(OR($B138="",N138=""),"",IF($B138=1,--(N138=1),""))</f>
        <v/>
      </c>
      <c r="BE138" s="4">
        <f>IF(OR($B138="",N138=""),"",IF($B138=0,--(N138=0),""))</f>
        <v/>
      </c>
      <c r="BF138" s="4">
        <f>IF(N138="","",--(N138=1))</f>
        <v/>
      </c>
    </row>
    <row r="139">
      <c r="A139" s="3" t="inlineStr">
        <is>
          <t>202031969</t>
        </is>
      </c>
      <c r="B139" s="3" t="inlineStr">
        <is>
          <t>1</t>
        </is>
      </c>
      <c r="C139" s="3" t="inlineStr">
        <is>
          <t>Direct</t>
        </is>
      </c>
      <c r="D139" s="3" t="inlineStr">
        <is>
          <t>1</t>
        </is>
      </c>
      <c r="E139" s="3" t="inlineStr">
        <is>
          <t>1</t>
        </is>
      </c>
      <c r="F139" s="3" t="inlineStr">
        <is>
          <t>0</t>
        </is>
      </c>
      <c r="G139" s="3" t="inlineStr">
        <is>
          <t>1</t>
        </is>
      </c>
      <c r="H139" s="3" t="inlineStr">
        <is>
          <t>1</t>
        </is>
      </c>
      <c r="I139" s="3" t="inlineStr">
        <is>
          <t>1</t>
        </is>
      </c>
      <c r="J139" s="3" t="inlineStr">
        <is>
          <t>1</t>
        </is>
      </c>
      <c r="K139" s="3" t="inlineStr">
        <is>
          <t>1</t>
        </is>
      </c>
      <c r="L139" s="3" t="inlineStr">
        <is>
          <t>1</t>
        </is>
      </c>
      <c r="M139" s="3" t="inlineStr">
        <is>
          <t>1</t>
        </is>
      </c>
      <c r="N139" s="3" t="inlineStr">
        <is>
          <t>1</t>
        </is>
      </c>
      <c r="O139" s="4">
        <f>IF(OR($B139="",D139=""),"",--(D139=$B139))</f>
        <v/>
      </c>
      <c r="P139" s="4">
        <f>IF(OR($B139="",D139=""),"",IF($B139=1,--(D139=1),""))</f>
        <v/>
      </c>
      <c r="Q139" s="4">
        <f>IF(OR($B139="",D139=""),"",IF($B139=0,--(D139=0),""))</f>
        <v/>
      </c>
      <c r="R139" s="4">
        <f>IF(D139="","",--(D139=1))</f>
        <v/>
      </c>
      <c r="S139" s="4">
        <f>IF(OR($B139="",E139=""),"",--(E139=$B139))</f>
        <v/>
      </c>
      <c r="T139" s="4">
        <f>IF(OR($B139="",E139=""),"",IF($B139=1,--(E139=1),""))</f>
        <v/>
      </c>
      <c r="U139" s="4">
        <f>IF(OR($B139="",E139=""),"",IF($B139=0,--(E139=0),""))</f>
        <v/>
      </c>
      <c r="V139" s="4">
        <f>IF(E139="","",--(E139=1))</f>
        <v/>
      </c>
      <c r="W139" s="4">
        <f>IF(OR($B139="",F139=""),"",--(F139=$B139))</f>
        <v/>
      </c>
      <c r="X139" s="4">
        <f>IF(OR($B139="",F139=""),"",IF($B139=1,--(F139=1),""))</f>
        <v/>
      </c>
      <c r="Y139" s="4">
        <f>IF(OR($B139="",F139=""),"",IF($B139=0,--(F139=0),""))</f>
        <v/>
      </c>
      <c r="Z139" s="4">
        <f>IF(F139="","",--(F139=1))</f>
        <v/>
      </c>
      <c r="AA139" s="4">
        <f>IF(OR($B139="",G139=""),"",--(G139=$B139))</f>
        <v/>
      </c>
      <c r="AB139" s="4">
        <f>IF(OR($B139="",G139=""),"",IF($B139=1,--(G139=1),""))</f>
        <v/>
      </c>
      <c r="AC139" s="4">
        <f>IF(OR($B139="",G139=""),"",IF($B139=0,--(G139=0),""))</f>
        <v/>
      </c>
      <c r="AD139" s="4">
        <f>IF(G139="","",--(G139=1))</f>
        <v/>
      </c>
      <c r="AE139" s="4">
        <f>IF(OR($B139="",H139=""),"",--(H139=$B139))</f>
        <v/>
      </c>
      <c r="AF139" s="4">
        <f>IF(OR($B139="",H139=""),"",IF($B139=1,--(H139=1),""))</f>
        <v/>
      </c>
      <c r="AG139" s="4">
        <f>IF(OR($B139="",H139=""),"",IF($B139=0,--(H139=0),""))</f>
        <v/>
      </c>
      <c r="AH139" s="4">
        <f>IF(H139="","",--(H139=1))</f>
        <v/>
      </c>
      <c r="AI139" s="4">
        <f>IF(OR($B139="",I139=""),"",--(I139=$B139))</f>
        <v/>
      </c>
      <c r="AJ139" s="4">
        <f>IF(OR($B139="",I139=""),"",IF($B139=1,--(I139=1),""))</f>
        <v/>
      </c>
      <c r="AK139" s="4">
        <f>IF(OR($B139="",I139=""),"",IF($B139=0,--(I139=0),""))</f>
        <v/>
      </c>
      <c r="AL139" s="4">
        <f>IF(I139="","",--(I139=1))</f>
        <v/>
      </c>
      <c r="AM139" s="4">
        <f>IF(OR($B139="",J139=""),"",--(J139=$B139))</f>
        <v/>
      </c>
      <c r="AN139" s="4">
        <f>IF(OR($B139="",J139=""),"",IF($B139=1,--(J139=1),""))</f>
        <v/>
      </c>
      <c r="AO139" s="4">
        <f>IF(OR($B139="",J139=""),"",IF($B139=0,--(J139=0),""))</f>
        <v/>
      </c>
      <c r="AP139" s="4">
        <f>IF(J139="","",--(J139=1))</f>
        <v/>
      </c>
      <c r="AQ139" s="4">
        <f>IF(OR($B139="",K139=""),"",--(K139=$B139))</f>
        <v/>
      </c>
      <c r="AR139" s="4">
        <f>IF(OR($B139="",K139=""),"",IF($B139=1,--(K139=1),""))</f>
        <v/>
      </c>
      <c r="AS139" s="4">
        <f>IF(OR($B139="",K139=""),"",IF($B139=0,--(K139=0),""))</f>
        <v/>
      </c>
      <c r="AT139" s="4">
        <f>IF(K139="","",--(K139=1))</f>
        <v/>
      </c>
      <c r="AU139" s="4">
        <f>IF(OR($B139="",L139=""),"",--(L139=$B139))</f>
        <v/>
      </c>
      <c r="AV139" s="4">
        <f>IF(OR($B139="",L139=""),"",IF($B139=1,--(L139=1),""))</f>
        <v/>
      </c>
      <c r="AW139" s="4">
        <f>IF(OR($B139="",L139=""),"",IF($B139=0,--(L139=0),""))</f>
        <v/>
      </c>
      <c r="AX139" s="4">
        <f>IF(L139="","",--(L139=1))</f>
        <v/>
      </c>
      <c r="AY139" s="4">
        <f>IF(OR($B139="",M139=""),"",--(M139=$B139))</f>
        <v/>
      </c>
      <c r="AZ139" s="4">
        <f>IF(OR($B139="",M139=""),"",IF($B139=1,--(M139=1),""))</f>
        <v/>
      </c>
      <c r="BA139" s="4">
        <f>IF(OR($B139="",M139=""),"",IF($B139=0,--(M139=0),""))</f>
        <v/>
      </c>
      <c r="BB139" s="4">
        <f>IF(M139="","",--(M139=1))</f>
        <v/>
      </c>
      <c r="BC139" s="4">
        <f>IF(OR($B139="",N139=""),"",--(N139=$B139))</f>
        <v/>
      </c>
      <c r="BD139" s="4">
        <f>IF(OR($B139="",N139=""),"",IF($B139=1,--(N139=1),""))</f>
        <v/>
      </c>
      <c r="BE139" s="4">
        <f>IF(OR($B139="",N139=""),"",IF($B139=0,--(N139=0),""))</f>
        <v/>
      </c>
      <c r="BF139" s="4">
        <f>IF(N139="","",--(N139=1))</f>
        <v/>
      </c>
    </row>
    <row r="140">
      <c r="A140" s="3" t="inlineStr">
        <is>
          <t>202032077</t>
        </is>
      </c>
      <c r="B140" s="3" t="inlineStr">
        <is>
          <t>1</t>
        </is>
      </c>
      <c r="C140" s="3" t="inlineStr">
        <is>
          <t>Direct</t>
        </is>
      </c>
      <c r="D140" s="3" t="inlineStr">
        <is>
          <t>1</t>
        </is>
      </c>
      <c r="E140" s="3" t="inlineStr">
        <is>
          <t>0</t>
        </is>
      </c>
      <c r="F140" s="3" t="inlineStr">
        <is>
          <t>1</t>
        </is>
      </c>
      <c r="G140" s="3" t="inlineStr">
        <is>
          <t>0</t>
        </is>
      </c>
      <c r="H140" s="3" t="inlineStr">
        <is>
          <t>1</t>
        </is>
      </c>
      <c r="I140" s="3" t="inlineStr">
        <is>
          <t>0</t>
        </is>
      </c>
      <c r="J140" s="3" t="inlineStr">
        <is>
          <t>1</t>
        </is>
      </c>
      <c r="K140" s="3" t="inlineStr">
        <is>
          <t>1</t>
        </is>
      </c>
      <c r="L140" s="3" t="inlineStr">
        <is>
          <t>1</t>
        </is>
      </c>
      <c r="M140" s="3" t="inlineStr">
        <is>
          <t>1</t>
        </is>
      </c>
      <c r="N140" s="3" t="inlineStr">
        <is>
          <t>1</t>
        </is>
      </c>
      <c r="O140" s="4">
        <f>IF(OR($B140="",D140=""),"",--(D140=$B140))</f>
        <v/>
      </c>
      <c r="P140" s="4">
        <f>IF(OR($B140="",D140=""),"",IF($B140=1,--(D140=1),""))</f>
        <v/>
      </c>
      <c r="Q140" s="4">
        <f>IF(OR($B140="",D140=""),"",IF($B140=0,--(D140=0),""))</f>
        <v/>
      </c>
      <c r="R140" s="4">
        <f>IF(D140="","",--(D140=1))</f>
        <v/>
      </c>
      <c r="S140" s="4">
        <f>IF(OR($B140="",E140=""),"",--(E140=$B140))</f>
        <v/>
      </c>
      <c r="T140" s="4">
        <f>IF(OR($B140="",E140=""),"",IF($B140=1,--(E140=1),""))</f>
        <v/>
      </c>
      <c r="U140" s="4">
        <f>IF(OR($B140="",E140=""),"",IF($B140=0,--(E140=0),""))</f>
        <v/>
      </c>
      <c r="V140" s="4">
        <f>IF(E140="","",--(E140=1))</f>
        <v/>
      </c>
      <c r="W140" s="4">
        <f>IF(OR($B140="",F140=""),"",--(F140=$B140))</f>
        <v/>
      </c>
      <c r="X140" s="4">
        <f>IF(OR($B140="",F140=""),"",IF($B140=1,--(F140=1),""))</f>
        <v/>
      </c>
      <c r="Y140" s="4">
        <f>IF(OR($B140="",F140=""),"",IF($B140=0,--(F140=0),""))</f>
        <v/>
      </c>
      <c r="Z140" s="4">
        <f>IF(F140="","",--(F140=1))</f>
        <v/>
      </c>
      <c r="AA140" s="4">
        <f>IF(OR($B140="",G140=""),"",--(G140=$B140))</f>
        <v/>
      </c>
      <c r="AB140" s="4">
        <f>IF(OR($B140="",G140=""),"",IF($B140=1,--(G140=1),""))</f>
        <v/>
      </c>
      <c r="AC140" s="4">
        <f>IF(OR($B140="",G140=""),"",IF($B140=0,--(G140=0),""))</f>
        <v/>
      </c>
      <c r="AD140" s="4">
        <f>IF(G140="","",--(G140=1))</f>
        <v/>
      </c>
      <c r="AE140" s="4">
        <f>IF(OR($B140="",H140=""),"",--(H140=$B140))</f>
        <v/>
      </c>
      <c r="AF140" s="4">
        <f>IF(OR($B140="",H140=""),"",IF($B140=1,--(H140=1),""))</f>
        <v/>
      </c>
      <c r="AG140" s="4">
        <f>IF(OR($B140="",H140=""),"",IF($B140=0,--(H140=0),""))</f>
        <v/>
      </c>
      <c r="AH140" s="4">
        <f>IF(H140="","",--(H140=1))</f>
        <v/>
      </c>
      <c r="AI140" s="4">
        <f>IF(OR($B140="",I140=""),"",--(I140=$B140))</f>
        <v/>
      </c>
      <c r="AJ140" s="4">
        <f>IF(OR($B140="",I140=""),"",IF($B140=1,--(I140=1),""))</f>
        <v/>
      </c>
      <c r="AK140" s="4">
        <f>IF(OR($B140="",I140=""),"",IF($B140=0,--(I140=0),""))</f>
        <v/>
      </c>
      <c r="AL140" s="4">
        <f>IF(I140="","",--(I140=1))</f>
        <v/>
      </c>
      <c r="AM140" s="4">
        <f>IF(OR($B140="",J140=""),"",--(J140=$B140))</f>
        <v/>
      </c>
      <c r="AN140" s="4">
        <f>IF(OR($B140="",J140=""),"",IF($B140=1,--(J140=1),""))</f>
        <v/>
      </c>
      <c r="AO140" s="4">
        <f>IF(OR($B140="",J140=""),"",IF($B140=0,--(J140=0),""))</f>
        <v/>
      </c>
      <c r="AP140" s="4">
        <f>IF(J140="","",--(J140=1))</f>
        <v/>
      </c>
      <c r="AQ140" s="4">
        <f>IF(OR($B140="",K140=""),"",--(K140=$B140))</f>
        <v/>
      </c>
      <c r="AR140" s="4">
        <f>IF(OR($B140="",K140=""),"",IF($B140=1,--(K140=1),""))</f>
        <v/>
      </c>
      <c r="AS140" s="4">
        <f>IF(OR($B140="",K140=""),"",IF($B140=0,--(K140=0),""))</f>
        <v/>
      </c>
      <c r="AT140" s="4">
        <f>IF(K140="","",--(K140=1))</f>
        <v/>
      </c>
      <c r="AU140" s="4">
        <f>IF(OR($B140="",L140=""),"",--(L140=$B140))</f>
        <v/>
      </c>
      <c r="AV140" s="4">
        <f>IF(OR($B140="",L140=""),"",IF($B140=1,--(L140=1),""))</f>
        <v/>
      </c>
      <c r="AW140" s="4">
        <f>IF(OR($B140="",L140=""),"",IF($B140=0,--(L140=0),""))</f>
        <v/>
      </c>
      <c r="AX140" s="4">
        <f>IF(L140="","",--(L140=1))</f>
        <v/>
      </c>
      <c r="AY140" s="4">
        <f>IF(OR($B140="",M140=""),"",--(M140=$B140))</f>
        <v/>
      </c>
      <c r="AZ140" s="4">
        <f>IF(OR($B140="",M140=""),"",IF($B140=1,--(M140=1),""))</f>
        <v/>
      </c>
      <c r="BA140" s="4">
        <f>IF(OR($B140="",M140=""),"",IF($B140=0,--(M140=0),""))</f>
        <v/>
      </c>
      <c r="BB140" s="4">
        <f>IF(M140="","",--(M140=1))</f>
        <v/>
      </c>
      <c r="BC140" s="4">
        <f>IF(OR($B140="",N140=""),"",--(N140=$B140))</f>
        <v/>
      </c>
      <c r="BD140" s="4">
        <f>IF(OR($B140="",N140=""),"",IF($B140=1,--(N140=1),""))</f>
        <v/>
      </c>
      <c r="BE140" s="4">
        <f>IF(OR($B140="",N140=""),"",IF($B140=0,--(N140=0),""))</f>
        <v/>
      </c>
      <c r="BF140" s="4">
        <f>IF(N140="","",--(N140=1))</f>
        <v/>
      </c>
    </row>
    <row r="141">
      <c r="A141" s="3" t="inlineStr">
        <is>
          <t>202032205</t>
        </is>
      </c>
      <c r="B141" s="3" t="inlineStr">
        <is>
          <t>1</t>
        </is>
      </c>
      <c r="C141" s="3" t="inlineStr">
        <is>
          <t>Direct</t>
        </is>
      </c>
      <c r="D141" s="3" t="inlineStr">
        <is>
          <t>1</t>
        </is>
      </c>
      <c r="E141" s="3" t="inlineStr">
        <is>
          <t>1</t>
        </is>
      </c>
      <c r="F141" s="3" t="inlineStr">
        <is>
          <t>0</t>
        </is>
      </c>
      <c r="G141" s="3" t="inlineStr">
        <is>
          <t>1</t>
        </is>
      </c>
      <c r="H141" s="3" t="inlineStr">
        <is>
          <t>0</t>
        </is>
      </c>
      <c r="I141" s="3" t="inlineStr">
        <is>
          <t>0</t>
        </is>
      </c>
      <c r="J141" s="3" t="inlineStr">
        <is>
          <t>0</t>
        </is>
      </c>
      <c r="K141" s="3" t="inlineStr">
        <is>
          <t>1</t>
        </is>
      </c>
      <c r="L141" s="3" t="inlineStr">
        <is>
          <t>1</t>
        </is>
      </c>
      <c r="M141" s="3" t="inlineStr">
        <is>
          <t>1</t>
        </is>
      </c>
      <c r="N141" s="3" t="inlineStr">
        <is>
          <t>1</t>
        </is>
      </c>
      <c r="O141" s="4">
        <f>IF(OR($B141="",D141=""),"",--(D141=$B141))</f>
        <v/>
      </c>
      <c r="P141" s="4">
        <f>IF(OR($B141="",D141=""),"",IF($B141=1,--(D141=1),""))</f>
        <v/>
      </c>
      <c r="Q141" s="4">
        <f>IF(OR($B141="",D141=""),"",IF($B141=0,--(D141=0),""))</f>
        <v/>
      </c>
      <c r="R141" s="4">
        <f>IF(D141="","",--(D141=1))</f>
        <v/>
      </c>
      <c r="S141" s="4">
        <f>IF(OR($B141="",E141=""),"",--(E141=$B141))</f>
        <v/>
      </c>
      <c r="T141" s="4">
        <f>IF(OR($B141="",E141=""),"",IF($B141=1,--(E141=1),""))</f>
        <v/>
      </c>
      <c r="U141" s="4">
        <f>IF(OR($B141="",E141=""),"",IF($B141=0,--(E141=0),""))</f>
        <v/>
      </c>
      <c r="V141" s="4">
        <f>IF(E141="","",--(E141=1))</f>
        <v/>
      </c>
      <c r="W141" s="4">
        <f>IF(OR($B141="",F141=""),"",--(F141=$B141))</f>
        <v/>
      </c>
      <c r="X141" s="4">
        <f>IF(OR($B141="",F141=""),"",IF($B141=1,--(F141=1),""))</f>
        <v/>
      </c>
      <c r="Y141" s="4">
        <f>IF(OR($B141="",F141=""),"",IF($B141=0,--(F141=0),""))</f>
        <v/>
      </c>
      <c r="Z141" s="4">
        <f>IF(F141="","",--(F141=1))</f>
        <v/>
      </c>
      <c r="AA141" s="4">
        <f>IF(OR($B141="",G141=""),"",--(G141=$B141))</f>
        <v/>
      </c>
      <c r="AB141" s="4">
        <f>IF(OR($B141="",G141=""),"",IF($B141=1,--(G141=1),""))</f>
        <v/>
      </c>
      <c r="AC141" s="4">
        <f>IF(OR($B141="",G141=""),"",IF($B141=0,--(G141=0),""))</f>
        <v/>
      </c>
      <c r="AD141" s="4">
        <f>IF(G141="","",--(G141=1))</f>
        <v/>
      </c>
      <c r="AE141" s="4">
        <f>IF(OR($B141="",H141=""),"",--(H141=$B141))</f>
        <v/>
      </c>
      <c r="AF141" s="4">
        <f>IF(OR($B141="",H141=""),"",IF($B141=1,--(H141=1),""))</f>
        <v/>
      </c>
      <c r="AG141" s="4">
        <f>IF(OR($B141="",H141=""),"",IF($B141=0,--(H141=0),""))</f>
        <v/>
      </c>
      <c r="AH141" s="4">
        <f>IF(H141="","",--(H141=1))</f>
        <v/>
      </c>
      <c r="AI141" s="4">
        <f>IF(OR($B141="",I141=""),"",--(I141=$B141))</f>
        <v/>
      </c>
      <c r="AJ141" s="4">
        <f>IF(OR($B141="",I141=""),"",IF($B141=1,--(I141=1),""))</f>
        <v/>
      </c>
      <c r="AK141" s="4">
        <f>IF(OR($B141="",I141=""),"",IF($B141=0,--(I141=0),""))</f>
        <v/>
      </c>
      <c r="AL141" s="4">
        <f>IF(I141="","",--(I141=1))</f>
        <v/>
      </c>
      <c r="AM141" s="4">
        <f>IF(OR($B141="",J141=""),"",--(J141=$B141))</f>
        <v/>
      </c>
      <c r="AN141" s="4">
        <f>IF(OR($B141="",J141=""),"",IF($B141=1,--(J141=1),""))</f>
        <v/>
      </c>
      <c r="AO141" s="4">
        <f>IF(OR($B141="",J141=""),"",IF($B141=0,--(J141=0),""))</f>
        <v/>
      </c>
      <c r="AP141" s="4">
        <f>IF(J141="","",--(J141=1))</f>
        <v/>
      </c>
      <c r="AQ141" s="4">
        <f>IF(OR($B141="",K141=""),"",--(K141=$B141))</f>
        <v/>
      </c>
      <c r="AR141" s="4">
        <f>IF(OR($B141="",K141=""),"",IF($B141=1,--(K141=1),""))</f>
        <v/>
      </c>
      <c r="AS141" s="4">
        <f>IF(OR($B141="",K141=""),"",IF($B141=0,--(K141=0),""))</f>
        <v/>
      </c>
      <c r="AT141" s="4">
        <f>IF(K141="","",--(K141=1))</f>
        <v/>
      </c>
      <c r="AU141" s="4">
        <f>IF(OR($B141="",L141=""),"",--(L141=$B141))</f>
        <v/>
      </c>
      <c r="AV141" s="4">
        <f>IF(OR($B141="",L141=""),"",IF($B141=1,--(L141=1),""))</f>
        <v/>
      </c>
      <c r="AW141" s="4">
        <f>IF(OR($B141="",L141=""),"",IF($B141=0,--(L141=0),""))</f>
        <v/>
      </c>
      <c r="AX141" s="4">
        <f>IF(L141="","",--(L141=1))</f>
        <v/>
      </c>
      <c r="AY141" s="4">
        <f>IF(OR($B141="",M141=""),"",--(M141=$B141))</f>
        <v/>
      </c>
      <c r="AZ141" s="4">
        <f>IF(OR($B141="",M141=""),"",IF($B141=1,--(M141=1),""))</f>
        <v/>
      </c>
      <c r="BA141" s="4">
        <f>IF(OR($B141="",M141=""),"",IF($B141=0,--(M141=0),""))</f>
        <v/>
      </c>
      <c r="BB141" s="4">
        <f>IF(M141="","",--(M141=1))</f>
        <v/>
      </c>
      <c r="BC141" s="4">
        <f>IF(OR($B141="",N141=""),"",--(N141=$B141))</f>
        <v/>
      </c>
      <c r="BD141" s="4">
        <f>IF(OR($B141="",N141=""),"",IF($B141=1,--(N141=1),""))</f>
        <v/>
      </c>
      <c r="BE141" s="4">
        <f>IF(OR($B141="",N141=""),"",IF($B141=0,--(N141=0),""))</f>
        <v/>
      </c>
      <c r="BF141" s="4">
        <f>IF(N141="","",--(N141=1))</f>
        <v/>
      </c>
    </row>
    <row r="142">
      <c r="A142" s="3" t="inlineStr">
        <is>
          <t>202032671</t>
        </is>
      </c>
      <c r="B142" s="3" t="inlineStr">
        <is>
          <t>1</t>
        </is>
      </c>
      <c r="C142" s="3" t="inlineStr">
        <is>
          <t>Direct</t>
        </is>
      </c>
      <c r="D142" s="3" t="inlineStr">
        <is>
          <t>1</t>
        </is>
      </c>
      <c r="E142" s="3" t="inlineStr">
        <is>
          <t>1</t>
        </is>
      </c>
      <c r="F142" s="3" t="inlineStr">
        <is>
          <t>1</t>
        </is>
      </c>
      <c r="G142" s="3" t="inlineStr">
        <is>
          <t>1</t>
        </is>
      </c>
      <c r="H142" s="3" t="inlineStr">
        <is>
          <t>1</t>
        </is>
      </c>
      <c r="I142" s="3" t="inlineStr">
        <is>
          <t>1</t>
        </is>
      </c>
      <c r="J142" s="3" t="inlineStr">
        <is>
          <t>1</t>
        </is>
      </c>
      <c r="K142" s="3" t="inlineStr">
        <is>
          <t>1</t>
        </is>
      </c>
      <c r="L142" s="3" t="inlineStr">
        <is>
          <t>1</t>
        </is>
      </c>
      <c r="M142" s="3" t="inlineStr">
        <is>
          <t>1</t>
        </is>
      </c>
      <c r="N142" s="3" t="inlineStr">
        <is>
          <t>1</t>
        </is>
      </c>
      <c r="O142" s="4">
        <f>IF(OR($B142="",D142=""),"",--(D142=$B142))</f>
        <v/>
      </c>
      <c r="P142" s="4">
        <f>IF(OR($B142="",D142=""),"",IF($B142=1,--(D142=1),""))</f>
        <v/>
      </c>
      <c r="Q142" s="4">
        <f>IF(OR($B142="",D142=""),"",IF($B142=0,--(D142=0),""))</f>
        <v/>
      </c>
      <c r="R142" s="4">
        <f>IF(D142="","",--(D142=1))</f>
        <v/>
      </c>
      <c r="S142" s="4">
        <f>IF(OR($B142="",E142=""),"",--(E142=$B142))</f>
        <v/>
      </c>
      <c r="T142" s="4">
        <f>IF(OR($B142="",E142=""),"",IF($B142=1,--(E142=1),""))</f>
        <v/>
      </c>
      <c r="U142" s="4">
        <f>IF(OR($B142="",E142=""),"",IF($B142=0,--(E142=0),""))</f>
        <v/>
      </c>
      <c r="V142" s="4">
        <f>IF(E142="","",--(E142=1))</f>
        <v/>
      </c>
      <c r="W142" s="4">
        <f>IF(OR($B142="",F142=""),"",--(F142=$B142))</f>
        <v/>
      </c>
      <c r="X142" s="4">
        <f>IF(OR($B142="",F142=""),"",IF($B142=1,--(F142=1),""))</f>
        <v/>
      </c>
      <c r="Y142" s="4">
        <f>IF(OR($B142="",F142=""),"",IF($B142=0,--(F142=0),""))</f>
        <v/>
      </c>
      <c r="Z142" s="4">
        <f>IF(F142="","",--(F142=1))</f>
        <v/>
      </c>
      <c r="AA142" s="4">
        <f>IF(OR($B142="",G142=""),"",--(G142=$B142))</f>
        <v/>
      </c>
      <c r="AB142" s="4">
        <f>IF(OR($B142="",G142=""),"",IF($B142=1,--(G142=1),""))</f>
        <v/>
      </c>
      <c r="AC142" s="4">
        <f>IF(OR($B142="",G142=""),"",IF($B142=0,--(G142=0),""))</f>
        <v/>
      </c>
      <c r="AD142" s="4">
        <f>IF(G142="","",--(G142=1))</f>
        <v/>
      </c>
      <c r="AE142" s="4">
        <f>IF(OR($B142="",H142=""),"",--(H142=$B142))</f>
        <v/>
      </c>
      <c r="AF142" s="4">
        <f>IF(OR($B142="",H142=""),"",IF($B142=1,--(H142=1),""))</f>
        <v/>
      </c>
      <c r="AG142" s="4">
        <f>IF(OR($B142="",H142=""),"",IF($B142=0,--(H142=0),""))</f>
        <v/>
      </c>
      <c r="AH142" s="4">
        <f>IF(H142="","",--(H142=1))</f>
        <v/>
      </c>
      <c r="AI142" s="4">
        <f>IF(OR($B142="",I142=""),"",--(I142=$B142))</f>
        <v/>
      </c>
      <c r="AJ142" s="4">
        <f>IF(OR($B142="",I142=""),"",IF($B142=1,--(I142=1),""))</f>
        <v/>
      </c>
      <c r="AK142" s="4">
        <f>IF(OR($B142="",I142=""),"",IF($B142=0,--(I142=0),""))</f>
        <v/>
      </c>
      <c r="AL142" s="4">
        <f>IF(I142="","",--(I142=1))</f>
        <v/>
      </c>
      <c r="AM142" s="4">
        <f>IF(OR($B142="",J142=""),"",--(J142=$B142))</f>
        <v/>
      </c>
      <c r="AN142" s="4">
        <f>IF(OR($B142="",J142=""),"",IF($B142=1,--(J142=1),""))</f>
        <v/>
      </c>
      <c r="AO142" s="4">
        <f>IF(OR($B142="",J142=""),"",IF($B142=0,--(J142=0),""))</f>
        <v/>
      </c>
      <c r="AP142" s="4">
        <f>IF(J142="","",--(J142=1))</f>
        <v/>
      </c>
      <c r="AQ142" s="4">
        <f>IF(OR($B142="",K142=""),"",--(K142=$B142))</f>
        <v/>
      </c>
      <c r="AR142" s="4">
        <f>IF(OR($B142="",K142=""),"",IF($B142=1,--(K142=1),""))</f>
        <v/>
      </c>
      <c r="AS142" s="4">
        <f>IF(OR($B142="",K142=""),"",IF($B142=0,--(K142=0),""))</f>
        <v/>
      </c>
      <c r="AT142" s="4">
        <f>IF(K142="","",--(K142=1))</f>
        <v/>
      </c>
      <c r="AU142" s="4">
        <f>IF(OR($B142="",L142=""),"",--(L142=$B142))</f>
        <v/>
      </c>
      <c r="AV142" s="4">
        <f>IF(OR($B142="",L142=""),"",IF($B142=1,--(L142=1),""))</f>
        <v/>
      </c>
      <c r="AW142" s="4">
        <f>IF(OR($B142="",L142=""),"",IF($B142=0,--(L142=0),""))</f>
        <v/>
      </c>
      <c r="AX142" s="4">
        <f>IF(L142="","",--(L142=1))</f>
        <v/>
      </c>
      <c r="AY142" s="4">
        <f>IF(OR($B142="",M142=""),"",--(M142=$B142))</f>
        <v/>
      </c>
      <c r="AZ142" s="4">
        <f>IF(OR($B142="",M142=""),"",IF($B142=1,--(M142=1),""))</f>
        <v/>
      </c>
      <c r="BA142" s="4">
        <f>IF(OR($B142="",M142=""),"",IF($B142=0,--(M142=0),""))</f>
        <v/>
      </c>
      <c r="BB142" s="4">
        <f>IF(M142="","",--(M142=1))</f>
        <v/>
      </c>
      <c r="BC142" s="4">
        <f>IF(OR($B142="",N142=""),"",--(N142=$B142))</f>
        <v/>
      </c>
      <c r="BD142" s="4">
        <f>IF(OR($B142="",N142=""),"",IF($B142=1,--(N142=1),""))</f>
        <v/>
      </c>
      <c r="BE142" s="4">
        <f>IF(OR($B142="",N142=""),"",IF($B142=0,--(N142=0),""))</f>
        <v/>
      </c>
      <c r="BF142" s="4">
        <f>IF(N142="","",--(N142=1))</f>
        <v/>
      </c>
    </row>
    <row r="143">
      <c r="A143" s="3" t="inlineStr">
        <is>
          <t>202034000</t>
        </is>
      </c>
      <c r="B143" s="3" t="inlineStr">
        <is>
          <t>0</t>
        </is>
      </c>
      <c r="C143" s="3" t="inlineStr">
        <is>
          <t>Direct</t>
        </is>
      </c>
      <c r="D143" s="3" t="inlineStr">
        <is>
          <t>0</t>
        </is>
      </c>
      <c r="E143" s="3" t="inlineStr">
        <is>
          <t>0</t>
        </is>
      </c>
      <c r="F143" s="3" t="inlineStr">
        <is>
          <t>0</t>
        </is>
      </c>
      <c r="G143" s="3" t="inlineStr">
        <is>
          <t>0</t>
        </is>
      </c>
      <c r="H143" s="3" t="inlineStr">
        <is>
          <t>0</t>
        </is>
      </c>
      <c r="I143" s="3" t="inlineStr">
        <is>
          <t>1</t>
        </is>
      </c>
      <c r="J143" s="3" t="inlineStr">
        <is>
          <t>1</t>
        </is>
      </c>
      <c r="K143" s="3" t="inlineStr">
        <is>
          <t>1</t>
        </is>
      </c>
      <c r="L143" s="3" t="inlineStr">
        <is>
          <t>0</t>
        </is>
      </c>
      <c r="M143" s="3" t="inlineStr">
        <is>
          <t>0</t>
        </is>
      </c>
      <c r="N143" s="3" t="inlineStr">
        <is>
          <t>1</t>
        </is>
      </c>
      <c r="O143" s="4">
        <f>IF(OR($B143="",D143=""),"",--(D143=$B143))</f>
        <v/>
      </c>
      <c r="P143" s="4">
        <f>IF(OR($B143="",D143=""),"",IF($B143=1,--(D143=1),""))</f>
        <v/>
      </c>
      <c r="Q143" s="4">
        <f>IF(OR($B143="",D143=""),"",IF($B143=0,--(D143=0),""))</f>
        <v/>
      </c>
      <c r="R143" s="4">
        <f>IF(D143="","",--(D143=1))</f>
        <v/>
      </c>
      <c r="S143" s="4">
        <f>IF(OR($B143="",E143=""),"",--(E143=$B143))</f>
        <v/>
      </c>
      <c r="T143" s="4">
        <f>IF(OR($B143="",E143=""),"",IF($B143=1,--(E143=1),""))</f>
        <v/>
      </c>
      <c r="U143" s="4">
        <f>IF(OR($B143="",E143=""),"",IF($B143=0,--(E143=0),""))</f>
        <v/>
      </c>
      <c r="V143" s="4">
        <f>IF(E143="","",--(E143=1))</f>
        <v/>
      </c>
      <c r="W143" s="4">
        <f>IF(OR($B143="",F143=""),"",--(F143=$B143))</f>
        <v/>
      </c>
      <c r="X143" s="4">
        <f>IF(OR($B143="",F143=""),"",IF($B143=1,--(F143=1),""))</f>
        <v/>
      </c>
      <c r="Y143" s="4">
        <f>IF(OR($B143="",F143=""),"",IF($B143=0,--(F143=0),""))</f>
        <v/>
      </c>
      <c r="Z143" s="4">
        <f>IF(F143="","",--(F143=1))</f>
        <v/>
      </c>
      <c r="AA143" s="4">
        <f>IF(OR($B143="",G143=""),"",--(G143=$B143))</f>
        <v/>
      </c>
      <c r="AB143" s="4">
        <f>IF(OR($B143="",G143=""),"",IF($B143=1,--(G143=1),""))</f>
        <v/>
      </c>
      <c r="AC143" s="4">
        <f>IF(OR($B143="",G143=""),"",IF($B143=0,--(G143=0),""))</f>
        <v/>
      </c>
      <c r="AD143" s="4">
        <f>IF(G143="","",--(G143=1))</f>
        <v/>
      </c>
      <c r="AE143" s="4">
        <f>IF(OR($B143="",H143=""),"",--(H143=$B143))</f>
        <v/>
      </c>
      <c r="AF143" s="4">
        <f>IF(OR($B143="",H143=""),"",IF($B143=1,--(H143=1),""))</f>
        <v/>
      </c>
      <c r="AG143" s="4">
        <f>IF(OR($B143="",H143=""),"",IF($B143=0,--(H143=0),""))</f>
        <v/>
      </c>
      <c r="AH143" s="4">
        <f>IF(H143="","",--(H143=1))</f>
        <v/>
      </c>
      <c r="AI143" s="4">
        <f>IF(OR($B143="",I143=""),"",--(I143=$B143))</f>
        <v/>
      </c>
      <c r="AJ143" s="4">
        <f>IF(OR($B143="",I143=""),"",IF($B143=1,--(I143=1),""))</f>
        <v/>
      </c>
      <c r="AK143" s="4">
        <f>IF(OR($B143="",I143=""),"",IF($B143=0,--(I143=0),""))</f>
        <v/>
      </c>
      <c r="AL143" s="4">
        <f>IF(I143="","",--(I143=1))</f>
        <v/>
      </c>
      <c r="AM143" s="4">
        <f>IF(OR($B143="",J143=""),"",--(J143=$B143))</f>
        <v/>
      </c>
      <c r="AN143" s="4">
        <f>IF(OR($B143="",J143=""),"",IF($B143=1,--(J143=1),""))</f>
        <v/>
      </c>
      <c r="AO143" s="4">
        <f>IF(OR($B143="",J143=""),"",IF($B143=0,--(J143=0),""))</f>
        <v/>
      </c>
      <c r="AP143" s="4">
        <f>IF(J143="","",--(J143=1))</f>
        <v/>
      </c>
      <c r="AQ143" s="4">
        <f>IF(OR($B143="",K143=""),"",--(K143=$B143))</f>
        <v/>
      </c>
      <c r="AR143" s="4">
        <f>IF(OR($B143="",K143=""),"",IF($B143=1,--(K143=1),""))</f>
        <v/>
      </c>
      <c r="AS143" s="4">
        <f>IF(OR($B143="",K143=""),"",IF($B143=0,--(K143=0),""))</f>
        <v/>
      </c>
      <c r="AT143" s="4">
        <f>IF(K143="","",--(K143=1))</f>
        <v/>
      </c>
      <c r="AU143" s="4">
        <f>IF(OR($B143="",L143=""),"",--(L143=$B143))</f>
        <v/>
      </c>
      <c r="AV143" s="4">
        <f>IF(OR($B143="",L143=""),"",IF($B143=1,--(L143=1),""))</f>
        <v/>
      </c>
      <c r="AW143" s="4">
        <f>IF(OR($B143="",L143=""),"",IF($B143=0,--(L143=0),""))</f>
        <v/>
      </c>
      <c r="AX143" s="4">
        <f>IF(L143="","",--(L143=1))</f>
        <v/>
      </c>
      <c r="AY143" s="4">
        <f>IF(OR($B143="",M143=""),"",--(M143=$B143))</f>
        <v/>
      </c>
      <c r="AZ143" s="4">
        <f>IF(OR($B143="",M143=""),"",IF($B143=1,--(M143=1),""))</f>
        <v/>
      </c>
      <c r="BA143" s="4">
        <f>IF(OR($B143="",M143=""),"",IF($B143=0,--(M143=0),""))</f>
        <v/>
      </c>
      <c r="BB143" s="4">
        <f>IF(M143="","",--(M143=1))</f>
        <v/>
      </c>
      <c r="BC143" s="4">
        <f>IF(OR($B143="",N143=""),"",--(N143=$B143))</f>
        <v/>
      </c>
      <c r="BD143" s="4">
        <f>IF(OR($B143="",N143=""),"",IF($B143=1,--(N143=1),""))</f>
        <v/>
      </c>
      <c r="BE143" s="4">
        <f>IF(OR($B143="",N143=""),"",IF($B143=0,--(N143=0),""))</f>
        <v/>
      </c>
      <c r="BF143" s="4">
        <f>IF(N143="","",--(N143=1))</f>
        <v/>
      </c>
    </row>
    <row r="144">
      <c r="A144" s="3" t="inlineStr">
        <is>
          <t>202034027</t>
        </is>
      </c>
      <c r="B144" s="3" t="inlineStr">
        <is>
          <t>0</t>
        </is>
      </c>
      <c r="C144" s="3" t="inlineStr">
        <is>
          <t>RQ</t>
        </is>
      </c>
      <c r="D144" s="3" t="inlineStr">
        <is>
          <t>0</t>
        </is>
      </c>
      <c r="E144" s="3" t="inlineStr">
        <is>
          <t>1</t>
        </is>
      </c>
      <c r="F144" s="3" t="inlineStr">
        <is>
          <t>0</t>
        </is>
      </c>
      <c r="G144" s="3" t="inlineStr">
        <is>
          <t>0</t>
        </is>
      </c>
      <c r="H144" s="3" t="inlineStr">
        <is>
          <t>0</t>
        </is>
      </c>
      <c r="I144" s="3" t="inlineStr">
        <is>
          <t>1</t>
        </is>
      </c>
      <c r="J144" s="3" t="inlineStr">
        <is>
          <t>0</t>
        </is>
      </c>
      <c r="K144" s="3" t="inlineStr">
        <is>
          <t>0</t>
        </is>
      </c>
      <c r="L144" s="3" t="inlineStr">
        <is>
          <t>1</t>
        </is>
      </c>
      <c r="M144" s="3" t="inlineStr">
        <is>
          <t>0</t>
        </is>
      </c>
      <c r="N144" s="3" t="inlineStr">
        <is>
          <t>1</t>
        </is>
      </c>
      <c r="O144" s="4">
        <f>IF(OR($B144="",D144=""),"",--(D144=$B144))</f>
        <v/>
      </c>
      <c r="P144" s="4">
        <f>IF(OR($B144="",D144=""),"",IF($B144=1,--(D144=1),""))</f>
        <v/>
      </c>
      <c r="Q144" s="4">
        <f>IF(OR($B144="",D144=""),"",IF($B144=0,--(D144=0),""))</f>
        <v/>
      </c>
      <c r="R144" s="4">
        <f>IF(D144="","",--(D144=1))</f>
        <v/>
      </c>
      <c r="S144" s="4">
        <f>IF(OR($B144="",E144=""),"",--(E144=$B144))</f>
        <v/>
      </c>
      <c r="T144" s="4">
        <f>IF(OR($B144="",E144=""),"",IF($B144=1,--(E144=1),""))</f>
        <v/>
      </c>
      <c r="U144" s="4">
        <f>IF(OR($B144="",E144=""),"",IF($B144=0,--(E144=0),""))</f>
        <v/>
      </c>
      <c r="V144" s="4">
        <f>IF(E144="","",--(E144=1))</f>
        <v/>
      </c>
      <c r="W144" s="4">
        <f>IF(OR($B144="",F144=""),"",--(F144=$B144))</f>
        <v/>
      </c>
      <c r="X144" s="4">
        <f>IF(OR($B144="",F144=""),"",IF($B144=1,--(F144=1),""))</f>
        <v/>
      </c>
      <c r="Y144" s="4">
        <f>IF(OR($B144="",F144=""),"",IF($B144=0,--(F144=0),""))</f>
        <v/>
      </c>
      <c r="Z144" s="4">
        <f>IF(F144="","",--(F144=1))</f>
        <v/>
      </c>
      <c r="AA144" s="4">
        <f>IF(OR($B144="",G144=""),"",--(G144=$B144))</f>
        <v/>
      </c>
      <c r="AB144" s="4">
        <f>IF(OR($B144="",G144=""),"",IF($B144=1,--(G144=1),""))</f>
        <v/>
      </c>
      <c r="AC144" s="4">
        <f>IF(OR($B144="",G144=""),"",IF($B144=0,--(G144=0),""))</f>
        <v/>
      </c>
      <c r="AD144" s="4">
        <f>IF(G144="","",--(G144=1))</f>
        <v/>
      </c>
      <c r="AE144" s="4">
        <f>IF(OR($B144="",H144=""),"",--(H144=$B144))</f>
        <v/>
      </c>
      <c r="AF144" s="4">
        <f>IF(OR($B144="",H144=""),"",IF($B144=1,--(H144=1),""))</f>
        <v/>
      </c>
      <c r="AG144" s="4">
        <f>IF(OR($B144="",H144=""),"",IF($B144=0,--(H144=0),""))</f>
        <v/>
      </c>
      <c r="AH144" s="4">
        <f>IF(H144="","",--(H144=1))</f>
        <v/>
      </c>
      <c r="AI144" s="4">
        <f>IF(OR($B144="",I144=""),"",--(I144=$B144))</f>
        <v/>
      </c>
      <c r="AJ144" s="4">
        <f>IF(OR($B144="",I144=""),"",IF($B144=1,--(I144=1),""))</f>
        <v/>
      </c>
      <c r="AK144" s="4">
        <f>IF(OR($B144="",I144=""),"",IF($B144=0,--(I144=0),""))</f>
        <v/>
      </c>
      <c r="AL144" s="4">
        <f>IF(I144="","",--(I144=1))</f>
        <v/>
      </c>
      <c r="AM144" s="4">
        <f>IF(OR($B144="",J144=""),"",--(J144=$B144))</f>
        <v/>
      </c>
      <c r="AN144" s="4">
        <f>IF(OR($B144="",J144=""),"",IF($B144=1,--(J144=1),""))</f>
        <v/>
      </c>
      <c r="AO144" s="4">
        <f>IF(OR($B144="",J144=""),"",IF($B144=0,--(J144=0),""))</f>
        <v/>
      </c>
      <c r="AP144" s="4">
        <f>IF(J144="","",--(J144=1))</f>
        <v/>
      </c>
      <c r="AQ144" s="4">
        <f>IF(OR($B144="",K144=""),"",--(K144=$B144))</f>
        <v/>
      </c>
      <c r="AR144" s="4">
        <f>IF(OR($B144="",K144=""),"",IF($B144=1,--(K144=1),""))</f>
        <v/>
      </c>
      <c r="AS144" s="4">
        <f>IF(OR($B144="",K144=""),"",IF($B144=0,--(K144=0),""))</f>
        <v/>
      </c>
      <c r="AT144" s="4">
        <f>IF(K144="","",--(K144=1))</f>
        <v/>
      </c>
      <c r="AU144" s="4">
        <f>IF(OR($B144="",L144=""),"",--(L144=$B144))</f>
        <v/>
      </c>
      <c r="AV144" s="4">
        <f>IF(OR($B144="",L144=""),"",IF($B144=1,--(L144=1),""))</f>
        <v/>
      </c>
      <c r="AW144" s="4">
        <f>IF(OR($B144="",L144=""),"",IF($B144=0,--(L144=0),""))</f>
        <v/>
      </c>
      <c r="AX144" s="4">
        <f>IF(L144="","",--(L144=1))</f>
        <v/>
      </c>
      <c r="AY144" s="4">
        <f>IF(OR($B144="",M144=""),"",--(M144=$B144))</f>
        <v/>
      </c>
      <c r="AZ144" s="4">
        <f>IF(OR($B144="",M144=""),"",IF($B144=1,--(M144=1),""))</f>
        <v/>
      </c>
      <c r="BA144" s="4">
        <f>IF(OR($B144="",M144=""),"",IF($B144=0,--(M144=0),""))</f>
        <v/>
      </c>
      <c r="BB144" s="4">
        <f>IF(M144="","",--(M144=1))</f>
        <v/>
      </c>
      <c r="BC144" s="4">
        <f>IF(OR($B144="",N144=""),"",--(N144=$B144))</f>
        <v/>
      </c>
      <c r="BD144" s="4">
        <f>IF(OR($B144="",N144=""),"",IF($B144=1,--(N144=1),""))</f>
        <v/>
      </c>
      <c r="BE144" s="4">
        <f>IF(OR($B144="",N144=""),"",IF($B144=0,--(N144=0),""))</f>
        <v/>
      </c>
      <c r="BF144" s="4">
        <f>IF(N144="","",--(N144=1))</f>
        <v/>
      </c>
    </row>
    <row r="145">
      <c r="A145" s="3" t="inlineStr">
        <is>
          <t>20203415</t>
        </is>
      </c>
      <c r="B145" s="3" t="inlineStr">
        <is>
          <t>0</t>
        </is>
      </c>
      <c r="C145" s="3" t="inlineStr">
        <is>
          <t>Direct</t>
        </is>
      </c>
      <c r="D145" s="3" t="inlineStr">
        <is>
          <t>0</t>
        </is>
      </c>
      <c r="E145" s="3" t="inlineStr">
        <is>
          <t>0</t>
        </is>
      </c>
      <c r="F145" s="3" t="inlineStr">
        <is>
          <t>0</t>
        </is>
      </c>
      <c r="G145" s="3" t="inlineStr">
        <is>
          <t>0</t>
        </is>
      </c>
      <c r="H145" s="3" t="inlineStr">
        <is>
          <t>0</t>
        </is>
      </c>
      <c r="I145" s="3" t="inlineStr">
        <is>
          <t>0</t>
        </is>
      </c>
      <c r="J145" s="3" t="inlineStr">
        <is>
          <t>0</t>
        </is>
      </c>
      <c r="K145" s="3" t="inlineStr">
        <is>
          <t>0</t>
        </is>
      </c>
      <c r="L145" s="3" t="inlineStr">
        <is>
          <t>0</t>
        </is>
      </c>
      <c r="M145" s="3" t="inlineStr">
        <is>
          <t>0</t>
        </is>
      </c>
      <c r="N145" s="3" t="inlineStr">
        <is>
          <t>0</t>
        </is>
      </c>
      <c r="O145" s="4">
        <f>IF(OR($B145="",D145=""),"",--(D145=$B145))</f>
        <v/>
      </c>
      <c r="P145" s="4">
        <f>IF(OR($B145="",D145=""),"",IF($B145=1,--(D145=1),""))</f>
        <v/>
      </c>
      <c r="Q145" s="4">
        <f>IF(OR($B145="",D145=""),"",IF($B145=0,--(D145=0),""))</f>
        <v/>
      </c>
      <c r="R145" s="4">
        <f>IF(D145="","",--(D145=1))</f>
        <v/>
      </c>
      <c r="S145" s="4">
        <f>IF(OR($B145="",E145=""),"",--(E145=$B145))</f>
        <v/>
      </c>
      <c r="T145" s="4">
        <f>IF(OR($B145="",E145=""),"",IF($B145=1,--(E145=1),""))</f>
        <v/>
      </c>
      <c r="U145" s="4">
        <f>IF(OR($B145="",E145=""),"",IF($B145=0,--(E145=0),""))</f>
        <v/>
      </c>
      <c r="V145" s="4">
        <f>IF(E145="","",--(E145=1))</f>
        <v/>
      </c>
      <c r="W145" s="4">
        <f>IF(OR($B145="",F145=""),"",--(F145=$B145))</f>
        <v/>
      </c>
      <c r="X145" s="4">
        <f>IF(OR($B145="",F145=""),"",IF($B145=1,--(F145=1),""))</f>
        <v/>
      </c>
      <c r="Y145" s="4">
        <f>IF(OR($B145="",F145=""),"",IF($B145=0,--(F145=0),""))</f>
        <v/>
      </c>
      <c r="Z145" s="4">
        <f>IF(F145="","",--(F145=1))</f>
        <v/>
      </c>
      <c r="AA145" s="4">
        <f>IF(OR($B145="",G145=""),"",--(G145=$B145))</f>
        <v/>
      </c>
      <c r="AB145" s="4">
        <f>IF(OR($B145="",G145=""),"",IF($B145=1,--(G145=1),""))</f>
        <v/>
      </c>
      <c r="AC145" s="4">
        <f>IF(OR($B145="",G145=""),"",IF($B145=0,--(G145=0),""))</f>
        <v/>
      </c>
      <c r="AD145" s="4">
        <f>IF(G145="","",--(G145=1))</f>
        <v/>
      </c>
      <c r="AE145" s="4">
        <f>IF(OR($B145="",H145=""),"",--(H145=$B145))</f>
        <v/>
      </c>
      <c r="AF145" s="4">
        <f>IF(OR($B145="",H145=""),"",IF($B145=1,--(H145=1),""))</f>
        <v/>
      </c>
      <c r="AG145" s="4">
        <f>IF(OR($B145="",H145=""),"",IF($B145=0,--(H145=0),""))</f>
        <v/>
      </c>
      <c r="AH145" s="4">
        <f>IF(H145="","",--(H145=1))</f>
        <v/>
      </c>
      <c r="AI145" s="4">
        <f>IF(OR($B145="",I145=""),"",--(I145=$B145))</f>
        <v/>
      </c>
      <c r="AJ145" s="4">
        <f>IF(OR($B145="",I145=""),"",IF($B145=1,--(I145=1),""))</f>
        <v/>
      </c>
      <c r="AK145" s="4">
        <f>IF(OR($B145="",I145=""),"",IF($B145=0,--(I145=0),""))</f>
        <v/>
      </c>
      <c r="AL145" s="4">
        <f>IF(I145="","",--(I145=1))</f>
        <v/>
      </c>
      <c r="AM145" s="4">
        <f>IF(OR($B145="",J145=""),"",--(J145=$B145))</f>
        <v/>
      </c>
      <c r="AN145" s="4">
        <f>IF(OR($B145="",J145=""),"",IF($B145=1,--(J145=1),""))</f>
        <v/>
      </c>
      <c r="AO145" s="4">
        <f>IF(OR($B145="",J145=""),"",IF($B145=0,--(J145=0),""))</f>
        <v/>
      </c>
      <c r="AP145" s="4">
        <f>IF(J145="","",--(J145=1))</f>
        <v/>
      </c>
      <c r="AQ145" s="4">
        <f>IF(OR($B145="",K145=""),"",--(K145=$B145))</f>
        <v/>
      </c>
      <c r="AR145" s="4">
        <f>IF(OR($B145="",K145=""),"",IF($B145=1,--(K145=1),""))</f>
        <v/>
      </c>
      <c r="AS145" s="4">
        <f>IF(OR($B145="",K145=""),"",IF($B145=0,--(K145=0),""))</f>
        <v/>
      </c>
      <c r="AT145" s="4">
        <f>IF(K145="","",--(K145=1))</f>
        <v/>
      </c>
      <c r="AU145" s="4">
        <f>IF(OR($B145="",L145=""),"",--(L145=$B145))</f>
        <v/>
      </c>
      <c r="AV145" s="4">
        <f>IF(OR($B145="",L145=""),"",IF($B145=1,--(L145=1),""))</f>
        <v/>
      </c>
      <c r="AW145" s="4">
        <f>IF(OR($B145="",L145=""),"",IF($B145=0,--(L145=0),""))</f>
        <v/>
      </c>
      <c r="AX145" s="4">
        <f>IF(L145="","",--(L145=1))</f>
        <v/>
      </c>
      <c r="AY145" s="4">
        <f>IF(OR($B145="",M145=""),"",--(M145=$B145))</f>
        <v/>
      </c>
      <c r="AZ145" s="4">
        <f>IF(OR($B145="",M145=""),"",IF($B145=1,--(M145=1),""))</f>
        <v/>
      </c>
      <c r="BA145" s="4">
        <f>IF(OR($B145="",M145=""),"",IF($B145=0,--(M145=0),""))</f>
        <v/>
      </c>
      <c r="BB145" s="4">
        <f>IF(M145="","",--(M145=1))</f>
        <v/>
      </c>
      <c r="BC145" s="4">
        <f>IF(OR($B145="",N145=""),"",--(N145=$B145))</f>
        <v/>
      </c>
      <c r="BD145" s="4">
        <f>IF(OR($B145="",N145=""),"",IF($B145=1,--(N145=1),""))</f>
        <v/>
      </c>
      <c r="BE145" s="4">
        <f>IF(OR($B145="",N145=""),"",IF($B145=0,--(N145=0),""))</f>
        <v/>
      </c>
      <c r="BF145" s="4">
        <f>IF(N145="","",--(N145=1))</f>
        <v/>
      </c>
    </row>
    <row r="146">
      <c r="A146" s="3" t="inlineStr">
        <is>
          <t>202034532</t>
        </is>
      </c>
      <c r="B146" s="3" t="inlineStr">
        <is>
          <t>1</t>
        </is>
      </c>
      <c r="C146" s="3" t="inlineStr">
        <is>
          <t>Direct</t>
        </is>
      </c>
      <c r="D146" s="3" t="inlineStr">
        <is>
          <t>1</t>
        </is>
      </c>
      <c r="E146" s="3" t="inlineStr">
        <is>
          <t>0</t>
        </is>
      </c>
      <c r="F146" s="3" t="inlineStr">
        <is>
          <t>1</t>
        </is>
      </c>
      <c r="G146" s="3" t="inlineStr">
        <is>
          <t>1</t>
        </is>
      </c>
      <c r="H146" s="3" t="inlineStr">
        <is>
          <t>1</t>
        </is>
      </c>
      <c r="I146" s="3" t="inlineStr">
        <is>
          <t>1</t>
        </is>
      </c>
      <c r="J146" s="3" t="inlineStr">
        <is>
          <t>1</t>
        </is>
      </c>
      <c r="K146" s="3" t="inlineStr">
        <is>
          <t>1</t>
        </is>
      </c>
      <c r="L146" s="3" t="inlineStr">
        <is>
          <t>1</t>
        </is>
      </c>
      <c r="M146" s="3" t="inlineStr">
        <is>
          <t>1</t>
        </is>
      </c>
      <c r="N146" s="3" t="inlineStr">
        <is>
          <t>1</t>
        </is>
      </c>
      <c r="O146" s="4">
        <f>IF(OR($B146="",D146=""),"",--(D146=$B146))</f>
        <v/>
      </c>
      <c r="P146" s="4">
        <f>IF(OR($B146="",D146=""),"",IF($B146=1,--(D146=1),""))</f>
        <v/>
      </c>
      <c r="Q146" s="4">
        <f>IF(OR($B146="",D146=""),"",IF($B146=0,--(D146=0),""))</f>
        <v/>
      </c>
      <c r="R146" s="4">
        <f>IF(D146="","",--(D146=1))</f>
        <v/>
      </c>
      <c r="S146" s="4">
        <f>IF(OR($B146="",E146=""),"",--(E146=$B146))</f>
        <v/>
      </c>
      <c r="T146" s="4">
        <f>IF(OR($B146="",E146=""),"",IF($B146=1,--(E146=1),""))</f>
        <v/>
      </c>
      <c r="U146" s="4">
        <f>IF(OR($B146="",E146=""),"",IF($B146=0,--(E146=0),""))</f>
        <v/>
      </c>
      <c r="V146" s="4">
        <f>IF(E146="","",--(E146=1))</f>
        <v/>
      </c>
      <c r="W146" s="4">
        <f>IF(OR($B146="",F146=""),"",--(F146=$B146))</f>
        <v/>
      </c>
      <c r="X146" s="4">
        <f>IF(OR($B146="",F146=""),"",IF($B146=1,--(F146=1),""))</f>
        <v/>
      </c>
      <c r="Y146" s="4">
        <f>IF(OR($B146="",F146=""),"",IF($B146=0,--(F146=0),""))</f>
        <v/>
      </c>
      <c r="Z146" s="4">
        <f>IF(F146="","",--(F146=1))</f>
        <v/>
      </c>
      <c r="AA146" s="4">
        <f>IF(OR($B146="",G146=""),"",--(G146=$B146))</f>
        <v/>
      </c>
      <c r="AB146" s="4">
        <f>IF(OR($B146="",G146=""),"",IF($B146=1,--(G146=1),""))</f>
        <v/>
      </c>
      <c r="AC146" s="4">
        <f>IF(OR($B146="",G146=""),"",IF($B146=0,--(G146=0),""))</f>
        <v/>
      </c>
      <c r="AD146" s="4">
        <f>IF(G146="","",--(G146=1))</f>
        <v/>
      </c>
      <c r="AE146" s="4">
        <f>IF(OR($B146="",H146=""),"",--(H146=$B146))</f>
        <v/>
      </c>
      <c r="AF146" s="4">
        <f>IF(OR($B146="",H146=""),"",IF($B146=1,--(H146=1),""))</f>
        <v/>
      </c>
      <c r="AG146" s="4">
        <f>IF(OR($B146="",H146=""),"",IF($B146=0,--(H146=0),""))</f>
        <v/>
      </c>
      <c r="AH146" s="4">
        <f>IF(H146="","",--(H146=1))</f>
        <v/>
      </c>
      <c r="AI146" s="4">
        <f>IF(OR($B146="",I146=""),"",--(I146=$B146))</f>
        <v/>
      </c>
      <c r="AJ146" s="4">
        <f>IF(OR($B146="",I146=""),"",IF($B146=1,--(I146=1),""))</f>
        <v/>
      </c>
      <c r="AK146" s="4">
        <f>IF(OR($B146="",I146=""),"",IF($B146=0,--(I146=0),""))</f>
        <v/>
      </c>
      <c r="AL146" s="4">
        <f>IF(I146="","",--(I146=1))</f>
        <v/>
      </c>
      <c r="AM146" s="4">
        <f>IF(OR($B146="",J146=""),"",--(J146=$B146))</f>
        <v/>
      </c>
      <c r="AN146" s="4">
        <f>IF(OR($B146="",J146=""),"",IF($B146=1,--(J146=1),""))</f>
        <v/>
      </c>
      <c r="AO146" s="4">
        <f>IF(OR($B146="",J146=""),"",IF($B146=0,--(J146=0),""))</f>
        <v/>
      </c>
      <c r="AP146" s="4">
        <f>IF(J146="","",--(J146=1))</f>
        <v/>
      </c>
      <c r="AQ146" s="4">
        <f>IF(OR($B146="",K146=""),"",--(K146=$B146))</f>
        <v/>
      </c>
      <c r="AR146" s="4">
        <f>IF(OR($B146="",K146=""),"",IF($B146=1,--(K146=1),""))</f>
        <v/>
      </c>
      <c r="AS146" s="4">
        <f>IF(OR($B146="",K146=""),"",IF($B146=0,--(K146=0),""))</f>
        <v/>
      </c>
      <c r="AT146" s="4">
        <f>IF(K146="","",--(K146=1))</f>
        <v/>
      </c>
      <c r="AU146" s="4">
        <f>IF(OR($B146="",L146=""),"",--(L146=$B146))</f>
        <v/>
      </c>
      <c r="AV146" s="4">
        <f>IF(OR($B146="",L146=""),"",IF($B146=1,--(L146=1),""))</f>
        <v/>
      </c>
      <c r="AW146" s="4">
        <f>IF(OR($B146="",L146=""),"",IF($B146=0,--(L146=0),""))</f>
        <v/>
      </c>
      <c r="AX146" s="4">
        <f>IF(L146="","",--(L146=1))</f>
        <v/>
      </c>
      <c r="AY146" s="4">
        <f>IF(OR($B146="",M146=""),"",--(M146=$B146))</f>
        <v/>
      </c>
      <c r="AZ146" s="4">
        <f>IF(OR($B146="",M146=""),"",IF($B146=1,--(M146=1),""))</f>
        <v/>
      </c>
      <c r="BA146" s="4">
        <f>IF(OR($B146="",M146=""),"",IF($B146=0,--(M146=0),""))</f>
        <v/>
      </c>
      <c r="BB146" s="4">
        <f>IF(M146="","",--(M146=1))</f>
        <v/>
      </c>
      <c r="BC146" s="4">
        <f>IF(OR($B146="",N146=""),"",--(N146=$B146))</f>
        <v/>
      </c>
      <c r="BD146" s="4">
        <f>IF(OR($B146="",N146=""),"",IF($B146=1,--(N146=1),""))</f>
        <v/>
      </c>
      <c r="BE146" s="4">
        <f>IF(OR($B146="",N146=""),"",IF($B146=0,--(N146=0),""))</f>
        <v/>
      </c>
      <c r="BF146" s="4">
        <f>IF(N146="","",--(N146=1))</f>
        <v/>
      </c>
    </row>
    <row r="147">
      <c r="A147" s="3" t="inlineStr">
        <is>
          <t>202034535</t>
        </is>
      </c>
      <c r="B147" s="3" t="inlineStr">
        <is>
          <t>0</t>
        </is>
      </c>
      <c r="C147" s="3" t="inlineStr">
        <is>
          <t>Direct</t>
        </is>
      </c>
      <c r="D147" s="3" t="inlineStr">
        <is>
          <t>0</t>
        </is>
      </c>
      <c r="E147" s="3" t="inlineStr">
        <is>
          <t>0</t>
        </is>
      </c>
      <c r="F147" s="3" t="inlineStr">
        <is>
          <t>0</t>
        </is>
      </c>
      <c r="G147" s="3" t="inlineStr">
        <is>
          <t>0</t>
        </is>
      </c>
      <c r="H147" s="3" t="inlineStr">
        <is>
          <t>0</t>
        </is>
      </c>
      <c r="I147" s="3" t="inlineStr">
        <is>
          <t>0</t>
        </is>
      </c>
      <c r="J147" s="3" t="inlineStr">
        <is>
          <t>1</t>
        </is>
      </c>
      <c r="K147" s="3" t="inlineStr">
        <is>
          <t>0</t>
        </is>
      </c>
      <c r="L147" s="3" t="inlineStr">
        <is>
          <t>0</t>
        </is>
      </c>
      <c r="M147" s="3" t="inlineStr">
        <is>
          <t>1</t>
        </is>
      </c>
      <c r="N147" s="3" t="inlineStr">
        <is>
          <t>1</t>
        </is>
      </c>
      <c r="O147" s="4">
        <f>IF(OR($B147="",D147=""),"",--(D147=$B147))</f>
        <v/>
      </c>
      <c r="P147" s="4">
        <f>IF(OR($B147="",D147=""),"",IF($B147=1,--(D147=1),""))</f>
        <v/>
      </c>
      <c r="Q147" s="4">
        <f>IF(OR($B147="",D147=""),"",IF($B147=0,--(D147=0),""))</f>
        <v/>
      </c>
      <c r="R147" s="4">
        <f>IF(D147="","",--(D147=1))</f>
        <v/>
      </c>
      <c r="S147" s="4">
        <f>IF(OR($B147="",E147=""),"",--(E147=$B147))</f>
        <v/>
      </c>
      <c r="T147" s="4">
        <f>IF(OR($B147="",E147=""),"",IF($B147=1,--(E147=1),""))</f>
        <v/>
      </c>
      <c r="U147" s="4">
        <f>IF(OR($B147="",E147=""),"",IF($B147=0,--(E147=0),""))</f>
        <v/>
      </c>
      <c r="V147" s="4">
        <f>IF(E147="","",--(E147=1))</f>
        <v/>
      </c>
      <c r="W147" s="4">
        <f>IF(OR($B147="",F147=""),"",--(F147=$B147))</f>
        <v/>
      </c>
      <c r="X147" s="4">
        <f>IF(OR($B147="",F147=""),"",IF($B147=1,--(F147=1),""))</f>
        <v/>
      </c>
      <c r="Y147" s="4">
        <f>IF(OR($B147="",F147=""),"",IF($B147=0,--(F147=0),""))</f>
        <v/>
      </c>
      <c r="Z147" s="4">
        <f>IF(F147="","",--(F147=1))</f>
        <v/>
      </c>
      <c r="AA147" s="4">
        <f>IF(OR($B147="",G147=""),"",--(G147=$B147))</f>
        <v/>
      </c>
      <c r="AB147" s="4">
        <f>IF(OR($B147="",G147=""),"",IF($B147=1,--(G147=1),""))</f>
        <v/>
      </c>
      <c r="AC147" s="4">
        <f>IF(OR($B147="",G147=""),"",IF($B147=0,--(G147=0),""))</f>
        <v/>
      </c>
      <c r="AD147" s="4">
        <f>IF(G147="","",--(G147=1))</f>
        <v/>
      </c>
      <c r="AE147" s="4">
        <f>IF(OR($B147="",H147=""),"",--(H147=$B147))</f>
        <v/>
      </c>
      <c r="AF147" s="4">
        <f>IF(OR($B147="",H147=""),"",IF($B147=1,--(H147=1),""))</f>
        <v/>
      </c>
      <c r="AG147" s="4">
        <f>IF(OR($B147="",H147=""),"",IF($B147=0,--(H147=0),""))</f>
        <v/>
      </c>
      <c r="AH147" s="4">
        <f>IF(H147="","",--(H147=1))</f>
        <v/>
      </c>
      <c r="AI147" s="4">
        <f>IF(OR($B147="",I147=""),"",--(I147=$B147))</f>
        <v/>
      </c>
      <c r="AJ147" s="4">
        <f>IF(OR($B147="",I147=""),"",IF($B147=1,--(I147=1),""))</f>
        <v/>
      </c>
      <c r="AK147" s="4">
        <f>IF(OR($B147="",I147=""),"",IF($B147=0,--(I147=0),""))</f>
        <v/>
      </c>
      <c r="AL147" s="4">
        <f>IF(I147="","",--(I147=1))</f>
        <v/>
      </c>
      <c r="AM147" s="4">
        <f>IF(OR($B147="",J147=""),"",--(J147=$B147))</f>
        <v/>
      </c>
      <c r="AN147" s="4">
        <f>IF(OR($B147="",J147=""),"",IF($B147=1,--(J147=1),""))</f>
        <v/>
      </c>
      <c r="AO147" s="4">
        <f>IF(OR($B147="",J147=""),"",IF($B147=0,--(J147=0),""))</f>
        <v/>
      </c>
      <c r="AP147" s="4">
        <f>IF(J147="","",--(J147=1))</f>
        <v/>
      </c>
      <c r="AQ147" s="4">
        <f>IF(OR($B147="",K147=""),"",--(K147=$B147))</f>
        <v/>
      </c>
      <c r="AR147" s="4">
        <f>IF(OR($B147="",K147=""),"",IF($B147=1,--(K147=1),""))</f>
        <v/>
      </c>
      <c r="AS147" s="4">
        <f>IF(OR($B147="",K147=""),"",IF($B147=0,--(K147=0),""))</f>
        <v/>
      </c>
      <c r="AT147" s="4">
        <f>IF(K147="","",--(K147=1))</f>
        <v/>
      </c>
      <c r="AU147" s="4">
        <f>IF(OR($B147="",L147=""),"",--(L147=$B147))</f>
        <v/>
      </c>
      <c r="AV147" s="4">
        <f>IF(OR($B147="",L147=""),"",IF($B147=1,--(L147=1),""))</f>
        <v/>
      </c>
      <c r="AW147" s="4">
        <f>IF(OR($B147="",L147=""),"",IF($B147=0,--(L147=0),""))</f>
        <v/>
      </c>
      <c r="AX147" s="4">
        <f>IF(L147="","",--(L147=1))</f>
        <v/>
      </c>
      <c r="AY147" s="4">
        <f>IF(OR($B147="",M147=""),"",--(M147=$B147))</f>
        <v/>
      </c>
      <c r="AZ147" s="4">
        <f>IF(OR($B147="",M147=""),"",IF($B147=1,--(M147=1),""))</f>
        <v/>
      </c>
      <c r="BA147" s="4">
        <f>IF(OR($B147="",M147=""),"",IF($B147=0,--(M147=0),""))</f>
        <v/>
      </c>
      <c r="BB147" s="4">
        <f>IF(M147="","",--(M147=1))</f>
        <v/>
      </c>
      <c r="BC147" s="4">
        <f>IF(OR($B147="",N147=""),"",--(N147=$B147))</f>
        <v/>
      </c>
      <c r="BD147" s="4">
        <f>IF(OR($B147="",N147=""),"",IF($B147=1,--(N147=1),""))</f>
        <v/>
      </c>
      <c r="BE147" s="4">
        <f>IF(OR($B147="",N147=""),"",IF($B147=0,--(N147=0),""))</f>
        <v/>
      </c>
      <c r="BF147" s="4">
        <f>IF(N147="","",--(N147=1))</f>
        <v/>
      </c>
    </row>
    <row r="148">
      <c r="A148" s="3" t="inlineStr">
        <is>
          <t>202034992</t>
        </is>
      </c>
      <c r="B148" s="3" t="inlineStr">
        <is>
          <t>1</t>
        </is>
      </c>
      <c r="C148" s="3" t="inlineStr">
        <is>
          <t>Direct</t>
        </is>
      </c>
      <c r="D148" s="3" t="inlineStr">
        <is>
          <t>1</t>
        </is>
      </c>
      <c r="E148" s="3" t="inlineStr">
        <is>
          <t>0</t>
        </is>
      </c>
      <c r="F148" s="3" t="inlineStr">
        <is>
          <t>1</t>
        </is>
      </c>
      <c r="G148" s="3" t="inlineStr">
        <is>
          <t>1</t>
        </is>
      </c>
      <c r="H148" s="3" t="inlineStr">
        <is>
          <t>1</t>
        </is>
      </c>
      <c r="I148" s="3" t="inlineStr">
        <is>
          <t>1</t>
        </is>
      </c>
      <c r="J148" s="3" t="inlineStr">
        <is>
          <t>1</t>
        </is>
      </c>
      <c r="K148" s="3" t="inlineStr">
        <is>
          <t>1</t>
        </is>
      </c>
      <c r="L148" s="3" t="inlineStr">
        <is>
          <t>1</t>
        </is>
      </c>
      <c r="M148" s="3" t="inlineStr">
        <is>
          <t>1</t>
        </is>
      </c>
      <c r="N148" s="3" t="inlineStr">
        <is>
          <t>1</t>
        </is>
      </c>
      <c r="O148" s="4">
        <f>IF(OR($B148="",D148=""),"",--(D148=$B148))</f>
        <v/>
      </c>
      <c r="P148" s="4">
        <f>IF(OR($B148="",D148=""),"",IF($B148=1,--(D148=1),""))</f>
        <v/>
      </c>
      <c r="Q148" s="4">
        <f>IF(OR($B148="",D148=""),"",IF($B148=0,--(D148=0),""))</f>
        <v/>
      </c>
      <c r="R148" s="4">
        <f>IF(D148="","",--(D148=1))</f>
        <v/>
      </c>
      <c r="S148" s="4">
        <f>IF(OR($B148="",E148=""),"",--(E148=$B148))</f>
        <v/>
      </c>
      <c r="T148" s="4">
        <f>IF(OR($B148="",E148=""),"",IF($B148=1,--(E148=1),""))</f>
        <v/>
      </c>
      <c r="U148" s="4">
        <f>IF(OR($B148="",E148=""),"",IF($B148=0,--(E148=0),""))</f>
        <v/>
      </c>
      <c r="V148" s="4">
        <f>IF(E148="","",--(E148=1))</f>
        <v/>
      </c>
      <c r="W148" s="4">
        <f>IF(OR($B148="",F148=""),"",--(F148=$B148))</f>
        <v/>
      </c>
      <c r="X148" s="4">
        <f>IF(OR($B148="",F148=""),"",IF($B148=1,--(F148=1),""))</f>
        <v/>
      </c>
      <c r="Y148" s="4">
        <f>IF(OR($B148="",F148=""),"",IF($B148=0,--(F148=0),""))</f>
        <v/>
      </c>
      <c r="Z148" s="4">
        <f>IF(F148="","",--(F148=1))</f>
        <v/>
      </c>
      <c r="AA148" s="4">
        <f>IF(OR($B148="",G148=""),"",--(G148=$B148))</f>
        <v/>
      </c>
      <c r="AB148" s="4">
        <f>IF(OR($B148="",G148=""),"",IF($B148=1,--(G148=1),""))</f>
        <v/>
      </c>
      <c r="AC148" s="4">
        <f>IF(OR($B148="",G148=""),"",IF($B148=0,--(G148=0),""))</f>
        <v/>
      </c>
      <c r="AD148" s="4">
        <f>IF(G148="","",--(G148=1))</f>
        <v/>
      </c>
      <c r="AE148" s="4">
        <f>IF(OR($B148="",H148=""),"",--(H148=$B148))</f>
        <v/>
      </c>
      <c r="AF148" s="4">
        <f>IF(OR($B148="",H148=""),"",IF($B148=1,--(H148=1),""))</f>
        <v/>
      </c>
      <c r="AG148" s="4">
        <f>IF(OR($B148="",H148=""),"",IF($B148=0,--(H148=0),""))</f>
        <v/>
      </c>
      <c r="AH148" s="4">
        <f>IF(H148="","",--(H148=1))</f>
        <v/>
      </c>
      <c r="AI148" s="4">
        <f>IF(OR($B148="",I148=""),"",--(I148=$B148))</f>
        <v/>
      </c>
      <c r="AJ148" s="4">
        <f>IF(OR($B148="",I148=""),"",IF($B148=1,--(I148=1),""))</f>
        <v/>
      </c>
      <c r="AK148" s="4">
        <f>IF(OR($B148="",I148=""),"",IF($B148=0,--(I148=0),""))</f>
        <v/>
      </c>
      <c r="AL148" s="4">
        <f>IF(I148="","",--(I148=1))</f>
        <v/>
      </c>
      <c r="AM148" s="4">
        <f>IF(OR($B148="",J148=""),"",--(J148=$B148))</f>
        <v/>
      </c>
      <c r="AN148" s="4">
        <f>IF(OR($B148="",J148=""),"",IF($B148=1,--(J148=1),""))</f>
        <v/>
      </c>
      <c r="AO148" s="4">
        <f>IF(OR($B148="",J148=""),"",IF($B148=0,--(J148=0),""))</f>
        <v/>
      </c>
      <c r="AP148" s="4">
        <f>IF(J148="","",--(J148=1))</f>
        <v/>
      </c>
      <c r="AQ148" s="4">
        <f>IF(OR($B148="",K148=""),"",--(K148=$B148))</f>
        <v/>
      </c>
      <c r="AR148" s="4">
        <f>IF(OR($B148="",K148=""),"",IF($B148=1,--(K148=1),""))</f>
        <v/>
      </c>
      <c r="AS148" s="4">
        <f>IF(OR($B148="",K148=""),"",IF($B148=0,--(K148=0),""))</f>
        <v/>
      </c>
      <c r="AT148" s="4">
        <f>IF(K148="","",--(K148=1))</f>
        <v/>
      </c>
      <c r="AU148" s="4">
        <f>IF(OR($B148="",L148=""),"",--(L148=$B148))</f>
        <v/>
      </c>
      <c r="AV148" s="4">
        <f>IF(OR($B148="",L148=""),"",IF($B148=1,--(L148=1),""))</f>
        <v/>
      </c>
      <c r="AW148" s="4">
        <f>IF(OR($B148="",L148=""),"",IF($B148=0,--(L148=0),""))</f>
        <v/>
      </c>
      <c r="AX148" s="4">
        <f>IF(L148="","",--(L148=1))</f>
        <v/>
      </c>
      <c r="AY148" s="4">
        <f>IF(OR($B148="",M148=""),"",--(M148=$B148))</f>
        <v/>
      </c>
      <c r="AZ148" s="4">
        <f>IF(OR($B148="",M148=""),"",IF($B148=1,--(M148=1),""))</f>
        <v/>
      </c>
      <c r="BA148" s="4">
        <f>IF(OR($B148="",M148=""),"",IF($B148=0,--(M148=0),""))</f>
        <v/>
      </c>
      <c r="BB148" s="4">
        <f>IF(M148="","",--(M148=1))</f>
        <v/>
      </c>
      <c r="BC148" s="4">
        <f>IF(OR($B148="",N148=""),"",--(N148=$B148))</f>
        <v/>
      </c>
      <c r="BD148" s="4">
        <f>IF(OR($B148="",N148=""),"",IF($B148=1,--(N148=1),""))</f>
        <v/>
      </c>
      <c r="BE148" s="4">
        <f>IF(OR($B148="",N148=""),"",IF($B148=0,--(N148=0),""))</f>
        <v/>
      </c>
      <c r="BF148" s="4">
        <f>IF(N148="","",--(N148=1))</f>
        <v/>
      </c>
    </row>
    <row r="149">
      <c r="A149" s="3" t="inlineStr">
        <is>
          <t>202035243</t>
        </is>
      </c>
      <c r="B149" s="3" t="inlineStr">
        <is>
          <t>0</t>
        </is>
      </c>
      <c r="C149" s="3" t="inlineStr">
        <is>
          <t>Direct</t>
        </is>
      </c>
      <c r="D149" s="3" t="inlineStr">
        <is>
          <t>1</t>
        </is>
      </c>
      <c r="E149" s="3" t="inlineStr">
        <is>
          <t>1</t>
        </is>
      </c>
      <c r="F149" s="3" t="inlineStr">
        <is>
          <t>0</t>
        </is>
      </c>
      <c r="G149" s="3" t="inlineStr">
        <is>
          <t>0</t>
        </is>
      </c>
      <c r="H149" s="3" t="inlineStr">
        <is>
          <t>1</t>
        </is>
      </c>
      <c r="I149" s="3" t="inlineStr">
        <is>
          <t>1</t>
        </is>
      </c>
      <c r="J149" s="3" t="inlineStr">
        <is>
          <t>1</t>
        </is>
      </c>
      <c r="K149" s="3" t="inlineStr">
        <is>
          <t>1</t>
        </is>
      </c>
      <c r="L149" s="3" t="inlineStr">
        <is>
          <t>1</t>
        </is>
      </c>
      <c r="M149" s="3" t="inlineStr">
        <is>
          <t>1</t>
        </is>
      </c>
      <c r="N149" s="3" t="inlineStr">
        <is>
          <t>1</t>
        </is>
      </c>
      <c r="O149" s="4">
        <f>IF(OR($B149="",D149=""),"",--(D149=$B149))</f>
        <v/>
      </c>
      <c r="P149" s="4">
        <f>IF(OR($B149="",D149=""),"",IF($B149=1,--(D149=1),""))</f>
        <v/>
      </c>
      <c r="Q149" s="4">
        <f>IF(OR($B149="",D149=""),"",IF($B149=0,--(D149=0),""))</f>
        <v/>
      </c>
      <c r="R149" s="4">
        <f>IF(D149="","",--(D149=1))</f>
        <v/>
      </c>
      <c r="S149" s="4">
        <f>IF(OR($B149="",E149=""),"",--(E149=$B149))</f>
        <v/>
      </c>
      <c r="T149" s="4">
        <f>IF(OR($B149="",E149=""),"",IF($B149=1,--(E149=1),""))</f>
        <v/>
      </c>
      <c r="U149" s="4">
        <f>IF(OR($B149="",E149=""),"",IF($B149=0,--(E149=0),""))</f>
        <v/>
      </c>
      <c r="V149" s="4">
        <f>IF(E149="","",--(E149=1))</f>
        <v/>
      </c>
      <c r="W149" s="4">
        <f>IF(OR($B149="",F149=""),"",--(F149=$B149))</f>
        <v/>
      </c>
      <c r="X149" s="4">
        <f>IF(OR($B149="",F149=""),"",IF($B149=1,--(F149=1),""))</f>
        <v/>
      </c>
      <c r="Y149" s="4">
        <f>IF(OR($B149="",F149=""),"",IF($B149=0,--(F149=0),""))</f>
        <v/>
      </c>
      <c r="Z149" s="4">
        <f>IF(F149="","",--(F149=1))</f>
        <v/>
      </c>
      <c r="AA149" s="4">
        <f>IF(OR($B149="",G149=""),"",--(G149=$B149))</f>
        <v/>
      </c>
      <c r="AB149" s="4">
        <f>IF(OR($B149="",G149=""),"",IF($B149=1,--(G149=1),""))</f>
        <v/>
      </c>
      <c r="AC149" s="4">
        <f>IF(OR($B149="",G149=""),"",IF($B149=0,--(G149=0),""))</f>
        <v/>
      </c>
      <c r="AD149" s="4">
        <f>IF(G149="","",--(G149=1))</f>
        <v/>
      </c>
      <c r="AE149" s="4">
        <f>IF(OR($B149="",H149=""),"",--(H149=$B149))</f>
        <v/>
      </c>
      <c r="AF149" s="4">
        <f>IF(OR($B149="",H149=""),"",IF($B149=1,--(H149=1),""))</f>
        <v/>
      </c>
      <c r="AG149" s="4">
        <f>IF(OR($B149="",H149=""),"",IF($B149=0,--(H149=0),""))</f>
        <v/>
      </c>
      <c r="AH149" s="4">
        <f>IF(H149="","",--(H149=1))</f>
        <v/>
      </c>
      <c r="AI149" s="4">
        <f>IF(OR($B149="",I149=""),"",--(I149=$B149))</f>
        <v/>
      </c>
      <c r="AJ149" s="4">
        <f>IF(OR($B149="",I149=""),"",IF($B149=1,--(I149=1),""))</f>
        <v/>
      </c>
      <c r="AK149" s="4">
        <f>IF(OR($B149="",I149=""),"",IF($B149=0,--(I149=0),""))</f>
        <v/>
      </c>
      <c r="AL149" s="4">
        <f>IF(I149="","",--(I149=1))</f>
        <v/>
      </c>
      <c r="AM149" s="4">
        <f>IF(OR($B149="",J149=""),"",--(J149=$B149))</f>
        <v/>
      </c>
      <c r="AN149" s="4">
        <f>IF(OR($B149="",J149=""),"",IF($B149=1,--(J149=1),""))</f>
        <v/>
      </c>
      <c r="AO149" s="4">
        <f>IF(OR($B149="",J149=""),"",IF($B149=0,--(J149=0),""))</f>
        <v/>
      </c>
      <c r="AP149" s="4">
        <f>IF(J149="","",--(J149=1))</f>
        <v/>
      </c>
      <c r="AQ149" s="4">
        <f>IF(OR($B149="",K149=""),"",--(K149=$B149))</f>
        <v/>
      </c>
      <c r="AR149" s="4">
        <f>IF(OR($B149="",K149=""),"",IF($B149=1,--(K149=1),""))</f>
        <v/>
      </c>
      <c r="AS149" s="4">
        <f>IF(OR($B149="",K149=""),"",IF($B149=0,--(K149=0),""))</f>
        <v/>
      </c>
      <c r="AT149" s="4">
        <f>IF(K149="","",--(K149=1))</f>
        <v/>
      </c>
      <c r="AU149" s="4">
        <f>IF(OR($B149="",L149=""),"",--(L149=$B149))</f>
        <v/>
      </c>
      <c r="AV149" s="4">
        <f>IF(OR($B149="",L149=""),"",IF($B149=1,--(L149=1),""))</f>
        <v/>
      </c>
      <c r="AW149" s="4">
        <f>IF(OR($B149="",L149=""),"",IF($B149=0,--(L149=0),""))</f>
        <v/>
      </c>
      <c r="AX149" s="4">
        <f>IF(L149="","",--(L149=1))</f>
        <v/>
      </c>
      <c r="AY149" s="4">
        <f>IF(OR($B149="",M149=""),"",--(M149=$B149))</f>
        <v/>
      </c>
      <c r="AZ149" s="4">
        <f>IF(OR($B149="",M149=""),"",IF($B149=1,--(M149=1),""))</f>
        <v/>
      </c>
      <c r="BA149" s="4">
        <f>IF(OR($B149="",M149=""),"",IF($B149=0,--(M149=0),""))</f>
        <v/>
      </c>
      <c r="BB149" s="4">
        <f>IF(M149="","",--(M149=1))</f>
        <v/>
      </c>
      <c r="BC149" s="4">
        <f>IF(OR($B149="",N149=""),"",--(N149=$B149))</f>
        <v/>
      </c>
      <c r="BD149" s="4">
        <f>IF(OR($B149="",N149=""),"",IF($B149=1,--(N149=1),""))</f>
        <v/>
      </c>
      <c r="BE149" s="4">
        <f>IF(OR($B149="",N149=""),"",IF($B149=0,--(N149=0),""))</f>
        <v/>
      </c>
      <c r="BF149" s="4">
        <f>IF(N149="","",--(N149=1))</f>
        <v/>
      </c>
    </row>
    <row r="150">
      <c r="A150" s="3" t="inlineStr">
        <is>
          <t>202035263</t>
        </is>
      </c>
      <c r="B150" s="3" t="inlineStr">
        <is>
          <t>0</t>
        </is>
      </c>
      <c r="C150" s="3" t="inlineStr">
        <is>
          <t>Direct</t>
        </is>
      </c>
      <c r="D150" s="3" t="inlineStr">
        <is>
          <t>1</t>
        </is>
      </c>
      <c r="E150" s="3" t="inlineStr">
        <is>
          <t>0</t>
        </is>
      </c>
      <c r="F150" s="3" t="inlineStr">
        <is>
          <t>0</t>
        </is>
      </c>
      <c r="G150" s="3" t="inlineStr">
        <is>
          <t>1</t>
        </is>
      </c>
      <c r="H150" s="3" t="inlineStr">
        <is>
          <t>1</t>
        </is>
      </c>
      <c r="I150" s="3" t="inlineStr">
        <is>
          <t>1</t>
        </is>
      </c>
      <c r="J150" s="3" t="inlineStr">
        <is>
          <t>1</t>
        </is>
      </c>
      <c r="K150" s="3" t="inlineStr">
        <is>
          <t>1</t>
        </is>
      </c>
      <c r="L150" s="3" t="inlineStr">
        <is>
          <t>1</t>
        </is>
      </c>
      <c r="M150" s="3" t="inlineStr">
        <is>
          <t>1</t>
        </is>
      </c>
      <c r="N150" s="3" t="inlineStr">
        <is>
          <t>1</t>
        </is>
      </c>
      <c r="O150" s="4">
        <f>IF(OR($B150="",D150=""),"",--(D150=$B150))</f>
        <v/>
      </c>
      <c r="P150" s="4">
        <f>IF(OR($B150="",D150=""),"",IF($B150=1,--(D150=1),""))</f>
        <v/>
      </c>
      <c r="Q150" s="4">
        <f>IF(OR($B150="",D150=""),"",IF($B150=0,--(D150=0),""))</f>
        <v/>
      </c>
      <c r="R150" s="4">
        <f>IF(D150="","",--(D150=1))</f>
        <v/>
      </c>
      <c r="S150" s="4">
        <f>IF(OR($B150="",E150=""),"",--(E150=$B150))</f>
        <v/>
      </c>
      <c r="T150" s="4">
        <f>IF(OR($B150="",E150=""),"",IF($B150=1,--(E150=1),""))</f>
        <v/>
      </c>
      <c r="U150" s="4">
        <f>IF(OR($B150="",E150=""),"",IF($B150=0,--(E150=0),""))</f>
        <v/>
      </c>
      <c r="V150" s="4">
        <f>IF(E150="","",--(E150=1))</f>
        <v/>
      </c>
      <c r="W150" s="4">
        <f>IF(OR($B150="",F150=""),"",--(F150=$B150))</f>
        <v/>
      </c>
      <c r="X150" s="4">
        <f>IF(OR($B150="",F150=""),"",IF($B150=1,--(F150=1),""))</f>
        <v/>
      </c>
      <c r="Y150" s="4">
        <f>IF(OR($B150="",F150=""),"",IF($B150=0,--(F150=0),""))</f>
        <v/>
      </c>
      <c r="Z150" s="4">
        <f>IF(F150="","",--(F150=1))</f>
        <v/>
      </c>
      <c r="AA150" s="4">
        <f>IF(OR($B150="",G150=""),"",--(G150=$B150))</f>
        <v/>
      </c>
      <c r="AB150" s="4">
        <f>IF(OR($B150="",G150=""),"",IF($B150=1,--(G150=1),""))</f>
        <v/>
      </c>
      <c r="AC150" s="4">
        <f>IF(OR($B150="",G150=""),"",IF($B150=0,--(G150=0),""))</f>
        <v/>
      </c>
      <c r="AD150" s="4">
        <f>IF(G150="","",--(G150=1))</f>
        <v/>
      </c>
      <c r="AE150" s="4">
        <f>IF(OR($B150="",H150=""),"",--(H150=$B150))</f>
        <v/>
      </c>
      <c r="AF150" s="4">
        <f>IF(OR($B150="",H150=""),"",IF($B150=1,--(H150=1),""))</f>
        <v/>
      </c>
      <c r="AG150" s="4">
        <f>IF(OR($B150="",H150=""),"",IF($B150=0,--(H150=0),""))</f>
        <v/>
      </c>
      <c r="AH150" s="4">
        <f>IF(H150="","",--(H150=1))</f>
        <v/>
      </c>
      <c r="AI150" s="4">
        <f>IF(OR($B150="",I150=""),"",--(I150=$B150))</f>
        <v/>
      </c>
      <c r="AJ150" s="4">
        <f>IF(OR($B150="",I150=""),"",IF($B150=1,--(I150=1),""))</f>
        <v/>
      </c>
      <c r="AK150" s="4">
        <f>IF(OR($B150="",I150=""),"",IF($B150=0,--(I150=0),""))</f>
        <v/>
      </c>
      <c r="AL150" s="4">
        <f>IF(I150="","",--(I150=1))</f>
        <v/>
      </c>
      <c r="AM150" s="4">
        <f>IF(OR($B150="",J150=""),"",--(J150=$B150))</f>
        <v/>
      </c>
      <c r="AN150" s="4">
        <f>IF(OR($B150="",J150=""),"",IF($B150=1,--(J150=1),""))</f>
        <v/>
      </c>
      <c r="AO150" s="4">
        <f>IF(OR($B150="",J150=""),"",IF($B150=0,--(J150=0),""))</f>
        <v/>
      </c>
      <c r="AP150" s="4">
        <f>IF(J150="","",--(J150=1))</f>
        <v/>
      </c>
      <c r="AQ150" s="4">
        <f>IF(OR($B150="",K150=""),"",--(K150=$B150))</f>
        <v/>
      </c>
      <c r="AR150" s="4">
        <f>IF(OR($B150="",K150=""),"",IF($B150=1,--(K150=1),""))</f>
        <v/>
      </c>
      <c r="AS150" s="4">
        <f>IF(OR($B150="",K150=""),"",IF($B150=0,--(K150=0),""))</f>
        <v/>
      </c>
      <c r="AT150" s="4">
        <f>IF(K150="","",--(K150=1))</f>
        <v/>
      </c>
      <c r="AU150" s="4">
        <f>IF(OR($B150="",L150=""),"",--(L150=$B150))</f>
        <v/>
      </c>
      <c r="AV150" s="4">
        <f>IF(OR($B150="",L150=""),"",IF($B150=1,--(L150=1),""))</f>
        <v/>
      </c>
      <c r="AW150" s="4">
        <f>IF(OR($B150="",L150=""),"",IF($B150=0,--(L150=0),""))</f>
        <v/>
      </c>
      <c r="AX150" s="4">
        <f>IF(L150="","",--(L150=1))</f>
        <v/>
      </c>
      <c r="AY150" s="4">
        <f>IF(OR($B150="",M150=""),"",--(M150=$B150))</f>
        <v/>
      </c>
      <c r="AZ150" s="4">
        <f>IF(OR($B150="",M150=""),"",IF($B150=1,--(M150=1),""))</f>
        <v/>
      </c>
      <c r="BA150" s="4">
        <f>IF(OR($B150="",M150=""),"",IF($B150=0,--(M150=0),""))</f>
        <v/>
      </c>
      <c r="BB150" s="4">
        <f>IF(M150="","",--(M150=1))</f>
        <v/>
      </c>
      <c r="BC150" s="4">
        <f>IF(OR($B150="",N150=""),"",--(N150=$B150))</f>
        <v/>
      </c>
      <c r="BD150" s="4">
        <f>IF(OR($B150="",N150=""),"",IF($B150=1,--(N150=1),""))</f>
        <v/>
      </c>
      <c r="BE150" s="4">
        <f>IF(OR($B150="",N150=""),"",IF($B150=0,--(N150=0),""))</f>
        <v/>
      </c>
      <c r="BF150" s="4">
        <f>IF(N150="","",--(N150=1))</f>
        <v/>
      </c>
    </row>
    <row r="151">
      <c r="A151" s="3" t="inlineStr">
        <is>
          <t>202035636</t>
        </is>
      </c>
      <c r="B151" s="3" t="inlineStr">
        <is>
          <t>1</t>
        </is>
      </c>
      <c r="C151" s="3" t="inlineStr">
        <is>
          <t>Direct</t>
        </is>
      </c>
      <c r="D151" s="3" t="inlineStr">
        <is>
          <t>1</t>
        </is>
      </c>
      <c r="E151" s="3" t="inlineStr">
        <is>
          <t>1</t>
        </is>
      </c>
      <c r="F151" s="3" t="inlineStr">
        <is>
          <t>0</t>
        </is>
      </c>
      <c r="G151" s="3" t="inlineStr">
        <is>
          <t>0</t>
        </is>
      </c>
      <c r="H151" s="3" t="inlineStr">
        <is>
          <t>0</t>
        </is>
      </c>
      <c r="I151" s="3" t="inlineStr">
        <is>
          <t>0</t>
        </is>
      </c>
      <c r="J151" s="3" t="inlineStr">
        <is>
          <t>0</t>
        </is>
      </c>
      <c r="K151" s="3" t="inlineStr">
        <is>
          <t>1</t>
        </is>
      </c>
      <c r="L151" s="3" t="inlineStr">
        <is>
          <t>0</t>
        </is>
      </c>
      <c r="M151" s="3" t="inlineStr">
        <is>
          <t>0</t>
        </is>
      </c>
      <c r="N151" s="3" t="inlineStr">
        <is>
          <t>1</t>
        </is>
      </c>
      <c r="O151" s="4">
        <f>IF(OR($B151="",D151=""),"",--(D151=$B151))</f>
        <v/>
      </c>
      <c r="P151" s="4">
        <f>IF(OR($B151="",D151=""),"",IF($B151=1,--(D151=1),""))</f>
        <v/>
      </c>
      <c r="Q151" s="4">
        <f>IF(OR($B151="",D151=""),"",IF($B151=0,--(D151=0),""))</f>
        <v/>
      </c>
      <c r="R151" s="4">
        <f>IF(D151="","",--(D151=1))</f>
        <v/>
      </c>
      <c r="S151" s="4">
        <f>IF(OR($B151="",E151=""),"",--(E151=$B151))</f>
        <v/>
      </c>
      <c r="T151" s="4">
        <f>IF(OR($B151="",E151=""),"",IF($B151=1,--(E151=1),""))</f>
        <v/>
      </c>
      <c r="U151" s="4">
        <f>IF(OR($B151="",E151=""),"",IF($B151=0,--(E151=0),""))</f>
        <v/>
      </c>
      <c r="V151" s="4">
        <f>IF(E151="","",--(E151=1))</f>
        <v/>
      </c>
      <c r="W151" s="4">
        <f>IF(OR($B151="",F151=""),"",--(F151=$B151))</f>
        <v/>
      </c>
      <c r="X151" s="4">
        <f>IF(OR($B151="",F151=""),"",IF($B151=1,--(F151=1),""))</f>
        <v/>
      </c>
      <c r="Y151" s="4">
        <f>IF(OR($B151="",F151=""),"",IF($B151=0,--(F151=0),""))</f>
        <v/>
      </c>
      <c r="Z151" s="4">
        <f>IF(F151="","",--(F151=1))</f>
        <v/>
      </c>
      <c r="AA151" s="4">
        <f>IF(OR($B151="",G151=""),"",--(G151=$B151))</f>
        <v/>
      </c>
      <c r="AB151" s="4">
        <f>IF(OR($B151="",G151=""),"",IF($B151=1,--(G151=1),""))</f>
        <v/>
      </c>
      <c r="AC151" s="4">
        <f>IF(OR($B151="",G151=""),"",IF($B151=0,--(G151=0),""))</f>
        <v/>
      </c>
      <c r="AD151" s="4">
        <f>IF(G151="","",--(G151=1))</f>
        <v/>
      </c>
      <c r="AE151" s="4">
        <f>IF(OR($B151="",H151=""),"",--(H151=$B151))</f>
        <v/>
      </c>
      <c r="AF151" s="4">
        <f>IF(OR($B151="",H151=""),"",IF($B151=1,--(H151=1),""))</f>
        <v/>
      </c>
      <c r="AG151" s="4">
        <f>IF(OR($B151="",H151=""),"",IF($B151=0,--(H151=0),""))</f>
        <v/>
      </c>
      <c r="AH151" s="4">
        <f>IF(H151="","",--(H151=1))</f>
        <v/>
      </c>
      <c r="AI151" s="4">
        <f>IF(OR($B151="",I151=""),"",--(I151=$B151))</f>
        <v/>
      </c>
      <c r="AJ151" s="4">
        <f>IF(OR($B151="",I151=""),"",IF($B151=1,--(I151=1),""))</f>
        <v/>
      </c>
      <c r="AK151" s="4">
        <f>IF(OR($B151="",I151=""),"",IF($B151=0,--(I151=0),""))</f>
        <v/>
      </c>
      <c r="AL151" s="4">
        <f>IF(I151="","",--(I151=1))</f>
        <v/>
      </c>
      <c r="AM151" s="4">
        <f>IF(OR($B151="",J151=""),"",--(J151=$B151))</f>
        <v/>
      </c>
      <c r="AN151" s="4">
        <f>IF(OR($B151="",J151=""),"",IF($B151=1,--(J151=1),""))</f>
        <v/>
      </c>
      <c r="AO151" s="4">
        <f>IF(OR($B151="",J151=""),"",IF($B151=0,--(J151=0),""))</f>
        <v/>
      </c>
      <c r="AP151" s="4">
        <f>IF(J151="","",--(J151=1))</f>
        <v/>
      </c>
      <c r="AQ151" s="4">
        <f>IF(OR($B151="",K151=""),"",--(K151=$B151))</f>
        <v/>
      </c>
      <c r="AR151" s="4">
        <f>IF(OR($B151="",K151=""),"",IF($B151=1,--(K151=1),""))</f>
        <v/>
      </c>
      <c r="AS151" s="4">
        <f>IF(OR($B151="",K151=""),"",IF($B151=0,--(K151=0),""))</f>
        <v/>
      </c>
      <c r="AT151" s="4">
        <f>IF(K151="","",--(K151=1))</f>
        <v/>
      </c>
      <c r="AU151" s="4">
        <f>IF(OR($B151="",L151=""),"",--(L151=$B151))</f>
        <v/>
      </c>
      <c r="AV151" s="4">
        <f>IF(OR($B151="",L151=""),"",IF($B151=1,--(L151=1),""))</f>
        <v/>
      </c>
      <c r="AW151" s="4">
        <f>IF(OR($B151="",L151=""),"",IF($B151=0,--(L151=0),""))</f>
        <v/>
      </c>
      <c r="AX151" s="4">
        <f>IF(L151="","",--(L151=1))</f>
        <v/>
      </c>
      <c r="AY151" s="4">
        <f>IF(OR($B151="",M151=""),"",--(M151=$B151))</f>
        <v/>
      </c>
      <c r="AZ151" s="4">
        <f>IF(OR($B151="",M151=""),"",IF($B151=1,--(M151=1),""))</f>
        <v/>
      </c>
      <c r="BA151" s="4">
        <f>IF(OR($B151="",M151=""),"",IF($B151=0,--(M151=0),""))</f>
        <v/>
      </c>
      <c r="BB151" s="4">
        <f>IF(M151="","",--(M151=1))</f>
        <v/>
      </c>
      <c r="BC151" s="4">
        <f>IF(OR($B151="",N151=""),"",--(N151=$B151))</f>
        <v/>
      </c>
      <c r="BD151" s="4">
        <f>IF(OR($B151="",N151=""),"",IF($B151=1,--(N151=1),""))</f>
        <v/>
      </c>
      <c r="BE151" s="4">
        <f>IF(OR($B151="",N151=""),"",IF($B151=0,--(N151=0),""))</f>
        <v/>
      </c>
      <c r="BF151" s="4">
        <f>IF(N151="","",--(N151=1))</f>
        <v/>
      </c>
    </row>
    <row r="152">
      <c r="A152" s="3" t="inlineStr">
        <is>
          <t>202035829</t>
        </is>
      </c>
      <c r="B152" s="3" t="inlineStr">
        <is>
          <t>1</t>
        </is>
      </c>
      <c r="C152" s="3" t="inlineStr">
        <is>
          <t>Direct</t>
        </is>
      </c>
      <c r="D152" s="3" t="inlineStr">
        <is>
          <t>0</t>
        </is>
      </c>
      <c r="E152" s="3" t="inlineStr">
        <is>
          <t>1</t>
        </is>
      </c>
      <c r="F152" s="3" t="inlineStr">
        <is>
          <t>0</t>
        </is>
      </c>
      <c r="G152" s="3" t="inlineStr">
        <is>
          <t>0</t>
        </is>
      </c>
      <c r="H152" s="3" t="inlineStr">
        <is>
          <t>0</t>
        </is>
      </c>
      <c r="I152" s="3" t="inlineStr">
        <is>
          <t>0</t>
        </is>
      </c>
      <c r="J152" s="3" t="inlineStr">
        <is>
          <t>0</t>
        </is>
      </c>
      <c r="K152" s="3" t="inlineStr">
        <is>
          <t>0</t>
        </is>
      </c>
      <c r="L152" s="3" t="inlineStr">
        <is>
          <t>0</t>
        </is>
      </c>
      <c r="M152" s="3" t="inlineStr">
        <is>
          <t>1</t>
        </is>
      </c>
      <c r="N152" s="3" t="inlineStr">
        <is>
          <t>1</t>
        </is>
      </c>
      <c r="O152" s="4">
        <f>IF(OR($B152="",D152=""),"",--(D152=$B152))</f>
        <v/>
      </c>
      <c r="P152" s="4">
        <f>IF(OR($B152="",D152=""),"",IF($B152=1,--(D152=1),""))</f>
        <v/>
      </c>
      <c r="Q152" s="4">
        <f>IF(OR($B152="",D152=""),"",IF($B152=0,--(D152=0),""))</f>
        <v/>
      </c>
      <c r="R152" s="4">
        <f>IF(D152="","",--(D152=1))</f>
        <v/>
      </c>
      <c r="S152" s="4">
        <f>IF(OR($B152="",E152=""),"",--(E152=$B152))</f>
        <v/>
      </c>
      <c r="T152" s="4">
        <f>IF(OR($B152="",E152=""),"",IF($B152=1,--(E152=1),""))</f>
        <v/>
      </c>
      <c r="U152" s="4">
        <f>IF(OR($B152="",E152=""),"",IF($B152=0,--(E152=0),""))</f>
        <v/>
      </c>
      <c r="V152" s="4">
        <f>IF(E152="","",--(E152=1))</f>
        <v/>
      </c>
      <c r="W152" s="4">
        <f>IF(OR($B152="",F152=""),"",--(F152=$B152))</f>
        <v/>
      </c>
      <c r="X152" s="4">
        <f>IF(OR($B152="",F152=""),"",IF($B152=1,--(F152=1),""))</f>
        <v/>
      </c>
      <c r="Y152" s="4">
        <f>IF(OR($B152="",F152=""),"",IF($B152=0,--(F152=0),""))</f>
        <v/>
      </c>
      <c r="Z152" s="4">
        <f>IF(F152="","",--(F152=1))</f>
        <v/>
      </c>
      <c r="AA152" s="4">
        <f>IF(OR($B152="",G152=""),"",--(G152=$B152))</f>
        <v/>
      </c>
      <c r="AB152" s="4">
        <f>IF(OR($B152="",G152=""),"",IF($B152=1,--(G152=1),""))</f>
        <v/>
      </c>
      <c r="AC152" s="4">
        <f>IF(OR($B152="",G152=""),"",IF($B152=0,--(G152=0),""))</f>
        <v/>
      </c>
      <c r="AD152" s="4">
        <f>IF(G152="","",--(G152=1))</f>
        <v/>
      </c>
      <c r="AE152" s="4">
        <f>IF(OR($B152="",H152=""),"",--(H152=$B152))</f>
        <v/>
      </c>
      <c r="AF152" s="4">
        <f>IF(OR($B152="",H152=""),"",IF($B152=1,--(H152=1),""))</f>
        <v/>
      </c>
      <c r="AG152" s="4">
        <f>IF(OR($B152="",H152=""),"",IF($B152=0,--(H152=0),""))</f>
        <v/>
      </c>
      <c r="AH152" s="4">
        <f>IF(H152="","",--(H152=1))</f>
        <v/>
      </c>
      <c r="AI152" s="4">
        <f>IF(OR($B152="",I152=""),"",--(I152=$B152))</f>
        <v/>
      </c>
      <c r="AJ152" s="4">
        <f>IF(OR($B152="",I152=""),"",IF($B152=1,--(I152=1),""))</f>
        <v/>
      </c>
      <c r="AK152" s="4">
        <f>IF(OR($B152="",I152=""),"",IF($B152=0,--(I152=0),""))</f>
        <v/>
      </c>
      <c r="AL152" s="4">
        <f>IF(I152="","",--(I152=1))</f>
        <v/>
      </c>
      <c r="AM152" s="4">
        <f>IF(OR($B152="",J152=""),"",--(J152=$B152))</f>
        <v/>
      </c>
      <c r="AN152" s="4">
        <f>IF(OR($B152="",J152=""),"",IF($B152=1,--(J152=1),""))</f>
        <v/>
      </c>
      <c r="AO152" s="4">
        <f>IF(OR($B152="",J152=""),"",IF($B152=0,--(J152=0),""))</f>
        <v/>
      </c>
      <c r="AP152" s="4">
        <f>IF(J152="","",--(J152=1))</f>
        <v/>
      </c>
      <c r="AQ152" s="4">
        <f>IF(OR($B152="",K152=""),"",--(K152=$B152))</f>
        <v/>
      </c>
      <c r="AR152" s="4">
        <f>IF(OR($B152="",K152=""),"",IF($B152=1,--(K152=1),""))</f>
        <v/>
      </c>
      <c r="AS152" s="4">
        <f>IF(OR($B152="",K152=""),"",IF($B152=0,--(K152=0),""))</f>
        <v/>
      </c>
      <c r="AT152" s="4">
        <f>IF(K152="","",--(K152=1))</f>
        <v/>
      </c>
      <c r="AU152" s="4">
        <f>IF(OR($B152="",L152=""),"",--(L152=$B152))</f>
        <v/>
      </c>
      <c r="AV152" s="4">
        <f>IF(OR($B152="",L152=""),"",IF($B152=1,--(L152=1),""))</f>
        <v/>
      </c>
      <c r="AW152" s="4">
        <f>IF(OR($B152="",L152=""),"",IF($B152=0,--(L152=0),""))</f>
        <v/>
      </c>
      <c r="AX152" s="4">
        <f>IF(L152="","",--(L152=1))</f>
        <v/>
      </c>
      <c r="AY152" s="4">
        <f>IF(OR($B152="",M152=""),"",--(M152=$B152))</f>
        <v/>
      </c>
      <c r="AZ152" s="4">
        <f>IF(OR($B152="",M152=""),"",IF($B152=1,--(M152=1),""))</f>
        <v/>
      </c>
      <c r="BA152" s="4">
        <f>IF(OR($B152="",M152=""),"",IF($B152=0,--(M152=0),""))</f>
        <v/>
      </c>
      <c r="BB152" s="4">
        <f>IF(M152="","",--(M152=1))</f>
        <v/>
      </c>
      <c r="BC152" s="4">
        <f>IF(OR($B152="",N152=""),"",--(N152=$B152))</f>
        <v/>
      </c>
      <c r="BD152" s="4">
        <f>IF(OR($B152="",N152=""),"",IF($B152=1,--(N152=1),""))</f>
        <v/>
      </c>
      <c r="BE152" s="4">
        <f>IF(OR($B152="",N152=""),"",IF($B152=0,--(N152=0),""))</f>
        <v/>
      </c>
      <c r="BF152" s="4">
        <f>IF(N152="","",--(N152=1))</f>
        <v/>
      </c>
    </row>
    <row r="153">
      <c r="A153" s="3" t="inlineStr">
        <is>
          <t>202035865</t>
        </is>
      </c>
      <c r="B153" s="3" t="inlineStr">
        <is>
          <t>1</t>
        </is>
      </c>
      <c r="C153" s="3" t="inlineStr">
        <is>
          <t>Direct</t>
        </is>
      </c>
      <c r="D153" s="3" t="inlineStr">
        <is>
          <t>1</t>
        </is>
      </c>
      <c r="E153" s="3" t="inlineStr">
        <is>
          <t>1</t>
        </is>
      </c>
      <c r="F153" s="3" t="inlineStr">
        <is>
          <t>1</t>
        </is>
      </c>
      <c r="G153" s="3" t="inlineStr">
        <is>
          <t>1</t>
        </is>
      </c>
      <c r="H153" s="3" t="inlineStr">
        <is>
          <t>1</t>
        </is>
      </c>
      <c r="I153" s="3" t="inlineStr">
        <is>
          <t>1</t>
        </is>
      </c>
      <c r="J153" s="3" t="inlineStr">
        <is>
          <t>1</t>
        </is>
      </c>
      <c r="K153" s="3" t="inlineStr">
        <is>
          <t>1</t>
        </is>
      </c>
      <c r="L153" s="3" t="inlineStr">
        <is>
          <t>1</t>
        </is>
      </c>
      <c r="M153" s="3" t="inlineStr">
        <is>
          <t>1</t>
        </is>
      </c>
      <c r="N153" s="3" t="inlineStr">
        <is>
          <t>1</t>
        </is>
      </c>
      <c r="O153" s="4">
        <f>IF(OR($B153="",D153=""),"",--(D153=$B153))</f>
        <v/>
      </c>
      <c r="P153" s="4">
        <f>IF(OR($B153="",D153=""),"",IF($B153=1,--(D153=1),""))</f>
        <v/>
      </c>
      <c r="Q153" s="4">
        <f>IF(OR($B153="",D153=""),"",IF($B153=0,--(D153=0),""))</f>
        <v/>
      </c>
      <c r="R153" s="4">
        <f>IF(D153="","",--(D153=1))</f>
        <v/>
      </c>
      <c r="S153" s="4">
        <f>IF(OR($B153="",E153=""),"",--(E153=$B153))</f>
        <v/>
      </c>
      <c r="T153" s="4">
        <f>IF(OR($B153="",E153=""),"",IF($B153=1,--(E153=1),""))</f>
        <v/>
      </c>
      <c r="U153" s="4">
        <f>IF(OR($B153="",E153=""),"",IF($B153=0,--(E153=0),""))</f>
        <v/>
      </c>
      <c r="V153" s="4">
        <f>IF(E153="","",--(E153=1))</f>
        <v/>
      </c>
      <c r="W153" s="4">
        <f>IF(OR($B153="",F153=""),"",--(F153=$B153))</f>
        <v/>
      </c>
      <c r="X153" s="4">
        <f>IF(OR($B153="",F153=""),"",IF($B153=1,--(F153=1),""))</f>
        <v/>
      </c>
      <c r="Y153" s="4">
        <f>IF(OR($B153="",F153=""),"",IF($B153=0,--(F153=0),""))</f>
        <v/>
      </c>
      <c r="Z153" s="4">
        <f>IF(F153="","",--(F153=1))</f>
        <v/>
      </c>
      <c r="AA153" s="4">
        <f>IF(OR($B153="",G153=""),"",--(G153=$B153))</f>
        <v/>
      </c>
      <c r="AB153" s="4">
        <f>IF(OR($B153="",G153=""),"",IF($B153=1,--(G153=1),""))</f>
        <v/>
      </c>
      <c r="AC153" s="4">
        <f>IF(OR($B153="",G153=""),"",IF($B153=0,--(G153=0),""))</f>
        <v/>
      </c>
      <c r="AD153" s="4">
        <f>IF(G153="","",--(G153=1))</f>
        <v/>
      </c>
      <c r="AE153" s="4">
        <f>IF(OR($B153="",H153=""),"",--(H153=$B153))</f>
        <v/>
      </c>
      <c r="AF153" s="4">
        <f>IF(OR($B153="",H153=""),"",IF($B153=1,--(H153=1),""))</f>
        <v/>
      </c>
      <c r="AG153" s="4">
        <f>IF(OR($B153="",H153=""),"",IF($B153=0,--(H153=0),""))</f>
        <v/>
      </c>
      <c r="AH153" s="4">
        <f>IF(H153="","",--(H153=1))</f>
        <v/>
      </c>
      <c r="AI153" s="4">
        <f>IF(OR($B153="",I153=""),"",--(I153=$B153))</f>
        <v/>
      </c>
      <c r="AJ153" s="4">
        <f>IF(OR($B153="",I153=""),"",IF($B153=1,--(I153=1),""))</f>
        <v/>
      </c>
      <c r="AK153" s="4">
        <f>IF(OR($B153="",I153=""),"",IF($B153=0,--(I153=0),""))</f>
        <v/>
      </c>
      <c r="AL153" s="4">
        <f>IF(I153="","",--(I153=1))</f>
        <v/>
      </c>
      <c r="AM153" s="4">
        <f>IF(OR($B153="",J153=""),"",--(J153=$B153))</f>
        <v/>
      </c>
      <c r="AN153" s="4">
        <f>IF(OR($B153="",J153=""),"",IF($B153=1,--(J153=1),""))</f>
        <v/>
      </c>
      <c r="AO153" s="4">
        <f>IF(OR($B153="",J153=""),"",IF($B153=0,--(J153=0),""))</f>
        <v/>
      </c>
      <c r="AP153" s="4">
        <f>IF(J153="","",--(J153=1))</f>
        <v/>
      </c>
      <c r="AQ153" s="4">
        <f>IF(OR($B153="",K153=""),"",--(K153=$B153))</f>
        <v/>
      </c>
      <c r="AR153" s="4">
        <f>IF(OR($B153="",K153=""),"",IF($B153=1,--(K153=1),""))</f>
        <v/>
      </c>
      <c r="AS153" s="4">
        <f>IF(OR($B153="",K153=""),"",IF($B153=0,--(K153=0),""))</f>
        <v/>
      </c>
      <c r="AT153" s="4">
        <f>IF(K153="","",--(K153=1))</f>
        <v/>
      </c>
      <c r="AU153" s="4">
        <f>IF(OR($B153="",L153=""),"",--(L153=$B153))</f>
        <v/>
      </c>
      <c r="AV153" s="4">
        <f>IF(OR($B153="",L153=""),"",IF($B153=1,--(L153=1),""))</f>
        <v/>
      </c>
      <c r="AW153" s="4">
        <f>IF(OR($B153="",L153=""),"",IF($B153=0,--(L153=0),""))</f>
        <v/>
      </c>
      <c r="AX153" s="4">
        <f>IF(L153="","",--(L153=1))</f>
        <v/>
      </c>
      <c r="AY153" s="4">
        <f>IF(OR($B153="",M153=""),"",--(M153=$B153))</f>
        <v/>
      </c>
      <c r="AZ153" s="4">
        <f>IF(OR($B153="",M153=""),"",IF($B153=1,--(M153=1),""))</f>
        <v/>
      </c>
      <c r="BA153" s="4">
        <f>IF(OR($B153="",M153=""),"",IF($B153=0,--(M153=0),""))</f>
        <v/>
      </c>
      <c r="BB153" s="4">
        <f>IF(M153="","",--(M153=1))</f>
        <v/>
      </c>
      <c r="BC153" s="4">
        <f>IF(OR($B153="",N153=""),"",--(N153=$B153))</f>
        <v/>
      </c>
      <c r="BD153" s="4">
        <f>IF(OR($B153="",N153=""),"",IF($B153=1,--(N153=1),""))</f>
        <v/>
      </c>
      <c r="BE153" s="4">
        <f>IF(OR($B153="",N153=""),"",IF($B153=0,--(N153=0),""))</f>
        <v/>
      </c>
      <c r="BF153" s="4">
        <f>IF(N153="","",--(N153=1))</f>
        <v/>
      </c>
    </row>
    <row r="154">
      <c r="A154" s="3" t="inlineStr">
        <is>
          <t>202035923</t>
        </is>
      </c>
      <c r="B154" s="3" t="inlineStr">
        <is>
          <t>0</t>
        </is>
      </c>
      <c r="C154" s="3" t="inlineStr">
        <is>
          <t>Direct</t>
        </is>
      </c>
      <c r="D154" s="3" t="inlineStr">
        <is>
          <t>1</t>
        </is>
      </c>
      <c r="E154" s="3" t="inlineStr">
        <is>
          <t>1</t>
        </is>
      </c>
      <c r="F154" s="3" t="inlineStr">
        <is>
          <t>0</t>
        </is>
      </c>
      <c r="G154" s="3" t="inlineStr">
        <is>
          <t>0</t>
        </is>
      </c>
      <c r="H154" s="3" t="inlineStr">
        <is>
          <t>0</t>
        </is>
      </c>
      <c r="I154" s="3" t="inlineStr">
        <is>
          <t>0</t>
        </is>
      </c>
      <c r="J154" s="3" t="inlineStr">
        <is>
          <t>0</t>
        </is>
      </c>
      <c r="K154" s="3" t="inlineStr">
        <is>
          <t>0</t>
        </is>
      </c>
      <c r="L154" s="3" t="inlineStr">
        <is>
          <t>1</t>
        </is>
      </c>
      <c r="M154" s="3" t="inlineStr">
        <is>
          <t>1</t>
        </is>
      </c>
      <c r="N154" s="3" t="inlineStr">
        <is>
          <t>1</t>
        </is>
      </c>
      <c r="O154" s="4">
        <f>IF(OR($B154="",D154=""),"",--(D154=$B154))</f>
        <v/>
      </c>
      <c r="P154" s="4">
        <f>IF(OR($B154="",D154=""),"",IF($B154=1,--(D154=1),""))</f>
        <v/>
      </c>
      <c r="Q154" s="4">
        <f>IF(OR($B154="",D154=""),"",IF($B154=0,--(D154=0),""))</f>
        <v/>
      </c>
      <c r="R154" s="4">
        <f>IF(D154="","",--(D154=1))</f>
        <v/>
      </c>
      <c r="S154" s="4">
        <f>IF(OR($B154="",E154=""),"",--(E154=$B154))</f>
        <v/>
      </c>
      <c r="T154" s="4">
        <f>IF(OR($B154="",E154=""),"",IF($B154=1,--(E154=1),""))</f>
        <v/>
      </c>
      <c r="U154" s="4">
        <f>IF(OR($B154="",E154=""),"",IF($B154=0,--(E154=0),""))</f>
        <v/>
      </c>
      <c r="V154" s="4">
        <f>IF(E154="","",--(E154=1))</f>
        <v/>
      </c>
      <c r="W154" s="4">
        <f>IF(OR($B154="",F154=""),"",--(F154=$B154))</f>
        <v/>
      </c>
      <c r="X154" s="4">
        <f>IF(OR($B154="",F154=""),"",IF($B154=1,--(F154=1),""))</f>
        <v/>
      </c>
      <c r="Y154" s="4">
        <f>IF(OR($B154="",F154=""),"",IF($B154=0,--(F154=0),""))</f>
        <v/>
      </c>
      <c r="Z154" s="4">
        <f>IF(F154="","",--(F154=1))</f>
        <v/>
      </c>
      <c r="AA154" s="4">
        <f>IF(OR($B154="",G154=""),"",--(G154=$B154))</f>
        <v/>
      </c>
      <c r="AB154" s="4">
        <f>IF(OR($B154="",G154=""),"",IF($B154=1,--(G154=1),""))</f>
        <v/>
      </c>
      <c r="AC154" s="4">
        <f>IF(OR($B154="",G154=""),"",IF($B154=0,--(G154=0),""))</f>
        <v/>
      </c>
      <c r="AD154" s="4">
        <f>IF(G154="","",--(G154=1))</f>
        <v/>
      </c>
      <c r="AE154" s="4">
        <f>IF(OR($B154="",H154=""),"",--(H154=$B154))</f>
        <v/>
      </c>
      <c r="AF154" s="4">
        <f>IF(OR($B154="",H154=""),"",IF($B154=1,--(H154=1),""))</f>
        <v/>
      </c>
      <c r="AG154" s="4">
        <f>IF(OR($B154="",H154=""),"",IF($B154=0,--(H154=0),""))</f>
        <v/>
      </c>
      <c r="AH154" s="4">
        <f>IF(H154="","",--(H154=1))</f>
        <v/>
      </c>
      <c r="AI154" s="4">
        <f>IF(OR($B154="",I154=""),"",--(I154=$B154))</f>
        <v/>
      </c>
      <c r="AJ154" s="4">
        <f>IF(OR($B154="",I154=""),"",IF($B154=1,--(I154=1),""))</f>
        <v/>
      </c>
      <c r="AK154" s="4">
        <f>IF(OR($B154="",I154=""),"",IF($B154=0,--(I154=0),""))</f>
        <v/>
      </c>
      <c r="AL154" s="4">
        <f>IF(I154="","",--(I154=1))</f>
        <v/>
      </c>
      <c r="AM154" s="4">
        <f>IF(OR($B154="",J154=""),"",--(J154=$B154))</f>
        <v/>
      </c>
      <c r="AN154" s="4">
        <f>IF(OR($B154="",J154=""),"",IF($B154=1,--(J154=1),""))</f>
        <v/>
      </c>
      <c r="AO154" s="4">
        <f>IF(OR($B154="",J154=""),"",IF($B154=0,--(J154=0),""))</f>
        <v/>
      </c>
      <c r="AP154" s="4">
        <f>IF(J154="","",--(J154=1))</f>
        <v/>
      </c>
      <c r="AQ154" s="4">
        <f>IF(OR($B154="",K154=""),"",--(K154=$B154))</f>
        <v/>
      </c>
      <c r="AR154" s="4">
        <f>IF(OR($B154="",K154=""),"",IF($B154=1,--(K154=1),""))</f>
        <v/>
      </c>
      <c r="AS154" s="4">
        <f>IF(OR($B154="",K154=""),"",IF($B154=0,--(K154=0),""))</f>
        <v/>
      </c>
      <c r="AT154" s="4">
        <f>IF(K154="","",--(K154=1))</f>
        <v/>
      </c>
      <c r="AU154" s="4">
        <f>IF(OR($B154="",L154=""),"",--(L154=$B154))</f>
        <v/>
      </c>
      <c r="AV154" s="4">
        <f>IF(OR($B154="",L154=""),"",IF($B154=1,--(L154=1),""))</f>
        <v/>
      </c>
      <c r="AW154" s="4">
        <f>IF(OR($B154="",L154=""),"",IF($B154=0,--(L154=0),""))</f>
        <v/>
      </c>
      <c r="AX154" s="4">
        <f>IF(L154="","",--(L154=1))</f>
        <v/>
      </c>
      <c r="AY154" s="4">
        <f>IF(OR($B154="",M154=""),"",--(M154=$B154))</f>
        <v/>
      </c>
      <c r="AZ154" s="4">
        <f>IF(OR($B154="",M154=""),"",IF($B154=1,--(M154=1),""))</f>
        <v/>
      </c>
      <c r="BA154" s="4">
        <f>IF(OR($B154="",M154=""),"",IF($B154=0,--(M154=0),""))</f>
        <v/>
      </c>
      <c r="BB154" s="4">
        <f>IF(M154="","",--(M154=1))</f>
        <v/>
      </c>
      <c r="BC154" s="4">
        <f>IF(OR($B154="",N154=""),"",--(N154=$B154))</f>
        <v/>
      </c>
      <c r="BD154" s="4">
        <f>IF(OR($B154="",N154=""),"",IF($B154=1,--(N154=1),""))</f>
        <v/>
      </c>
      <c r="BE154" s="4">
        <f>IF(OR($B154="",N154=""),"",IF($B154=0,--(N154=0),""))</f>
        <v/>
      </c>
      <c r="BF154" s="4">
        <f>IF(N154="","",--(N154=1))</f>
        <v/>
      </c>
    </row>
    <row r="155">
      <c r="A155" s="3" t="inlineStr">
        <is>
          <t>202036095</t>
        </is>
      </c>
      <c r="B155" s="3" t="inlineStr">
        <is>
          <t>1</t>
        </is>
      </c>
      <c r="C155" s="3" t="inlineStr">
        <is>
          <t>Direct</t>
        </is>
      </c>
      <c r="D155" s="3" t="inlineStr">
        <is>
          <t>1</t>
        </is>
      </c>
      <c r="E155" s="3" t="inlineStr">
        <is>
          <t>1</t>
        </is>
      </c>
      <c r="F155" s="3" t="inlineStr">
        <is>
          <t>1</t>
        </is>
      </c>
      <c r="G155" s="3" t="inlineStr">
        <is>
          <t>1</t>
        </is>
      </c>
      <c r="H155" s="3" t="inlineStr">
        <is>
          <t>1</t>
        </is>
      </c>
      <c r="I155" s="3" t="inlineStr">
        <is>
          <t>1</t>
        </is>
      </c>
      <c r="J155" s="3" t="inlineStr">
        <is>
          <t>1</t>
        </is>
      </c>
      <c r="K155" s="3" t="inlineStr">
        <is>
          <t>1</t>
        </is>
      </c>
      <c r="L155" s="3" t="inlineStr">
        <is>
          <t>1</t>
        </is>
      </c>
      <c r="M155" s="3" t="inlineStr">
        <is>
          <t>1</t>
        </is>
      </c>
      <c r="N155" s="3" t="inlineStr">
        <is>
          <t>1</t>
        </is>
      </c>
      <c r="O155" s="4">
        <f>IF(OR($B155="",D155=""),"",--(D155=$B155))</f>
        <v/>
      </c>
      <c r="P155" s="4">
        <f>IF(OR($B155="",D155=""),"",IF($B155=1,--(D155=1),""))</f>
        <v/>
      </c>
      <c r="Q155" s="4">
        <f>IF(OR($B155="",D155=""),"",IF($B155=0,--(D155=0),""))</f>
        <v/>
      </c>
      <c r="R155" s="4">
        <f>IF(D155="","",--(D155=1))</f>
        <v/>
      </c>
      <c r="S155" s="4">
        <f>IF(OR($B155="",E155=""),"",--(E155=$B155))</f>
        <v/>
      </c>
      <c r="T155" s="4">
        <f>IF(OR($B155="",E155=""),"",IF($B155=1,--(E155=1),""))</f>
        <v/>
      </c>
      <c r="U155" s="4">
        <f>IF(OR($B155="",E155=""),"",IF($B155=0,--(E155=0),""))</f>
        <v/>
      </c>
      <c r="V155" s="4">
        <f>IF(E155="","",--(E155=1))</f>
        <v/>
      </c>
      <c r="W155" s="4">
        <f>IF(OR($B155="",F155=""),"",--(F155=$B155))</f>
        <v/>
      </c>
      <c r="X155" s="4">
        <f>IF(OR($B155="",F155=""),"",IF($B155=1,--(F155=1),""))</f>
        <v/>
      </c>
      <c r="Y155" s="4">
        <f>IF(OR($B155="",F155=""),"",IF($B155=0,--(F155=0),""))</f>
        <v/>
      </c>
      <c r="Z155" s="4">
        <f>IF(F155="","",--(F155=1))</f>
        <v/>
      </c>
      <c r="AA155" s="4">
        <f>IF(OR($B155="",G155=""),"",--(G155=$B155))</f>
        <v/>
      </c>
      <c r="AB155" s="4">
        <f>IF(OR($B155="",G155=""),"",IF($B155=1,--(G155=1),""))</f>
        <v/>
      </c>
      <c r="AC155" s="4">
        <f>IF(OR($B155="",G155=""),"",IF($B155=0,--(G155=0),""))</f>
        <v/>
      </c>
      <c r="AD155" s="4">
        <f>IF(G155="","",--(G155=1))</f>
        <v/>
      </c>
      <c r="AE155" s="4">
        <f>IF(OR($B155="",H155=""),"",--(H155=$B155))</f>
        <v/>
      </c>
      <c r="AF155" s="4">
        <f>IF(OR($B155="",H155=""),"",IF($B155=1,--(H155=1),""))</f>
        <v/>
      </c>
      <c r="AG155" s="4">
        <f>IF(OR($B155="",H155=""),"",IF($B155=0,--(H155=0),""))</f>
        <v/>
      </c>
      <c r="AH155" s="4">
        <f>IF(H155="","",--(H155=1))</f>
        <v/>
      </c>
      <c r="AI155" s="4">
        <f>IF(OR($B155="",I155=""),"",--(I155=$B155))</f>
        <v/>
      </c>
      <c r="AJ155" s="4">
        <f>IF(OR($B155="",I155=""),"",IF($B155=1,--(I155=1),""))</f>
        <v/>
      </c>
      <c r="AK155" s="4">
        <f>IF(OR($B155="",I155=""),"",IF($B155=0,--(I155=0),""))</f>
        <v/>
      </c>
      <c r="AL155" s="4">
        <f>IF(I155="","",--(I155=1))</f>
        <v/>
      </c>
      <c r="AM155" s="4">
        <f>IF(OR($B155="",J155=""),"",--(J155=$B155))</f>
        <v/>
      </c>
      <c r="AN155" s="4">
        <f>IF(OR($B155="",J155=""),"",IF($B155=1,--(J155=1),""))</f>
        <v/>
      </c>
      <c r="AO155" s="4">
        <f>IF(OR($B155="",J155=""),"",IF($B155=0,--(J155=0),""))</f>
        <v/>
      </c>
      <c r="AP155" s="4">
        <f>IF(J155="","",--(J155=1))</f>
        <v/>
      </c>
      <c r="AQ155" s="4">
        <f>IF(OR($B155="",K155=""),"",--(K155=$B155))</f>
        <v/>
      </c>
      <c r="AR155" s="4">
        <f>IF(OR($B155="",K155=""),"",IF($B155=1,--(K155=1),""))</f>
        <v/>
      </c>
      <c r="AS155" s="4">
        <f>IF(OR($B155="",K155=""),"",IF($B155=0,--(K155=0),""))</f>
        <v/>
      </c>
      <c r="AT155" s="4">
        <f>IF(K155="","",--(K155=1))</f>
        <v/>
      </c>
      <c r="AU155" s="4">
        <f>IF(OR($B155="",L155=""),"",--(L155=$B155))</f>
        <v/>
      </c>
      <c r="AV155" s="4">
        <f>IF(OR($B155="",L155=""),"",IF($B155=1,--(L155=1),""))</f>
        <v/>
      </c>
      <c r="AW155" s="4">
        <f>IF(OR($B155="",L155=""),"",IF($B155=0,--(L155=0),""))</f>
        <v/>
      </c>
      <c r="AX155" s="4">
        <f>IF(L155="","",--(L155=1))</f>
        <v/>
      </c>
      <c r="AY155" s="4">
        <f>IF(OR($B155="",M155=""),"",--(M155=$B155))</f>
        <v/>
      </c>
      <c r="AZ155" s="4">
        <f>IF(OR($B155="",M155=""),"",IF($B155=1,--(M155=1),""))</f>
        <v/>
      </c>
      <c r="BA155" s="4">
        <f>IF(OR($B155="",M155=""),"",IF($B155=0,--(M155=0),""))</f>
        <v/>
      </c>
      <c r="BB155" s="4">
        <f>IF(M155="","",--(M155=1))</f>
        <v/>
      </c>
      <c r="BC155" s="4">
        <f>IF(OR($B155="",N155=""),"",--(N155=$B155))</f>
        <v/>
      </c>
      <c r="BD155" s="4">
        <f>IF(OR($B155="",N155=""),"",IF($B155=1,--(N155=1),""))</f>
        <v/>
      </c>
      <c r="BE155" s="4">
        <f>IF(OR($B155="",N155=""),"",IF($B155=0,--(N155=0),""))</f>
        <v/>
      </c>
      <c r="BF155" s="4">
        <f>IF(N155="","",--(N155=1))</f>
        <v/>
      </c>
    </row>
    <row r="156">
      <c r="A156" s="3" t="inlineStr">
        <is>
          <t>202036158</t>
        </is>
      </c>
      <c r="B156" s="3" t="inlineStr">
        <is>
          <t>0</t>
        </is>
      </c>
      <c r="C156" s="3" t="inlineStr">
        <is>
          <t>Direct</t>
        </is>
      </c>
      <c r="D156" s="3" t="inlineStr">
        <is>
          <t>1</t>
        </is>
      </c>
      <c r="E156" s="3" t="inlineStr">
        <is>
          <t>1</t>
        </is>
      </c>
      <c r="F156" s="3" t="inlineStr">
        <is>
          <t>1</t>
        </is>
      </c>
      <c r="G156" s="3" t="inlineStr">
        <is>
          <t>1</t>
        </is>
      </c>
      <c r="H156" s="3" t="inlineStr">
        <is>
          <t>1</t>
        </is>
      </c>
      <c r="I156" s="3" t="inlineStr">
        <is>
          <t>1</t>
        </is>
      </c>
      <c r="J156" s="3" t="inlineStr">
        <is>
          <t>1</t>
        </is>
      </c>
      <c r="K156" s="3" t="inlineStr">
        <is>
          <t>1</t>
        </is>
      </c>
      <c r="L156" s="3" t="inlineStr">
        <is>
          <t>1</t>
        </is>
      </c>
      <c r="M156" s="3" t="inlineStr">
        <is>
          <t>1</t>
        </is>
      </c>
      <c r="N156" s="3" t="inlineStr">
        <is>
          <t>1</t>
        </is>
      </c>
      <c r="O156" s="4">
        <f>IF(OR($B156="",D156=""),"",--(D156=$B156))</f>
        <v/>
      </c>
      <c r="P156" s="4">
        <f>IF(OR($B156="",D156=""),"",IF($B156=1,--(D156=1),""))</f>
        <v/>
      </c>
      <c r="Q156" s="4">
        <f>IF(OR($B156="",D156=""),"",IF($B156=0,--(D156=0),""))</f>
        <v/>
      </c>
      <c r="R156" s="4">
        <f>IF(D156="","",--(D156=1))</f>
        <v/>
      </c>
      <c r="S156" s="4">
        <f>IF(OR($B156="",E156=""),"",--(E156=$B156))</f>
        <v/>
      </c>
      <c r="T156" s="4">
        <f>IF(OR($B156="",E156=""),"",IF($B156=1,--(E156=1),""))</f>
        <v/>
      </c>
      <c r="U156" s="4">
        <f>IF(OR($B156="",E156=""),"",IF($B156=0,--(E156=0),""))</f>
        <v/>
      </c>
      <c r="V156" s="4">
        <f>IF(E156="","",--(E156=1))</f>
        <v/>
      </c>
      <c r="W156" s="4">
        <f>IF(OR($B156="",F156=""),"",--(F156=$B156))</f>
        <v/>
      </c>
      <c r="X156" s="4">
        <f>IF(OR($B156="",F156=""),"",IF($B156=1,--(F156=1),""))</f>
        <v/>
      </c>
      <c r="Y156" s="4">
        <f>IF(OR($B156="",F156=""),"",IF($B156=0,--(F156=0),""))</f>
        <v/>
      </c>
      <c r="Z156" s="4">
        <f>IF(F156="","",--(F156=1))</f>
        <v/>
      </c>
      <c r="AA156" s="4">
        <f>IF(OR($B156="",G156=""),"",--(G156=$B156))</f>
        <v/>
      </c>
      <c r="AB156" s="4">
        <f>IF(OR($B156="",G156=""),"",IF($B156=1,--(G156=1),""))</f>
        <v/>
      </c>
      <c r="AC156" s="4">
        <f>IF(OR($B156="",G156=""),"",IF($B156=0,--(G156=0),""))</f>
        <v/>
      </c>
      <c r="AD156" s="4">
        <f>IF(G156="","",--(G156=1))</f>
        <v/>
      </c>
      <c r="AE156" s="4">
        <f>IF(OR($B156="",H156=""),"",--(H156=$B156))</f>
        <v/>
      </c>
      <c r="AF156" s="4">
        <f>IF(OR($B156="",H156=""),"",IF($B156=1,--(H156=1),""))</f>
        <v/>
      </c>
      <c r="AG156" s="4">
        <f>IF(OR($B156="",H156=""),"",IF($B156=0,--(H156=0),""))</f>
        <v/>
      </c>
      <c r="AH156" s="4">
        <f>IF(H156="","",--(H156=1))</f>
        <v/>
      </c>
      <c r="AI156" s="4">
        <f>IF(OR($B156="",I156=""),"",--(I156=$B156))</f>
        <v/>
      </c>
      <c r="AJ156" s="4">
        <f>IF(OR($B156="",I156=""),"",IF($B156=1,--(I156=1),""))</f>
        <v/>
      </c>
      <c r="AK156" s="4">
        <f>IF(OR($B156="",I156=""),"",IF($B156=0,--(I156=0),""))</f>
        <v/>
      </c>
      <c r="AL156" s="4">
        <f>IF(I156="","",--(I156=1))</f>
        <v/>
      </c>
      <c r="AM156" s="4">
        <f>IF(OR($B156="",J156=""),"",--(J156=$B156))</f>
        <v/>
      </c>
      <c r="AN156" s="4">
        <f>IF(OR($B156="",J156=""),"",IF($B156=1,--(J156=1),""))</f>
        <v/>
      </c>
      <c r="AO156" s="4">
        <f>IF(OR($B156="",J156=""),"",IF($B156=0,--(J156=0),""))</f>
        <v/>
      </c>
      <c r="AP156" s="4">
        <f>IF(J156="","",--(J156=1))</f>
        <v/>
      </c>
      <c r="AQ156" s="4">
        <f>IF(OR($B156="",K156=""),"",--(K156=$B156))</f>
        <v/>
      </c>
      <c r="AR156" s="4">
        <f>IF(OR($B156="",K156=""),"",IF($B156=1,--(K156=1),""))</f>
        <v/>
      </c>
      <c r="AS156" s="4">
        <f>IF(OR($B156="",K156=""),"",IF($B156=0,--(K156=0),""))</f>
        <v/>
      </c>
      <c r="AT156" s="4">
        <f>IF(K156="","",--(K156=1))</f>
        <v/>
      </c>
      <c r="AU156" s="4">
        <f>IF(OR($B156="",L156=""),"",--(L156=$B156))</f>
        <v/>
      </c>
      <c r="AV156" s="4">
        <f>IF(OR($B156="",L156=""),"",IF($B156=1,--(L156=1),""))</f>
        <v/>
      </c>
      <c r="AW156" s="4">
        <f>IF(OR($B156="",L156=""),"",IF($B156=0,--(L156=0),""))</f>
        <v/>
      </c>
      <c r="AX156" s="4">
        <f>IF(L156="","",--(L156=1))</f>
        <v/>
      </c>
      <c r="AY156" s="4">
        <f>IF(OR($B156="",M156=""),"",--(M156=$B156))</f>
        <v/>
      </c>
      <c r="AZ156" s="4">
        <f>IF(OR($B156="",M156=""),"",IF($B156=1,--(M156=1),""))</f>
        <v/>
      </c>
      <c r="BA156" s="4">
        <f>IF(OR($B156="",M156=""),"",IF($B156=0,--(M156=0),""))</f>
        <v/>
      </c>
      <c r="BB156" s="4">
        <f>IF(M156="","",--(M156=1))</f>
        <v/>
      </c>
      <c r="BC156" s="4">
        <f>IF(OR($B156="",N156=""),"",--(N156=$B156))</f>
        <v/>
      </c>
      <c r="BD156" s="4">
        <f>IF(OR($B156="",N156=""),"",IF($B156=1,--(N156=1),""))</f>
        <v/>
      </c>
      <c r="BE156" s="4">
        <f>IF(OR($B156="",N156=""),"",IF($B156=0,--(N156=0),""))</f>
        <v/>
      </c>
      <c r="BF156" s="4">
        <f>IF(N156="","",--(N156=1))</f>
        <v/>
      </c>
    </row>
    <row r="157">
      <c r="A157" s="3" t="inlineStr">
        <is>
          <t>202036655</t>
        </is>
      </c>
      <c r="B157" s="3" t="inlineStr">
        <is>
          <t>0</t>
        </is>
      </c>
      <c r="C157" s="3" t="inlineStr">
        <is>
          <t>Direct</t>
        </is>
      </c>
      <c r="D157" s="3" t="inlineStr">
        <is>
          <t>1</t>
        </is>
      </c>
      <c r="E157" s="3" t="inlineStr">
        <is>
          <t>0</t>
        </is>
      </c>
      <c r="F157" s="3" t="inlineStr">
        <is>
          <t>1</t>
        </is>
      </c>
      <c r="G157" s="3" t="inlineStr">
        <is>
          <t>0</t>
        </is>
      </c>
      <c r="H157" s="3" t="inlineStr">
        <is>
          <t>1</t>
        </is>
      </c>
      <c r="I157" s="3" t="inlineStr">
        <is>
          <t>1</t>
        </is>
      </c>
      <c r="J157" s="3" t="inlineStr">
        <is>
          <t>1</t>
        </is>
      </c>
      <c r="K157" s="3" t="inlineStr">
        <is>
          <t>1</t>
        </is>
      </c>
      <c r="L157" s="3" t="inlineStr">
        <is>
          <t>1</t>
        </is>
      </c>
      <c r="M157" s="3" t="inlineStr">
        <is>
          <t>1</t>
        </is>
      </c>
      <c r="N157" s="3" t="inlineStr">
        <is>
          <t>1</t>
        </is>
      </c>
      <c r="O157" s="4">
        <f>IF(OR($B157="",D157=""),"",--(D157=$B157))</f>
        <v/>
      </c>
      <c r="P157" s="4">
        <f>IF(OR($B157="",D157=""),"",IF($B157=1,--(D157=1),""))</f>
        <v/>
      </c>
      <c r="Q157" s="4">
        <f>IF(OR($B157="",D157=""),"",IF($B157=0,--(D157=0),""))</f>
        <v/>
      </c>
      <c r="R157" s="4">
        <f>IF(D157="","",--(D157=1))</f>
        <v/>
      </c>
      <c r="S157" s="4">
        <f>IF(OR($B157="",E157=""),"",--(E157=$B157))</f>
        <v/>
      </c>
      <c r="T157" s="4">
        <f>IF(OR($B157="",E157=""),"",IF($B157=1,--(E157=1),""))</f>
        <v/>
      </c>
      <c r="U157" s="4">
        <f>IF(OR($B157="",E157=""),"",IF($B157=0,--(E157=0),""))</f>
        <v/>
      </c>
      <c r="V157" s="4">
        <f>IF(E157="","",--(E157=1))</f>
        <v/>
      </c>
      <c r="W157" s="4">
        <f>IF(OR($B157="",F157=""),"",--(F157=$B157))</f>
        <v/>
      </c>
      <c r="X157" s="4">
        <f>IF(OR($B157="",F157=""),"",IF($B157=1,--(F157=1),""))</f>
        <v/>
      </c>
      <c r="Y157" s="4">
        <f>IF(OR($B157="",F157=""),"",IF($B157=0,--(F157=0),""))</f>
        <v/>
      </c>
      <c r="Z157" s="4">
        <f>IF(F157="","",--(F157=1))</f>
        <v/>
      </c>
      <c r="AA157" s="4">
        <f>IF(OR($B157="",G157=""),"",--(G157=$B157))</f>
        <v/>
      </c>
      <c r="AB157" s="4">
        <f>IF(OR($B157="",G157=""),"",IF($B157=1,--(G157=1),""))</f>
        <v/>
      </c>
      <c r="AC157" s="4">
        <f>IF(OR($B157="",G157=""),"",IF($B157=0,--(G157=0),""))</f>
        <v/>
      </c>
      <c r="AD157" s="4">
        <f>IF(G157="","",--(G157=1))</f>
        <v/>
      </c>
      <c r="AE157" s="4">
        <f>IF(OR($B157="",H157=""),"",--(H157=$B157))</f>
        <v/>
      </c>
      <c r="AF157" s="4">
        <f>IF(OR($B157="",H157=""),"",IF($B157=1,--(H157=1),""))</f>
        <v/>
      </c>
      <c r="AG157" s="4">
        <f>IF(OR($B157="",H157=""),"",IF($B157=0,--(H157=0),""))</f>
        <v/>
      </c>
      <c r="AH157" s="4">
        <f>IF(H157="","",--(H157=1))</f>
        <v/>
      </c>
      <c r="AI157" s="4">
        <f>IF(OR($B157="",I157=""),"",--(I157=$B157))</f>
        <v/>
      </c>
      <c r="AJ157" s="4">
        <f>IF(OR($B157="",I157=""),"",IF($B157=1,--(I157=1),""))</f>
        <v/>
      </c>
      <c r="AK157" s="4">
        <f>IF(OR($B157="",I157=""),"",IF($B157=0,--(I157=0),""))</f>
        <v/>
      </c>
      <c r="AL157" s="4">
        <f>IF(I157="","",--(I157=1))</f>
        <v/>
      </c>
      <c r="AM157" s="4">
        <f>IF(OR($B157="",J157=""),"",--(J157=$B157))</f>
        <v/>
      </c>
      <c r="AN157" s="4">
        <f>IF(OR($B157="",J157=""),"",IF($B157=1,--(J157=1),""))</f>
        <v/>
      </c>
      <c r="AO157" s="4">
        <f>IF(OR($B157="",J157=""),"",IF($B157=0,--(J157=0),""))</f>
        <v/>
      </c>
      <c r="AP157" s="4">
        <f>IF(J157="","",--(J157=1))</f>
        <v/>
      </c>
      <c r="AQ157" s="4">
        <f>IF(OR($B157="",K157=""),"",--(K157=$B157))</f>
        <v/>
      </c>
      <c r="AR157" s="4">
        <f>IF(OR($B157="",K157=""),"",IF($B157=1,--(K157=1),""))</f>
        <v/>
      </c>
      <c r="AS157" s="4">
        <f>IF(OR($B157="",K157=""),"",IF($B157=0,--(K157=0),""))</f>
        <v/>
      </c>
      <c r="AT157" s="4">
        <f>IF(K157="","",--(K157=1))</f>
        <v/>
      </c>
      <c r="AU157" s="4">
        <f>IF(OR($B157="",L157=""),"",--(L157=$B157))</f>
        <v/>
      </c>
      <c r="AV157" s="4">
        <f>IF(OR($B157="",L157=""),"",IF($B157=1,--(L157=1),""))</f>
        <v/>
      </c>
      <c r="AW157" s="4">
        <f>IF(OR($B157="",L157=""),"",IF($B157=0,--(L157=0),""))</f>
        <v/>
      </c>
      <c r="AX157" s="4">
        <f>IF(L157="","",--(L157=1))</f>
        <v/>
      </c>
      <c r="AY157" s="4">
        <f>IF(OR($B157="",M157=""),"",--(M157=$B157))</f>
        <v/>
      </c>
      <c r="AZ157" s="4">
        <f>IF(OR($B157="",M157=""),"",IF($B157=1,--(M157=1),""))</f>
        <v/>
      </c>
      <c r="BA157" s="4">
        <f>IF(OR($B157="",M157=""),"",IF($B157=0,--(M157=0),""))</f>
        <v/>
      </c>
      <c r="BB157" s="4">
        <f>IF(M157="","",--(M157=1))</f>
        <v/>
      </c>
      <c r="BC157" s="4">
        <f>IF(OR($B157="",N157=""),"",--(N157=$B157))</f>
        <v/>
      </c>
      <c r="BD157" s="4">
        <f>IF(OR($B157="",N157=""),"",IF($B157=1,--(N157=1),""))</f>
        <v/>
      </c>
      <c r="BE157" s="4">
        <f>IF(OR($B157="",N157=""),"",IF($B157=0,--(N157=0),""))</f>
        <v/>
      </c>
      <c r="BF157" s="4">
        <f>IF(N157="","",--(N157=1))</f>
        <v/>
      </c>
    </row>
    <row r="158">
      <c r="A158" s="3" t="inlineStr">
        <is>
          <t>202037002</t>
        </is>
      </c>
      <c r="B158" s="3" t="inlineStr">
        <is>
          <t>1</t>
        </is>
      </c>
      <c r="C158" s="3" t="inlineStr">
        <is>
          <t>Direct</t>
        </is>
      </c>
      <c r="D158" s="3" t="inlineStr">
        <is>
          <t>1</t>
        </is>
      </c>
      <c r="E158" s="3" t="inlineStr">
        <is>
          <t>1</t>
        </is>
      </c>
      <c r="F158" s="3" t="inlineStr">
        <is>
          <t>0</t>
        </is>
      </c>
      <c r="G158" s="3" t="inlineStr">
        <is>
          <t>1</t>
        </is>
      </c>
      <c r="H158" s="3" t="inlineStr">
        <is>
          <t>1</t>
        </is>
      </c>
      <c r="I158" s="3" t="inlineStr">
        <is>
          <t>1</t>
        </is>
      </c>
      <c r="J158" s="3" t="inlineStr">
        <is>
          <t>1</t>
        </is>
      </c>
      <c r="K158" s="3" t="inlineStr">
        <is>
          <t>1</t>
        </is>
      </c>
      <c r="L158" s="3" t="inlineStr">
        <is>
          <t>1</t>
        </is>
      </c>
      <c r="M158" s="3" t="inlineStr">
        <is>
          <t>1</t>
        </is>
      </c>
      <c r="N158" s="3" t="inlineStr">
        <is>
          <t>1</t>
        </is>
      </c>
      <c r="O158" s="4">
        <f>IF(OR($B158="",D158=""),"",--(D158=$B158))</f>
        <v/>
      </c>
      <c r="P158" s="4">
        <f>IF(OR($B158="",D158=""),"",IF($B158=1,--(D158=1),""))</f>
        <v/>
      </c>
      <c r="Q158" s="4">
        <f>IF(OR($B158="",D158=""),"",IF($B158=0,--(D158=0),""))</f>
        <v/>
      </c>
      <c r="R158" s="4">
        <f>IF(D158="","",--(D158=1))</f>
        <v/>
      </c>
      <c r="S158" s="4">
        <f>IF(OR($B158="",E158=""),"",--(E158=$B158))</f>
        <v/>
      </c>
      <c r="T158" s="4">
        <f>IF(OR($B158="",E158=""),"",IF($B158=1,--(E158=1),""))</f>
        <v/>
      </c>
      <c r="U158" s="4">
        <f>IF(OR($B158="",E158=""),"",IF($B158=0,--(E158=0),""))</f>
        <v/>
      </c>
      <c r="V158" s="4">
        <f>IF(E158="","",--(E158=1))</f>
        <v/>
      </c>
      <c r="W158" s="4">
        <f>IF(OR($B158="",F158=""),"",--(F158=$B158))</f>
        <v/>
      </c>
      <c r="X158" s="4">
        <f>IF(OR($B158="",F158=""),"",IF($B158=1,--(F158=1),""))</f>
        <v/>
      </c>
      <c r="Y158" s="4">
        <f>IF(OR($B158="",F158=""),"",IF($B158=0,--(F158=0),""))</f>
        <v/>
      </c>
      <c r="Z158" s="4">
        <f>IF(F158="","",--(F158=1))</f>
        <v/>
      </c>
      <c r="AA158" s="4">
        <f>IF(OR($B158="",G158=""),"",--(G158=$B158))</f>
        <v/>
      </c>
      <c r="AB158" s="4">
        <f>IF(OR($B158="",G158=""),"",IF($B158=1,--(G158=1),""))</f>
        <v/>
      </c>
      <c r="AC158" s="4">
        <f>IF(OR($B158="",G158=""),"",IF($B158=0,--(G158=0),""))</f>
        <v/>
      </c>
      <c r="AD158" s="4">
        <f>IF(G158="","",--(G158=1))</f>
        <v/>
      </c>
      <c r="AE158" s="4">
        <f>IF(OR($B158="",H158=""),"",--(H158=$B158))</f>
        <v/>
      </c>
      <c r="AF158" s="4">
        <f>IF(OR($B158="",H158=""),"",IF($B158=1,--(H158=1),""))</f>
        <v/>
      </c>
      <c r="AG158" s="4">
        <f>IF(OR($B158="",H158=""),"",IF($B158=0,--(H158=0),""))</f>
        <v/>
      </c>
      <c r="AH158" s="4">
        <f>IF(H158="","",--(H158=1))</f>
        <v/>
      </c>
      <c r="AI158" s="4">
        <f>IF(OR($B158="",I158=""),"",--(I158=$B158))</f>
        <v/>
      </c>
      <c r="AJ158" s="4">
        <f>IF(OR($B158="",I158=""),"",IF($B158=1,--(I158=1),""))</f>
        <v/>
      </c>
      <c r="AK158" s="4">
        <f>IF(OR($B158="",I158=""),"",IF($B158=0,--(I158=0),""))</f>
        <v/>
      </c>
      <c r="AL158" s="4">
        <f>IF(I158="","",--(I158=1))</f>
        <v/>
      </c>
      <c r="AM158" s="4">
        <f>IF(OR($B158="",J158=""),"",--(J158=$B158))</f>
        <v/>
      </c>
      <c r="AN158" s="4">
        <f>IF(OR($B158="",J158=""),"",IF($B158=1,--(J158=1),""))</f>
        <v/>
      </c>
      <c r="AO158" s="4">
        <f>IF(OR($B158="",J158=""),"",IF($B158=0,--(J158=0),""))</f>
        <v/>
      </c>
      <c r="AP158" s="4">
        <f>IF(J158="","",--(J158=1))</f>
        <v/>
      </c>
      <c r="AQ158" s="4">
        <f>IF(OR($B158="",K158=""),"",--(K158=$B158))</f>
        <v/>
      </c>
      <c r="AR158" s="4">
        <f>IF(OR($B158="",K158=""),"",IF($B158=1,--(K158=1),""))</f>
        <v/>
      </c>
      <c r="AS158" s="4">
        <f>IF(OR($B158="",K158=""),"",IF($B158=0,--(K158=0),""))</f>
        <v/>
      </c>
      <c r="AT158" s="4">
        <f>IF(K158="","",--(K158=1))</f>
        <v/>
      </c>
      <c r="AU158" s="4">
        <f>IF(OR($B158="",L158=""),"",--(L158=$B158))</f>
        <v/>
      </c>
      <c r="AV158" s="4">
        <f>IF(OR($B158="",L158=""),"",IF($B158=1,--(L158=1),""))</f>
        <v/>
      </c>
      <c r="AW158" s="4">
        <f>IF(OR($B158="",L158=""),"",IF($B158=0,--(L158=0),""))</f>
        <v/>
      </c>
      <c r="AX158" s="4">
        <f>IF(L158="","",--(L158=1))</f>
        <v/>
      </c>
      <c r="AY158" s="4">
        <f>IF(OR($B158="",M158=""),"",--(M158=$B158))</f>
        <v/>
      </c>
      <c r="AZ158" s="4">
        <f>IF(OR($B158="",M158=""),"",IF($B158=1,--(M158=1),""))</f>
        <v/>
      </c>
      <c r="BA158" s="4">
        <f>IF(OR($B158="",M158=""),"",IF($B158=0,--(M158=0),""))</f>
        <v/>
      </c>
      <c r="BB158" s="4">
        <f>IF(M158="","",--(M158=1))</f>
        <v/>
      </c>
      <c r="BC158" s="4">
        <f>IF(OR($B158="",N158=""),"",--(N158=$B158))</f>
        <v/>
      </c>
      <c r="BD158" s="4">
        <f>IF(OR($B158="",N158=""),"",IF($B158=1,--(N158=1),""))</f>
        <v/>
      </c>
      <c r="BE158" s="4">
        <f>IF(OR($B158="",N158=""),"",IF($B158=0,--(N158=0),""))</f>
        <v/>
      </c>
      <c r="BF158" s="4">
        <f>IF(N158="","",--(N158=1))</f>
        <v/>
      </c>
    </row>
    <row r="159">
      <c r="A159" s="3" t="inlineStr">
        <is>
          <t>202037084</t>
        </is>
      </c>
      <c r="B159" s="3" t="inlineStr">
        <is>
          <t>0</t>
        </is>
      </c>
      <c r="C159" s="3" t="inlineStr">
        <is>
          <t>Direct</t>
        </is>
      </c>
      <c r="D159" s="3" t="inlineStr">
        <is>
          <t>1</t>
        </is>
      </c>
      <c r="E159" s="3" t="inlineStr">
        <is>
          <t>0</t>
        </is>
      </c>
      <c r="F159" s="3" t="inlineStr">
        <is>
          <t>1</t>
        </is>
      </c>
      <c r="G159" s="3" t="inlineStr">
        <is>
          <t>0</t>
        </is>
      </c>
      <c r="H159" s="3" t="inlineStr">
        <is>
          <t>1</t>
        </is>
      </c>
      <c r="I159" s="3" t="inlineStr">
        <is>
          <t>1</t>
        </is>
      </c>
      <c r="J159" s="3" t="inlineStr">
        <is>
          <t>1</t>
        </is>
      </c>
      <c r="K159" s="3" t="inlineStr">
        <is>
          <t>0</t>
        </is>
      </c>
      <c r="L159" s="3" t="inlineStr">
        <is>
          <t>1</t>
        </is>
      </c>
      <c r="M159" s="3" t="inlineStr">
        <is>
          <t>1</t>
        </is>
      </c>
      <c r="N159" s="3" t="inlineStr">
        <is>
          <t>1</t>
        </is>
      </c>
      <c r="O159" s="4">
        <f>IF(OR($B159="",D159=""),"",--(D159=$B159))</f>
        <v/>
      </c>
      <c r="P159" s="4">
        <f>IF(OR($B159="",D159=""),"",IF($B159=1,--(D159=1),""))</f>
        <v/>
      </c>
      <c r="Q159" s="4">
        <f>IF(OR($B159="",D159=""),"",IF($B159=0,--(D159=0),""))</f>
        <v/>
      </c>
      <c r="R159" s="4">
        <f>IF(D159="","",--(D159=1))</f>
        <v/>
      </c>
      <c r="S159" s="4">
        <f>IF(OR($B159="",E159=""),"",--(E159=$B159))</f>
        <v/>
      </c>
      <c r="T159" s="4">
        <f>IF(OR($B159="",E159=""),"",IF($B159=1,--(E159=1),""))</f>
        <v/>
      </c>
      <c r="U159" s="4">
        <f>IF(OR($B159="",E159=""),"",IF($B159=0,--(E159=0),""))</f>
        <v/>
      </c>
      <c r="V159" s="4">
        <f>IF(E159="","",--(E159=1))</f>
        <v/>
      </c>
      <c r="W159" s="4">
        <f>IF(OR($B159="",F159=""),"",--(F159=$B159))</f>
        <v/>
      </c>
      <c r="X159" s="4">
        <f>IF(OR($B159="",F159=""),"",IF($B159=1,--(F159=1),""))</f>
        <v/>
      </c>
      <c r="Y159" s="4">
        <f>IF(OR($B159="",F159=""),"",IF($B159=0,--(F159=0),""))</f>
        <v/>
      </c>
      <c r="Z159" s="4">
        <f>IF(F159="","",--(F159=1))</f>
        <v/>
      </c>
      <c r="AA159" s="4">
        <f>IF(OR($B159="",G159=""),"",--(G159=$B159))</f>
        <v/>
      </c>
      <c r="AB159" s="4">
        <f>IF(OR($B159="",G159=""),"",IF($B159=1,--(G159=1),""))</f>
        <v/>
      </c>
      <c r="AC159" s="4">
        <f>IF(OR($B159="",G159=""),"",IF($B159=0,--(G159=0),""))</f>
        <v/>
      </c>
      <c r="AD159" s="4">
        <f>IF(G159="","",--(G159=1))</f>
        <v/>
      </c>
      <c r="AE159" s="4">
        <f>IF(OR($B159="",H159=""),"",--(H159=$B159))</f>
        <v/>
      </c>
      <c r="AF159" s="4">
        <f>IF(OR($B159="",H159=""),"",IF($B159=1,--(H159=1),""))</f>
        <v/>
      </c>
      <c r="AG159" s="4">
        <f>IF(OR($B159="",H159=""),"",IF($B159=0,--(H159=0),""))</f>
        <v/>
      </c>
      <c r="AH159" s="4">
        <f>IF(H159="","",--(H159=1))</f>
        <v/>
      </c>
      <c r="AI159" s="4">
        <f>IF(OR($B159="",I159=""),"",--(I159=$B159))</f>
        <v/>
      </c>
      <c r="AJ159" s="4">
        <f>IF(OR($B159="",I159=""),"",IF($B159=1,--(I159=1),""))</f>
        <v/>
      </c>
      <c r="AK159" s="4">
        <f>IF(OR($B159="",I159=""),"",IF($B159=0,--(I159=0),""))</f>
        <v/>
      </c>
      <c r="AL159" s="4">
        <f>IF(I159="","",--(I159=1))</f>
        <v/>
      </c>
      <c r="AM159" s="4">
        <f>IF(OR($B159="",J159=""),"",--(J159=$B159))</f>
        <v/>
      </c>
      <c r="AN159" s="4">
        <f>IF(OR($B159="",J159=""),"",IF($B159=1,--(J159=1),""))</f>
        <v/>
      </c>
      <c r="AO159" s="4">
        <f>IF(OR($B159="",J159=""),"",IF($B159=0,--(J159=0),""))</f>
        <v/>
      </c>
      <c r="AP159" s="4">
        <f>IF(J159="","",--(J159=1))</f>
        <v/>
      </c>
      <c r="AQ159" s="4">
        <f>IF(OR($B159="",K159=""),"",--(K159=$B159))</f>
        <v/>
      </c>
      <c r="AR159" s="4">
        <f>IF(OR($B159="",K159=""),"",IF($B159=1,--(K159=1),""))</f>
        <v/>
      </c>
      <c r="AS159" s="4">
        <f>IF(OR($B159="",K159=""),"",IF($B159=0,--(K159=0),""))</f>
        <v/>
      </c>
      <c r="AT159" s="4">
        <f>IF(K159="","",--(K159=1))</f>
        <v/>
      </c>
      <c r="AU159" s="4">
        <f>IF(OR($B159="",L159=""),"",--(L159=$B159))</f>
        <v/>
      </c>
      <c r="AV159" s="4">
        <f>IF(OR($B159="",L159=""),"",IF($B159=1,--(L159=1),""))</f>
        <v/>
      </c>
      <c r="AW159" s="4">
        <f>IF(OR($B159="",L159=""),"",IF($B159=0,--(L159=0),""))</f>
        <v/>
      </c>
      <c r="AX159" s="4">
        <f>IF(L159="","",--(L159=1))</f>
        <v/>
      </c>
      <c r="AY159" s="4">
        <f>IF(OR($B159="",M159=""),"",--(M159=$B159))</f>
        <v/>
      </c>
      <c r="AZ159" s="4">
        <f>IF(OR($B159="",M159=""),"",IF($B159=1,--(M159=1),""))</f>
        <v/>
      </c>
      <c r="BA159" s="4">
        <f>IF(OR($B159="",M159=""),"",IF($B159=0,--(M159=0),""))</f>
        <v/>
      </c>
      <c r="BB159" s="4">
        <f>IF(M159="","",--(M159=1))</f>
        <v/>
      </c>
      <c r="BC159" s="4">
        <f>IF(OR($B159="",N159=""),"",--(N159=$B159))</f>
        <v/>
      </c>
      <c r="BD159" s="4">
        <f>IF(OR($B159="",N159=""),"",IF($B159=1,--(N159=1),""))</f>
        <v/>
      </c>
      <c r="BE159" s="4">
        <f>IF(OR($B159="",N159=""),"",IF($B159=0,--(N159=0),""))</f>
        <v/>
      </c>
      <c r="BF159" s="4">
        <f>IF(N159="","",--(N159=1))</f>
        <v/>
      </c>
    </row>
    <row r="160">
      <c r="A160" s="3" t="inlineStr">
        <is>
          <t>202037350</t>
        </is>
      </c>
      <c r="B160" s="3" t="inlineStr">
        <is>
          <t>0</t>
        </is>
      </c>
      <c r="C160" s="3" t="inlineStr">
        <is>
          <t>Direct</t>
        </is>
      </c>
      <c r="D160" s="3" t="inlineStr">
        <is>
          <t>1</t>
        </is>
      </c>
      <c r="E160" s="3" t="inlineStr">
        <is>
          <t>1</t>
        </is>
      </c>
      <c r="F160" s="3" t="inlineStr">
        <is>
          <t>1</t>
        </is>
      </c>
      <c r="G160" s="3" t="inlineStr">
        <is>
          <t>1</t>
        </is>
      </c>
      <c r="H160" s="3" t="inlineStr">
        <is>
          <t>1</t>
        </is>
      </c>
      <c r="I160" s="3" t="inlineStr">
        <is>
          <t>1</t>
        </is>
      </c>
      <c r="J160" s="3" t="inlineStr">
        <is>
          <t>1</t>
        </is>
      </c>
      <c r="K160" s="3" t="inlineStr">
        <is>
          <t>1</t>
        </is>
      </c>
      <c r="L160" s="3" t="inlineStr">
        <is>
          <t>1</t>
        </is>
      </c>
      <c r="M160" s="3" t="inlineStr">
        <is>
          <t>1</t>
        </is>
      </c>
      <c r="N160" s="3" t="inlineStr">
        <is>
          <t>1</t>
        </is>
      </c>
      <c r="O160" s="4">
        <f>IF(OR($B160="",D160=""),"",--(D160=$B160))</f>
        <v/>
      </c>
      <c r="P160" s="4">
        <f>IF(OR($B160="",D160=""),"",IF($B160=1,--(D160=1),""))</f>
        <v/>
      </c>
      <c r="Q160" s="4">
        <f>IF(OR($B160="",D160=""),"",IF($B160=0,--(D160=0),""))</f>
        <v/>
      </c>
      <c r="R160" s="4">
        <f>IF(D160="","",--(D160=1))</f>
        <v/>
      </c>
      <c r="S160" s="4">
        <f>IF(OR($B160="",E160=""),"",--(E160=$B160))</f>
        <v/>
      </c>
      <c r="T160" s="4">
        <f>IF(OR($B160="",E160=""),"",IF($B160=1,--(E160=1),""))</f>
        <v/>
      </c>
      <c r="U160" s="4">
        <f>IF(OR($B160="",E160=""),"",IF($B160=0,--(E160=0),""))</f>
        <v/>
      </c>
      <c r="V160" s="4">
        <f>IF(E160="","",--(E160=1))</f>
        <v/>
      </c>
      <c r="W160" s="4">
        <f>IF(OR($B160="",F160=""),"",--(F160=$B160))</f>
        <v/>
      </c>
      <c r="X160" s="4">
        <f>IF(OR($B160="",F160=""),"",IF($B160=1,--(F160=1),""))</f>
        <v/>
      </c>
      <c r="Y160" s="4">
        <f>IF(OR($B160="",F160=""),"",IF($B160=0,--(F160=0),""))</f>
        <v/>
      </c>
      <c r="Z160" s="4">
        <f>IF(F160="","",--(F160=1))</f>
        <v/>
      </c>
      <c r="AA160" s="4">
        <f>IF(OR($B160="",G160=""),"",--(G160=$B160))</f>
        <v/>
      </c>
      <c r="AB160" s="4">
        <f>IF(OR($B160="",G160=""),"",IF($B160=1,--(G160=1),""))</f>
        <v/>
      </c>
      <c r="AC160" s="4">
        <f>IF(OR($B160="",G160=""),"",IF($B160=0,--(G160=0),""))</f>
        <v/>
      </c>
      <c r="AD160" s="4">
        <f>IF(G160="","",--(G160=1))</f>
        <v/>
      </c>
      <c r="AE160" s="4">
        <f>IF(OR($B160="",H160=""),"",--(H160=$B160))</f>
        <v/>
      </c>
      <c r="AF160" s="4">
        <f>IF(OR($B160="",H160=""),"",IF($B160=1,--(H160=1),""))</f>
        <v/>
      </c>
      <c r="AG160" s="4">
        <f>IF(OR($B160="",H160=""),"",IF($B160=0,--(H160=0),""))</f>
        <v/>
      </c>
      <c r="AH160" s="4">
        <f>IF(H160="","",--(H160=1))</f>
        <v/>
      </c>
      <c r="AI160" s="4">
        <f>IF(OR($B160="",I160=""),"",--(I160=$B160))</f>
        <v/>
      </c>
      <c r="AJ160" s="4">
        <f>IF(OR($B160="",I160=""),"",IF($B160=1,--(I160=1),""))</f>
        <v/>
      </c>
      <c r="AK160" s="4">
        <f>IF(OR($B160="",I160=""),"",IF($B160=0,--(I160=0),""))</f>
        <v/>
      </c>
      <c r="AL160" s="4">
        <f>IF(I160="","",--(I160=1))</f>
        <v/>
      </c>
      <c r="AM160" s="4">
        <f>IF(OR($B160="",J160=""),"",--(J160=$B160))</f>
        <v/>
      </c>
      <c r="AN160" s="4">
        <f>IF(OR($B160="",J160=""),"",IF($B160=1,--(J160=1),""))</f>
        <v/>
      </c>
      <c r="AO160" s="4">
        <f>IF(OR($B160="",J160=""),"",IF($B160=0,--(J160=0),""))</f>
        <v/>
      </c>
      <c r="AP160" s="4">
        <f>IF(J160="","",--(J160=1))</f>
        <v/>
      </c>
      <c r="AQ160" s="4">
        <f>IF(OR($B160="",K160=""),"",--(K160=$B160))</f>
        <v/>
      </c>
      <c r="AR160" s="4">
        <f>IF(OR($B160="",K160=""),"",IF($B160=1,--(K160=1),""))</f>
        <v/>
      </c>
      <c r="AS160" s="4">
        <f>IF(OR($B160="",K160=""),"",IF($B160=0,--(K160=0),""))</f>
        <v/>
      </c>
      <c r="AT160" s="4">
        <f>IF(K160="","",--(K160=1))</f>
        <v/>
      </c>
      <c r="AU160" s="4">
        <f>IF(OR($B160="",L160=""),"",--(L160=$B160))</f>
        <v/>
      </c>
      <c r="AV160" s="4">
        <f>IF(OR($B160="",L160=""),"",IF($B160=1,--(L160=1),""))</f>
        <v/>
      </c>
      <c r="AW160" s="4">
        <f>IF(OR($B160="",L160=""),"",IF($B160=0,--(L160=0),""))</f>
        <v/>
      </c>
      <c r="AX160" s="4">
        <f>IF(L160="","",--(L160=1))</f>
        <v/>
      </c>
      <c r="AY160" s="4">
        <f>IF(OR($B160="",M160=""),"",--(M160=$B160))</f>
        <v/>
      </c>
      <c r="AZ160" s="4">
        <f>IF(OR($B160="",M160=""),"",IF($B160=1,--(M160=1),""))</f>
        <v/>
      </c>
      <c r="BA160" s="4">
        <f>IF(OR($B160="",M160=""),"",IF($B160=0,--(M160=0),""))</f>
        <v/>
      </c>
      <c r="BB160" s="4">
        <f>IF(M160="","",--(M160=1))</f>
        <v/>
      </c>
      <c r="BC160" s="4">
        <f>IF(OR($B160="",N160=""),"",--(N160=$B160))</f>
        <v/>
      </c>
      <c r="BD160" s="4">
        <f>IF(OR($B160="",N160=""),"",IF($B160=1,--(N160=1),""))</f>
        <v/>
      </c>
      <c r="BE160" s="4">
        <f>IF(OR($B160="",N160=""),"",IF($B160=0,--(N160=0),""))</f>
        <v/>
      </c>
      <c r="BF160" s="4">
        <f>IF(N160="","",--(N160=1))</f>
        <v/>
      </c>
    </row>
    <row r="161">
      <c r="A161" s="3" t="inlineStr">
        <is>
          <t>20203737</t>
        </is>
      </c>
      <c r="B161" s="3" t="inlineStr">
        <is>
          <t>1</t>
        </is>
      </c>
      <c r="C161" s="3" t="inlineStr">
        <is>
          <t>Direct</t>
        </is>
      </c>
      <c r="D161" s="3" t="inlineStr">
        <is>
          <t>0</t>
        </is>
      </c>
      <c r="E161" s="3" t="inlineStr">
        <is>
          <t>0</t>
        </is>
      </c>
      <c r="F161" s="3" t="inlineStr">
        <is>
          <t>0</t>
        </is>
      </c>
      <c r="G161" s="3" t="inlineStr">
        <is>
          <t>0</t>
        </is>
      </c>
      <c r="H161" s="3" t="inlineStr">
        <is>
          <t>0</t>
        </is>
      </c>
      <c r="I161" s="3" t="inlineStr">
        <is>
          <t>1</t>
        </is>
      </c>
      <c r="J161" s="3" t="inlineStr">
        <is>
          <t>1</t>
        </is>
      </c>
      <c r="K161" s="3" t="inlineStr">
        <is>
          <t>0</t>
        </is>
      </c>
      <c r="L161" s="3" t="inlineStr">
        <is>
          <t>1</t>
        </is>
      </c>
      <c r="M161" s="3" t="inlineStr">
        <is>
          <t>1</t>
        </is>
      </c>
      <c r="N161" s="3" t="inlineStr">
        <is>
          <t>1</t>
        </is>
      </c>
      <c r="O161" s="4">
        <f>IF(OR($B161="",D161=""),"",--(D161=$B161))</f>
        <v/>
      </c>
      <c r="P161" s="4">
        <f>IF(OR($B161="",D161=""),"",IF($B161=1,--(D161=1),""))</f>
        <v/>
      </c>
      <c r="Q161" s="4">
        <f>IF(OR($B161="",D161=""),"",IF($B161=0,--(D161=0),""))</f>
        <v/>
      </c>
      <c r="R161" s="4">
        <f>IF(D161="","",--(D161=1))</f>
        <v/>
      </c>
      <c r="S161" s="4">
        <f>IF(OR($B161="",E161=""),"",--(E161=$B161))</f>
        <v/>
      </c>
      <c r="T161" s="4">
        <f>IF(OR($B161="",E161=""),"",IF($B161=1,--(E161=1),""))</f>
        <v/>
      </c>
      <c r="U161" s="4">
        <f>IF(OR($B161="",E161=""),"",IF($B161=0,--(E161=0),""))</f>
        <v/>
      </c>
      <c r="V161" s="4">
        <f>IF(E161="","",--(E161=1))</f>
        <v/>
      </c>
      <c r="W161" s="4">
        <f>IF(OR($B161="",F161=""),"",--(F161=$B161))</f>
        <v/>
      </c>
      <c r="X161" s="4">
        <f>IF(OR($B161="",F161=""),"",IF($B161=1,--(F161=1),""))</f>
        <v/>
      </c>
      <c r="Y161" s="4">
        <f>IF(OR($B161="",F161=""),"",IF($B161=0,--(F161=0),""))</f>
        <v/>
      </c>
      <c r="Z161" s="4">
        <f>IF(F161="","",--(F161=1))</f>
        <v/>
      </c>
      <c r="AA161" s="4">
        <f>IF(OR($B161="",G161=""),"",--(G161=$B161))</f>
        <v/>
      </c>
      <c r="AB161" s="4">
        <f>IF(OR($B161="",G161=""),"",IF($B161=1,--(G161=1),""))</f>
        <v/>
      </c>
      <c r="AC161" s="4">
        <f>IF(OR($B161="",G161=""),"",IF($B161=0,--(G161=0),""))</f>
        <v/>
      </c>
      <c r="AD161" s="4">
        <f>IF(G161="","",--(G161=1))</f>
        <v/>
      </c>
      <c r="AE161" s="4">
        <f>IF(OR($B161="",H161=""),"",--(H161=$B161))</f>
        <v/>
      </c>
      <c r="AF161" s="4">
        <f>IF(OR($B161="",H161=""),"",IF($B161=1,--(H161=1),""))</f>
        <v/>
      </c>
      <c r="AG161" s="4">
        <f>IF(OR($B161="",H161=""),"",IF($B161=0,--(H161=0),""))</f>
        <v/>
      </c>
      <c r="AH161" s="4">
        <f>IF(H161="","",--(H161=1))</f>
        <v/>
      </c>
      <c r="AI161" s="4">
        <f>IF(OR($B161="",I161=""),"",--(I161=$B161))</f>
        <v/>
      </c>
      <c r="AJ161" s="4">
        <f>IF(OR($B161="",I161=""),"",IF($B161=1,--(I161=1),""))</f>
        <v/>
      </c>
      <c r="AK161" s="4">
        <f>IF(OR($B161="",I161=""),"",IF($B161=0,--(I161=0),""))</f>
        <v/>
      </c>
      <c r="AL161" s="4">
        <f>IF(I161="","",--(I161=1))</f>
        <v/>
      </c>
      <c r="AM161" s="4">
        <f>IF(OR($B161="",J161=""),"",--(J161=$B161))</f>
        <v/>
      </c>
      <c r="AN161" s="4">
        <f>IF(OR($B161="",J161=""),"",IF($B161=1,--(J161=1),""))</f>
        <v/>
      </c>
      <c r="AO161" s="4">
        <f>IF(OR($B161="",J161=""),"",IF($B161=0,--(J161=0),""))</f>
        <v/>
      </c>
      <c r="AP161" s="4">
        <f>IF(J161="","",--(J161=1))</f>
        <v/>
      </c>
      <c r="AQ161" s="4">
        <f>IF(OR($B161="",K161=""),"",--(K161=$B161))</f>
        <v/>
      </c>
      <c r="AR161" s="4">
        <f>IF(OR($B161="",K161=""),"",IF($B161=1,--(K161=1),""))</f>
        <v/>
      </c>
      <c r="AS161" s="4">
        <f>IF(OR($B161="",K161=""),"",IF($B161=0,--(K161=0),""))</f>
        <v/>
      </c>
      <c r="AT161" s="4">
        <f>IF(K161="","",--(K161=1))</f>
        <v/>
      </c>
      <c r="AU161" s="4">
        <f>IF(OR($B161="",L161=""),"",--(L161=$B161))</f>
        <v/>
      </c>
      <c r="AV161" s="4">
        <f>IF(OR($B161="",L161=""),"",IF($B161=1,--(L161=1),""))</f>
        <v/>
      </c>
      <c r="AW161" s="4">
        <f>IF(OR($B161="",L161=""),"",IF($B161=0,--(L161=0),""))</f>
        <v/>
      </c>
      <c r="AX161" s="4">
        <f>IF(L161="","",--(L161=1))</f>
        <v/>
      </c>
      <c r="AY161" s="4">
        <f>IF(OR($B161="",M161=""),"",--(M161=$B161))</f>
        <v/>
      </c>
      <c r="AZ161" s="4">
        <f>IF(OR($B161="",M161=""),"",IF($B161=1,--(M161=1),""))</f>
        <v/>
      </c>
      <c r="BA161" s="4">
        <f>IF(OR($B161="",M161=""),"",IF($B161=0,--(M161=0),""))</f>
        <v/>
      </c>
      <c r="BB161" s="4">
        <f>IF(M161="","",--(M161=1))</f>
        <v/>
      </c>
      <c r="BC161" s="4">
        <f>IF(OR($B161="",N161=""),"",--(N161=$B161))</f>
        <v/>
      </c>
      <c r="BD161" s="4">
        <f>IF(OR($B161="",N161=""),"",IF($B161=1,--(N161=1),""))</f>
        <v/>
      </c>
      <c r="BE161" s="4">
        <f>IF(OR($B161="",N161=""),"",IF($B161=0,--(N161=0),""))</f>
        <v/>
      </c>
      <c r="BF161" s="4">
        <f>IF(N161="","",--(N161=1))</f>
        <v/>
      </c>
    </row>
    <row r="162">
      <c r="A162" s="3" t="inlineStr">
        <is>
          <t>202038229</t>
        </is>
      </c>
      <c r="B162" s="3" t="inlineStr">
        <is>
          <t>0</t>
        </is>
      </c>
      <c r="C162" s="3" t="inlineStr">
        <is>
          <t>RQ</t>
        </is>
      </c>
      <c r="D162" s="3" t="inlineStr">
        <is>
          <t>0</t>
        </is>
      </c>
      <c r="E162" s="3" t="inlineStr">
        <is>
          <t>0</t>
        </is>
      </c>
      <c r="F162" s="3" t="inlineStr">
        <is>
          <t>0</t>
        </is>
      </c>
      <c r="G162" s="3" t="inlineStr">
        <is>
          <t>0</t>
        </is>
      </c>
      <c r="H162" s="3" t="inlineStr">
        <is>
          <t>0</t>
        </is>
      </c>
      <c r="I162" s="3" t="inlineStr">
        <is>
          <t>0</t>
        </is>
      </c>
      <c r="J162" s="3" t="inlineStr">
        <is>
          <t>0</t>
        </is>
      </c>
      <c r="K162" s="3" t="inlineStr">
        <is>
          <t>0</t>
        </is>
      </c>
      <c r="L162" s="3" t="inlineStr">
        <is>
          <t>0</t>
        </is>
      </c>
      <c r="M162" s="3" t="inlineStr">
        <is>
          <t>0</t>
        </is>
      </c>
      <c r="N162" s="3" t="inlineStr">
        <is>
          <t>0</t>
        </is>
      </c>
      <c r="O162" s="4">
        <f>IF(OR($B162="",D162=""),"",--(D162=$B162))</f>
        <v/>
      </c>
      <c r="P162" s="4">
        <f>IF(OR($B162="",D162=""),"",IF($B162=1,--(D162=1),""))</f>
        <v/>
      </c>
      <c r="Q162" s="4">
        <f>IF(OR($B162="",D162=""),"",IF($B162=0,--(D162=0),""))</f>
        <v/>
      </c>
      <c r="R162" s="4">
        <f>IF(D162="","",--(D162=1))</f>
        <v/>
      </c>
      <c r="S162" s="4">
        <f>IF(OR($B162="",E162=""),"",--(E162=$B162))</f>
        <v/>
      </c>
      <c r="T162" s="4">
        <f>IF(OR($B162="",E162=""),"",IF($B162=1,--(E162=1),""))</f>
        <v/>
      </c>
      <c r="U162" s="4">
        <f>IF(OR($B162="",E162=""),"",IF($B162=0,--(E162=0),""))</f>
        <v/>
      </c>
      <c r="V162" s="4">
        <f>IF(E162="","",--(E162=1))</f>
        <v/>
      </c>
      <c r="W162" s="4">
        <f>IF(OR($B162="",F162=""),"",--(F162=$B162))</f>
        <v/>
      </c>
      <c r="X162" s="4">
        <f>IF(OR($B162="",F162=""),"",IF($B162=1,--(F162=1),""))</f>
        <v/>
      </c>
      <c r="Y162" s="4">
        <f>IF(OR($B162="",F162=""),"",IF($B162=0,--(F162=0),""))</f>
        <v/>
      </c>
      <c r="Z162" s="4">
        <f>IF(F162="","",--(F162=1))</f>
        <v/>
      </c>
      <c r="AA162" s="4">
        <f>IF(OR($B162="",G162=""),"",--(G162=$B162))</f>
        <v/>
      </c>
      <c r="AB162" s="4">
        <f>IF(OR($B162="",G162=""),"",IF($B162=1,--(G162=1),""))</f>
        <v/>
      </c>
      <c r="AC162" s="4">
        <f>IF(OR($B162="",G162=""),"",IF($B162=0,--(G162=0),""))</f>
        <v/>
      </c>
      <c r="AD162" s="4">
        <f>IF(G162="","",--(G162=1))</f>
        <v/>
      </c>
      <c r="AE162" s="4">
        <f>IF(OR($B162="",H162=""),"",--(H162=$B162))</f>
        <v/>
      </c>
      <c r="AF162" s="4">
        <f>IF(OR($B162="",H162=""),"",IF($B162=1,--(H162=1),""))</f>
        <v/>
      </c>
      <c r="AG162" s="4">
        <f>IF(OR($B162="",H162=""),"",IF($B162=0,--(H162=0),""))</f>
        <v/>
      </c>
      <c r="AH162" s="4">
        <f>IF(H162="","",--(H162=1))</f>
        <v/>
      </c>
      <c r="AI162" s="4">
        <f>IF(OR($B162="",I162=""),"",--(I162=$B162))</f>
        <v/>
      </c>
      <c r="AJ162" s="4">
        <f>IF(OR($B162="",I162=""),"",IF($B162=1,--(I162=1),""))</f>
        <v/>
      </c>
      <c r="AK162" s="4">
        <f>IF(OR($B162="",I162=""),"",IF($B162=0,--(I162=0),""))</f>
        <v/>
      </c>
      <c r="AL162" s="4">
        <f>IF(I162="","",--(I162=1))</f>
        <v/>
      </c>
      <c r="AM162" s="4">
        <f>IF(OR($B162="",J162=""),"",--(J162=$B162))</f>
        <v/>
      </c>
      <c r="AN162" s="4">
        <f>IF(OR($B162="",J162=""),"",IF($B162=1,--(J162=1),""))</f>
        <v/>
      </c>
      <c r="AO162" s="4">
        <f>IF(OR($B162="",J162=""),"",IF($B162=0,--(J162=0),""))</f>
        <v/>
      </c>
      <c r="AP162" s="4">
        <f>IF(J162="","",--(J162=1))</f>
        <v/>
      </c>
      <c r="AQ162" s="4">
        <f>IF(OR($B162="",K162=""),"",--(K162=$B162))</f>
        <v/>
      </c>
      <c r="AR162" s="4">
        <f>IF(OR($B162="",K162=""),"",IF($B162=1,--(K162=1),""))</f>
        <v/>
      </c>
      <c r="AS162" s="4">
        <f>IF(OR($B162="",K162=""),"",IF($B162=0,--(K162=0),""))</f>
        <v/>
      </c>
      <c r="AT162" s="4">
        <f>IF(K162="","",--(K162=1))</f>
        <v/>
      </c>
      <c r="AU162" s="4">
        <f>IF(OR($B162="",L162=""),"",--(L162=$B162))</f>
        <v/>
      </c>
      <c r="AV162" s="4">
        <f>IF(OR($B162="",L162=""),"",IF($B162=1,--(L162=1),""))</f>
        <v/>
      </c>
      <c r="AW162" s="4">
        <f>IF(OR($B162="",L162=""),"",IF($B162=0,--(L162=0),""))</f>
        <v/>
      </c>
      <c r="AX162" s="4">
        <f>IF(L162="","",--(L162=1))</f>
        <v/>
      </c>
      <c r="AY162" s="4">
        <f>IF(OR($B162="",M162=""),"",--(M162=$B162))</f>
        <v/>
      </c>
      <c r="AZ162" s="4">
        <f>IF(OR($B162="",M162=""),"",IF($B162=1,--(M162=1),""))</f>
        <v/>
      </c>
      <c r="BA162" s="4">
        <f>IF(OR($B162="",M162=""),"",IF($B162=0,--(M162=0),""))</f>
        <v/>
      </c>
      <c r="BB162" s="4">
        <f>IF(M162="","",--(M162=1))</f>
        <v/>
      </c>
      <c r="BC162" s="4">
        <f>IF(OR($B162="",N162=""),"",--(N162=$B162))</f>
        <v/>
      </c>
      <c r="BD162" s="4">
        <f>IF(OR($B162="",N162=""),"",IF($B162=1,--(N162=1),""))</f>
        <v/>
      </c>
      <c r="BE162" s="4">
        <f>IF(OR($B162="",N162=""),"",IF($B162=0,--(N162=0),""))</f>
        <v/>
      </c>
      <c r="BF162" s="4">
        <f>IF(N162="","",--(N162=1))</f>
        <v/>
      </c>
    </row>
    <row r="163">
      <c r="A163" s="3" t="inlineStr">
        <is>
          <t>202038276</t>
        </is>
      </c>
      <c r="B163" s="3" t="inlineStr">
        <is>
          <t>1</t>
        </is>
      </c>
      <c r="C163" s="3" t="inlineStr">
        <is>
          <t>Direct</t>
        </is>
      </c>
      <c r="D163" s="3" t="inlineStr">
        <is>
          <t>1</t>
        </is>
      </c>
      <c r="E163" s="3" t="inlineStr">
        <is>
          <t>0</t>
        </is>
      </c>
      <c r="F163" s="3" t="inlineStr">
        <is>
          <t>0</t>
        </is>
      </c>
      <c r="G163" s="3" t="inlineStr">
        <is>
          <t>0</t>
        </is>
      </c>
      <c r="H163" s="3" t="inlineStr">
        <is>
          <t>1</t>
        </is>
      </c>
      <c r="I163" s="3" t="inlineStr">
        <is>
          <t>1</t>
        </is>
      </c>
      <c r="J163" s="3" t="inlineStr">
        <is>
          <t>1</t>
        </is>
      </c>
      <c r="K163" s="3" t="inlineStr">
        <is>
          <t>1</t>
        </is>
      </c>
      <c r="L163" s="3" t="inlineStr">
        <is>
          <t>1</t>
        </is>
      </c>
      <c r="M163" s="3" t="inlineStr">
        <is>
          <t>1</t>
        </is>
      </c>
      <c r="N163" s="3" t="inlineStr">
        <is>
          <t>1</t>
        </is>
      </c>
      <c r="O163" s="4">
        <f>IF(OR($B163="",D163=""),"",--(D163=$B163))</f>
        <v/>
      </c>
      <c r="P163" s="4">
        <f>IF(OR($B163="",D163=""),"",IF($B163=1,--(D163=1),""))</f>
        <v/>
      </c>
      <c r="Q163" s="4">
        <f>IF(OR($B163="",D163=""),"",IF($B163=0,--(D163=0),""))</f>
        <v/>
      </c>
      <c r="R163" s="4">
        <f>IF(D163="","",--(D163=1))</f>
        <v/>
      </c>
      <c r="S163" s="4">
        <f>IF(OR($B163="",E163=""),"",--(E163=$B163))</f>
        <v/>
      </c>
      <c r="T163" s="4">
        <f>IF(OR($B163="",E163=""),"",IF($B163=1,--(E163=1),""))</f>
        <v/>
      </c>
      <c r="U163" s="4">
        <f>IF(OR($B163="",E163=""),"",IF($B163=0,--(E163=0),""))</f>
        <v/>
      </c>
      <c r="V163" s="4">
        <f>IF(E163="","",--(E163=1))</f>
        <v/>
      </c>
      <c r="W163" s="4">
        <f>IF(OR($B163="",F163=""),"",--(F163=$B163))</f>
        <v/>
      </c>
      <c r="X163" s="4">
        <f>IF(OR($B163="",F163=""),"",IF($B163=1,--(F163=1),""))</f>
        <v/>
      </c>
      <c r="Y163" s="4">
        <f>IF(OR($B163="",F163=""),"",IF($B163=0,--(F163=0),""))</f>
        <v/>
      </c>
      <c r="Z163" s="4">
        <f>IF(F163="","",--(F163=1))</f>
        <v/>
      </c>
      <c r="AA163" s="4">
        <f>IF(OR($B163="",G163=""),"",--(G163=$B163))</f>
        <v/>
      </c>
      <c r="AB163" s="4">
        <f>IF(OR($B163="",G163=""),"",IF($B163=1,--(G163=1),""))</f>
        <v/>
      </c>
      <c r="AC163" s="4">
        <f>IF(OR($B163="",G163=""),"",IF($B163=0,--(G163=0),""))</f>
        <v/>
      </c>
      <c r="AD163" s="4">
        <f>IF(G163="","",--(G163=1))</f>
        <v/>
      </c>
      <c r="AE163" s="4">
        <f>IF(OR($B163="",H163=""),"",--(H163=$B163))</f>
        <v/>
      </c>
      <c r="AF163" s="4">
        <f>IF(OR($B163="",H163=""),"",IF($B163=1,--(H163=1),""))</f>
        <v/>
      </c>
      <c r="AG163" s="4">
        <f>IF(OR($B163="",H163=""),"",IF($B163=0,--(H163=0),""))</f>
        <v/>
      </c>
      <c r="AH163" s="4">
        <f>IF(H163="","",--(H163=1))</f>
        <v/>
      </c>
      <c r="AI163" s="4">
        <f>IF(OR($B163="",I163=""),"",--(I163=$B163))</f>
        <v/>
      </c>
      <c r="AJ163" s="4">
        <f>IF(OR($B163="",I163=""),"",IF($B163=1,--(I163=1),""))</f>
        <v/>
      </c>
      <c r="AK163" s="4">
        <f>IF(OR($B163="",I163=""),"",IF($B163=0,--(I163=0),""))</f>
        <v/>
      </c>
      <c r="AL163" s="4">
        <f>IF(I163="","",--(I163=1))</f>
        <v/>
      </c>
      <c r="AM163" s="4">
        <f>IF(OR($B163="",J163=""),"",--(J163=$B163))</f>
        <v/>
      </c>
      <c r="AN163" s="4">
        <f>IF(OR($B163="",J163=""),"",IF($B163=1,--(J163=1),""))</f>
        <v/>
      </c>
      <c r="AO163" s="4">
        <f>IF(OR($B163="",J163=""),"",IF($B163=0,--(J163=0),""))</f>
        <v/>
      </c>
      <c r="AP163" s="4">
        <f>IF(J163="","",--(J163=1))</f>
        <v/>
      </c>
      <c r="AQ163" s="4">
        <f>IF(OR($B163="",K163=""),"",--(K163=$B163))</f>
        <v/>
      </c>
      <c r="AR163" s="4">
        <f>IF(OR($B163="",K163=""),"",IF($B163=1,--(K163=1),""))</f>
        <v/>
      </c>
      <c r="AS163" s="4">
        <f>IF(OR($B163="",K163=""),"",IF($B163=0,--(K163=0),""))</f>
        <v/>
      </c>
      <c r="AT163" s="4">
        <f>IF(K163="","",--(K163=1))</f>
        <v/>
      </c>
      <c r="AU163" s="4">
        <f>IF(OR($B163="",L163=""),"",--(L163=$B163))</f>
        <v/>
      </c>
      <c r="AV163" s="4">
        <f>IF(OR($B163="",L163=""),"",IF($B163=1,--(L163=1),""))</f>
        <v/>
      </c>
      <c r="AW163" s="4">
        <f>IF(OR($B163="",L163=""),"",IF($B163=0,--(L163=0),""))</f>
        <v/>
      </c>
      <c r="AX163" s="4">
        <f>IF(L163="","",--(L163=1))</f>
        <v/>
      </c>
      <c r="AY163" s="4">
        <f>IF(OR($B163="",M163=""),"",--(M163=$B163))</f>
        <v/>
      </c>
      <c r="AZ163" s="4">
        <f>IF(OR($B163="",M163=""),"",IF($B163=1,--(M163=1),""))</f>
        <v/>
      </c>
      <c r="BA163" s="4">
        <f>IF(OR($B163="",M163=""),"",IF($B163=0,--(M163=0),""))</f>
        <v/>
      </c>
      <c r="BB163" s="4">
        <f>IF(M163="","",--(M163=1))</f>
        <v/>
      </c>
      <c r="BC163" s="4">
        <f>IF(OR($B163="",N163=""),"",--(N163=$B163))</f>
        <v/>
      </c>
      <c r="BD163" s="4">
        <f>IF(OR($B163="",N163=""),"",IF($B163=1,--(N163=1),""))</f>
        <v/>
      </c>
      <c r="BE163" s="4">
        <f>IF(OR($B163="",N163=""),"",IF($B163=0,--(N163=0),""))</f>
        <v/>
      </c>
      <c r="BF163" s="4">
        <f>IF(N163="","",--(N163=1))</f>
        <v/>
      </c>
    </row>
    <row r="164">
      <c r="A164" s="3" t="inlineStr">
        <is>
          <t>202038549</t>
        </is>
      </c>
      <c r="B164" s="3" t="inlineStr">
        <is>
          <t>1</t>
        </is>
      </c>
      <c r="C164" s="3" t="inlineStr">
        <is>
          <t>Direct</t>
        </is>
      </c>
      <c r="D164" s="3" t="inlineStr">
        <is>
          <t>1</t>
        </is>
      </c>
      <c r="E164" s="3" t="inlineStr">
        <is>
          <t>1</t>
        </is>
      </c>
      <c r="F164" s="3" t="inlineStr">
        <is>
          <t>1</t>
        </is>
      </c>
      <c r="G164" s="3" t="inlineStr">
        <is>
          <t>1</t>
        </is>
      </c>
      <c r="H164" s="3" t="inlineStr">
        <is>
          <t>1</t>
        </is>
      </c>
      <c r="I164" s="3" t="inlineStr">
        <is>
          <t>1</t>
        </is>
      </c>
      <c r="J164" s="3" t="inlineStr">
        <is>
          <t>1</t>
        </is>
      </c>
      <c r="K164" s="3" t="inlineStr">
        <is>
          <t>1</t>
        </is>
      </c>
      <c r="L164" s="3" t="inlineStr">
        <is>
          <t>1</t>
        </is>
      </c>
      <c r="M164" s="3" t="inlineStr">
        <is>
          <t>1</t>
        </is>
      </c>
      <c r="N164" s="3" t="inlineStr">
        <is>
          <t>1</t>
        </is>
      </c>
      <c r="O164" s="4">
        <f>IF(OR($B164="",D164=""),"",--(D164=$B164))</f>
        <v/>
      </c>
      <c r="P164" s="4">
        <f>IF(OR($B164="",D164=""),"",IF($B164=1,--(D164=1),""))</f>
        <v/>
      </c>
      <c r="Q164" s="4">
        <f>IF(OR($B164="",D164=""),"",IF($B164=0,--(D164=0),""))</f>
        <v/>
      </c>
      <c r="R164" s="4">
        <f>IF(D164="","",--(D164=1))</f>
        <v/>
      </c>
      <c r="S164" s="4">
        <f>IF(OR($B164="",E164=""),"",--(E164=$B164))</f>
        <v/>
      </c>
      <c r="T164" s="4">
        <f>IF(OR($B164="",E164=""),"",IF($B164=1,--(E164=1),""))</f>
        <v/>
      </c>
      <c r="U164" s="4">
        <f>IF(OR($B164="",E164=""),"",IF($B164=0,--(E164=0),""))</f>
        <v/>
      </c>
      <c r="V164" s="4">
        <f>IF(E164="","",--(E164=1))</f>
        <v/>
      </c>
      <c r="W164" s="4">
        <f>IF(OR($B164="",F164=""),"",--(F164=$B164))</f>
        <v/>
      </c>
      <c r="X164" s="4">
        <f>IF(OR($B164="",F164=""),"",IF($B164=1,--(F164=1),""))</f>
        <v/>
      </c>
      <c r="Y164" s="4">
        <f>IF(OR($B164="",F164=""),"",IF($B164=0,--(F164=0),""))</f>
        <v/>
      </c>
      <c r="Z164" s="4">
        <f>IF(F164="","",--(F164=1))</f>
        <v/>
      </c>
      <c r="AA164" s="4">
        <f>IF(OR($B164="",G164=""),"",--(G164=$B164))</f>
        <v/>
      </c>
      <c r="AB164" s="4">
        <f>IF(OR($B164="",G164=""),"",IF($B164=1,--(G164=1),""))</f>
        <v/>
      </c>
      <c r="AC164" s="4">
        <f>IF(OR($B164="",G164=""),"",IF($B164=0,--(G164=0),""))</f>
        <v/>
      </c>
      <c r="AD164" s="4">
        <f>IF(G164="","",--(G164=1))</f>
        <v/>
      </c>
      <c r="AE164" s="4">
        <f>IF(OR($B164="",H164=""),"",--(H164=$B164))</f>
        <v/>
      </c>
      <c r="AF164" s="4">
        <f>IF(OR($B164="",H164=""),"",IF($B164=1,--(H164=1),""))</f>
        <v/>
      </c>
      <c r="AG164" s="4">
        <f>IF(OR($B164="",H164=""),"",IF($B164=0,--(H164=0),""))</f>
        <v/>
      </c>
      <c r="AH164" s="4">
        <f>IF(H164="","",--(H164=1))</f>
        <v/>
      </c>
      <c r="AI164" s="4">
        <f>IF(OR($B164="",I164=""),"",--(I164=$B164))</f>
        <v/>
      </c>
      <c r="AJ164" s="4">
        <f>IF(OR($B164="",I164=""),"",IF($B164=1,--(I164=1),""))</f>
        <v/>
      </c>
      <c r="AK164" s="4">
        <f>IF(OR($B164="",I164=""),"",IF($B164=0,--(I164=0),""))</f>
        <v/>
      </c>
      <c r="AL164" s="4">
        <f>IF(I164="","",--(I164=1))</f>
        <v/>
      </c>
      <c r="AM164" s="4">
        <f>IF(OR($B164="",J164=""),"",--(J164=$B164))</f>
        <v/>
      </c>
      <c r="AN164" s="4">
        <f>IF(OR($B164="",J164=""),"",IF($B164=1,--(J164=1),""))</f>
        <v/>
      </c>
      <c r="AO164" s="4">
        <f>IF(OR($B164="",J164=""),"",IF($B164=0,--(J164=0),""))</f>
        <v/>
      </c>
      <c r="AP164" s="4">
        <f>IF(J164="","",--(J164=1))</f>
        <v/>
      </c>
      <c r="AQ164" s="4">
        <f>IF(OR($B164="",K164=""),"",--(K164=$B164))</f>
        <v/>
      </c>
      <c r="AR164" s="4">
        <f>IF(OR($B164="",K164=""),"",IF($B164=1,--(K164=1),""))</f>
        <v/>
      </c>
      <c r="AS164" s="4">
        <f>IF(OR($B164="",K164=""),"",IF($B164=0,--(K164=0),""))</f>
        <v/>
      </c>
      <c r="AT164" s="4">
        <f>IF(K164="","",--(K164=1))</f>
        <v/>
      </c>
      <c r="AU164" s="4">
        <f>IF(OR($B164="",L164=""),"",--(L164=$B164))</f>
        <v/>
      </c>
      <c r="AV164" s="4">
        <f>IF(OR($B164="",L164=""),"",IF($B164=1,--(L164=1),""))</f>
        <v/>
      </c>
      <c r="AW164" s="4">
        <f>IF(OR($B164="",L164=""),"",IF($B164=0,--(L164=0),""))</f>
        <v/>
      </c>
      <c r="AX164" s="4">
        <f>IF(L164="","",--(L164=1))</f>
        <v/>
      </c>
      <c r="AY164" s="4">
        <f>IF(OR($B164="",M164=""),"",--(M164=$B164))</f>
        <v/>
      </c>
      <c r="AZ164" s="4">
        <f>IF(OR($B164="",M164=""),"",IF($B164=1,--(M164=1),""))</f>
        <v/>
      </c>
      <c r="BA164" s="4">
        <f>IF(OR($B164="",M164=""),"",IF($B164=0,--(M164=0),""))</f>
        <v/>
      </c>
      <c r="BB164" s="4">
        <f>IF(M164="","",--(M164=1))</f>
        <v/>
      </c>
      <c r="BC164" s="4">
        <f>IF(OR($B164="",N164=""),"",--(N164=$B164))</f>
        <v/>
      </c>
      <c r="BD164" s="4">
        <f>IF(OR($B164="",N164=""),"",IF($B164=1,--(N164=1),""))</f>
        <v/>
      </c>
      <c r="BE164" s="4">
        <f>IF(OR($B164="",N164=""),"",IF($B164=0,--(N164=0),""))</f>
        <v/>
      </c>
      <c r="BF164" s="4">
        <f>IF(N164="","",--(N164=1))</f>
        <v/>
      </c>
    </row>
    <row r="165">
      <c r="A165" s="3" t="inlineStr">
        <is>
          <t>202038607</t>
        </is>
      </c>
      <c r="B165" s="3" t="inlineStr">
        <is>
          <t>0</t>
        </is>
      </c>
      <c r="C165" s="3" t="inlineStr">
        <is>
          <t>Direct</t>
        </is>
      </c>
      <c r="D165" s="3" t="inlineStr">
        <is>
          <t>1</t>
        </is>
      </c>
      <c r="E165" s="3" t="inlineStr">
        <is>
          <t>1</t>
        </is>
      </c>
      <c r="F165" s="3" t="inlineStr">
        <is>
          <t>1</t>
        </is>
      </c>
      <c r="G165" s="3" t="inlineStr">
        <is>
          <t>1</t>
        </is>
      </c>
      <c r="H165" s="3" t="inlineStr">
        <is>
          <t>1</t>
        </is>
      </c>
      <c r="I165" s="3" t="inlineStr">
        <is>
          <t>1</t>
        </is>
      </c>
      <c r="J165" s="3" t="inlineStr">
        <is>
          <t>1</t>
        </is>
      </c>
      <c r="K165" s="3" t="inlineStr">
        <is>
          <t>1</t>
        </is>
      </c>
      <c r="L165" s="3" t="inlineStr">
        <is>
          <t>1</t>
        </is>
      </c>
      <c r="M165" s="3" t="inlineStr">
        <is>
          <t>1</t>
        </is>
      </c>
      <c r="N165" s="3" t="inlineStr">
        <is>
          <t>1</t>
        </is>
      </c>
      <c r="O165" s="4">
        <f>IF(OR($B165="",D165=""),"",--(D165=$B165))</f>
        <v/>
      </c>
      <c r="P165" s="4">
        <f>IF(OR($B165="",D165=""),"",IF($B165=1,--(D165=1),""))</f>
        <v/>
      </c>
      <c r="Q165" s="4">
        <f>IF(OR($B165="",D165=""),"",IF($B165=0,--(D165=0),""))</f>
        <v/>
      </c>
      <c r="R165" s="4">
        <f>IF(D165="","",--(D165=1))</f>
        <v/>
      </c>
      <c r="S165" s="4">
        <f>IF(OR($B165="",E165=""),"",--(E165=$B165))</f>
        <v/>
      </c>
      <c r="T165" s="4">
        <f>IF(OR($B165="",E165=""),"",IF($B165=1,--(E165=1),""))</f>
        <v/>
      </c>
      <c r="U165" s="4">
        <f>IF(OR($B165="",E165=""),"",IF($B165=0,--(E165=0),""))</f>
        <v/>
      </c>
      <c r="V165" s="4">
        <f>IF(E165="","",--(E165=1))</f>
        <v/>
      </c>
      <c r="W165" s="4">
        <f>IF(OR($B165="",F165=""),"",--(F165=$B165))</f>
        <v/>
      </c>
      <c r="X165" s="4">
        <f>IF(OR($B165="",F165=""),"",IF($B165=1,--(F165=1),""))</f>
        <v/>
      </c>
      <c r="Y165" s="4">
        <f>IF(OR($B165="",F165=""),"",IF($B165=0,--(F165=0),""))</f>
        <v/>
      </c>
      <c r="Z165" s="4">
        <f>IF(F165="","",--(F165=1))</f>
        <v/>
      </c>
      <c r="AA165" s="4">
        <f>IF(OR($B165="",G165=""),"",--(G165=$B165))</f>
        <v/>
      </c>
      <c r="AB165" s="4">
        <f>IF(OR($B165="",G165=""),"",IF($B165=1,--(G165=1),""))</f>
        <v/>
      </c>
      <c r="AC165" s="4">
        <f>IF(OR($B165="",G165=""),"",IF($B165=0,--(G165=0),""))</f>
        <v/>
      </c>
      <c r="AD165" s="4">
        <f>IF(G165="","",--(G165=1))</f>
        <v/>
      </c>
      <c r="AE165" s="4">
        <f>IF(OR($B165="",H165=""),"",--(H165=$B165))</f>
        <v/>
      </c>
      <c r="AF165" s="4">
        <f>IF(OR($B165="",H165=""),"",IF($B165=1,--(H165=1),""))</f>
        <v/>
      </c>
      <c r="AG165" s="4">
        <f>IF(OR($B165="",H165=""),"",IF($B165=0,--(H165=0),""))</f>
        <v/>
      </c>
      <c r="AH165" s="4">
        <f>IF(H165="","",--(H165=1))</f>
        <v/>
      </c>
      <c r="AI165" s="4">
        <f>IF(OR($B165="",I165=""),"",--(I165=$B165))</f>
        <v/>
      </c>
      <c r="AJ165" s="4">
        <f>IF(OR($B165="",I165=""),"",IF($B165=1,--(I165=1),""))</f>
        <v/>
      </c>
      <c r="AK165" s="4">
        <f>IF(OR($B165="",I165=""),"",IF($B165=0,--(I165=0),""))</f>
        <v/>
      </c>
      <c r="AL165" s="4">
        <f>IF(I165="","",--(I165=1))</f>
        <v/>
      </c>
      <c r="AM165" s="4">
        <f>IF(OR($B165="",J165=""),"",--(J165=$B165))</f>
        <v/>
      </c>
      <c r="AN165" s="4">
        <f>IF(OR($B165="",J165=""),"",IF($B165=1,--(J165=1),""))</f>
        <v/>
      </c>
      <c r="AO165" s="4">
        <f>IF(OR($B165="",J165=""),"",IF($B165=0,--(J165=0),""))</f>
        <v/>
      </c>
      <c r="AP165" s="4">
        <f>IF(J165="","",--(J165=1))</f>
        <v/>
      </c>
      <c r="AQ165" s="4">
        <f>IF(OR($B165="",K165=""),"",--(K165=$B165))</f>
        <v/>
      </c>
      <c r="AR165" s="4">
        <f>IF(OR($B165="",K165=""),"",IF($B165=1,--(K165=1),""))</f>
        <v/>
      </c>
      <c r="AS165" s="4">
        <f>IF(OR($B165="",K165=""),"",IF($B165=0,--(K165=0),""))</f>
        <v/>
      </c>
      <c r="AT165" s="4">
        <f>IF(K165="","",--(K165=1))</f>
        <v/>
      </c>
      <c r="AU165" s="4">
        <f>IF(OR($B165="",L165=""),"",--(L165=$B165))</f>
        <v/>
      </c>
      <c r="AV165" s="4">
        <f>IF(OR($B165="",L165=""),"",IF($B165=1,--(L165=1),""))</f>
        <v/>
      </c>
      <c r="AW165" s="4">
        <f>IF(OR($B165="",L165=""),"",IF($B165=0,--(L165=0),""))</f>
        <v/>
      </c>
      <c r="AX165" s="4">
        <f>IF(L165="","",--(L165=1))</f>
        <v/>
      </c>
      <c r="AY165" s="4">
        <f>IF(OR($B165="",M165=""),"",--(M165=$B165))</f>
        <v/>
      </c>
      <c r="AZ165" s="4">
        <f>IF(OR($B165="",M165=""),"",IF($B165=1,--(M165=1),""))</f>
        <v/>
      </c>
      <c r="BA165" s="4">
        <f>IF(OR($B165="",M165=""),"",IF($B165=0,--(M165=0),""))</f>
        <v/>
      </c>
      <c r="BB165" s="4">
        <f>IF(M165="","",--(M165=1))</f>
        <v/>
      </c>
      <c r="BC165" s="4">
        <f>IF(OR($B165="",N165=""),"",--(N165=$B165))</f>
        <v/>
      </c>
      <c r="BD165" s="4">
        <f>IF(OR($B165="",N165=""),"",IF($B165=1,--(N165=1),""))</f>
        <v/>
      </c>
      <c r="BE165" s="4">
        <f>IF(OR($B165="",N165=""),"",IF($B165=0,--(N165=0),""))</f>
        <v/>
      </c>
      <c r="BF165" s="4">
        <f>IF(N165="","",--(N165=1))</f>
        <v/>
      </c>
    </row>
    <row r="166">
      <c r="A166" s="3" t="inlineStr">
        <is>
          <t>202038677</t>
        </is>
      </c>
      <c r="B166" s="3" t="inlineStr">
        <is>
          <t>1</t>
        </is>
      </c>
      <c r="C166" s="3" t="inlineStr">
        <is>
          <t>Direct</t>
        </is>
      </c>
      <c r="D166" s="3" t="inlineStr">
        <is>
          <t>1</t>
        </is>
      </c>
      <c r="E166" s="3" t="inlineStr">
        <is>
          <t>0</t>
        </is>
      </c>
      <c r="F166" s="3" t="inlineStr">
        <is>
          <t>1</t>
        </is>
      </c>
      <c r="G166" s="3" t="inlineStr">
        <is>
          <t>0</t>
        </is>
      </c>
      <c r="H166" s="3" t="inlineStr">
        <is>
          <t>1</t>
        </is>
      </c>
      <c r="I166" s="3" t="inlineStr">
        <is>
          <t>1</t>
        </is>
      </c>
      <c r="J166" s="3" t="inlineStr">
        <is>
          <t>1</t>
        </is>
      </c>
      <c r="K166" s="3" t="inlineStr">
        <is>
          <t>1</t>
        </is>
      </c>
      <c r="L166" s="3" t="inlineStr">
        <is>
          <t>1</t>
        </is>
      </c>
      <c r="M166" s="3" t="inlineStr">
        <is>
          <t>1</t>
        </is>
      </c>
      <c r="N166" s="3" t="inlineStr">
        <is>
          <t>1</t>
        </is>
      </c>
      <c r="O166" s="4">
        <f>IF(OR($B166="",D166=""),"",--(D166=$B166))</f>
        <v/>
      </c>
      <c r="P166" s="4">
        <f>IF(OR($B166="",D166=""),"",IF($B166=1,--(D166=1),""))</f>
        <v/>
      </c>
      <c r="Q166" s="4">
        <f>IF(OR($B166="",D166=""),"",IF($B166=0,--(D166=0),""))</f>
        <v/>
      </c>
      <c r="R166" s="4">
        <f>IF(D166="","",--(D166=1))</f>
        <v/>
      </c>
      <c r="S166" s="4">
        <f>IF(OR($B166="",E166=""),"",--(E166=$B166))</f>
        <v/>
      </c>
      <c r="T166" s="4">
        <f>IF(OR($B166="",E166=""),"",IF($B166=1,--(E166=1),""))</f>
        <v/>
      </c>
      <c r="U166" s="4">
        <f>IF(OR($B166="",E166=""),"",IF($B166=0,--(E166=0),""))</f>
        <v/>
      </c>
      <c r="V166" s="4">
        <f>IF(E166="","",--(E166=1))</f>
        <v/>
      </c>
      <c r="W166" s="4">
        <f>IF(OR($B166="",F166=""),"",--(F166=$B166))</f>
        <v/>
      </c>
      <c r="X166" s="4">
        <f>IF(OR($B166="",F166=""),"",IF($B166=1,--(F166=1),""))</f>
        <v/>
      </c>
      <c r="Y166" s="4">
        <f>IF(OR($B166="",F166=""),"",IF($B166=0,--(F166=0),""))</f>
        <v/>
      </c>
      <c r="Z166" s="4">
        <f>IF(F166="","",--(F166=1))</f>
        <v/>
      </c>
      <c r="AA166" s="4">
        <f>IF(OR($B166="",G166=""),"",--(G166=$B166))</f>
        <v/>
      </c>
      <c r="AB166" s="4">
        <f>IF(OR($B166="",G166=""),"",IF($B166=1,--(G166=1),""))</f>
        <v/>
      </c>
      <c r="AC166" s="4">
        <f>IF(OR($B166="",G166=""),"",IF($B166=0,--(G166=0),""))</f>
        <v/>
      </c>
      <c r="AD166" s="4">
        <f>IF(G166="","",--(G166=1))</f>
        <v/>
      </c>
      <c r="AE166" s="4">
        <f>IF(OR($B166="",H166=""),"",--(H166=$B166))</f>
        <v/>
      </c>
      <c r="AF166" s="4">
        <f>IF(OR($B166="",H166=""),"",IF($B166=1,--(H166=1),""))</f>
        <v/>
      </c>
      <c r="AG166" s="4">
        <f>IF(OR($B166="",H166=""),"",IF($B166=0,--(H166=0),""))</f>
        <v/>
      </c>
      <c r="AH166" s="4">
        <f>IF(H166="","",--(H166=1))</f>
        <v/>
      </c>
      <c r="AI166" s="4">
        <f>IF(OR($B166="",I166=""),"",--(I166=$B166))</f>
        <v/>
      </c>
      <c r="AJ166" s="4">
        <f>IF(OR($B166="",I166=""),"",IF($B166=1,--(I166=1),""))</f>
        <v/>
      </c>
      <c r="AK166" s="4">
        <f>IF(OR($B166="",I166=""),"",IF($B166=0,--(I166=0),""))</f>
        <v/>
      </c>
      <c r="AL166" s="4">
        <f>IF(I166="","",--(I166=1))</f>
        <v/>
      </c>
      <c r="AM166" s="4">
        <f>IF(OR($B166="",J166=""),"",--(J166=$B166))</f>
        <v/>
      </c>
      <c r="AN166" s="4">
        <f>IF(OR($B166="",J166=""),"",IF($B166=1,--(J166=1),""))</f>
        <v/>
      </c>
      <c r="AO166" s="4">
        <f>IF(OR($B166="",J166=""),"",IF($B166=0,--(J166=0),""))</f>
        <v/>
      </c>
      <c r="AP166" s="4">
        <f>IF(J166="","",--(J166=1))</f>
        <v/>
      </c>
      <c r="AQ166" s="4">
        <f>IF(OR($B166="",K166=""),"",--(K166=$B166))</f>
        <v/>
      </c>
      <c r="AR166" s="4">
        <f>IF(OR($B166="",K166=""),"",IF($B166=1,--(K166=1),""))</f>
        <v/>
      </c>
      <c r="AS166" s="4">
        <f>IF(OR($B166="",K166=""),"",IF($B166=0,--(K166=0),""))</f>
        <v/>
      </c>
      <c r="AT166" s="4">
        <f>IF(K166="","",--(K166=1))</f>
        <v/>
      </c>
      <c r="AU166" s="4">
        <f>IF(OR($B166="",L166=""),"",--(L166=$B166))</f>
        <v/>
      </c>
      <c r="AV166" s="4">
        <f>IF(OR($B166="",L166=""),"",IF($B166=1,--(L166=1),""))</f>
        <v/>
      </c>
      <c r="AW166" s="4">
        <f>IF(OR($B166="",L166=""),"",IF($B166=0,--(L166=0),""))</f>
        <v/>
      </c>
      <c r="AX166" s="4">
        <f>IF(L166="","",--(L166=1))</f>
        <v/>
      </c>
      <c r="AY166" s="4">
        <f>IF(OR($B166="",M166=""),"",--(M166=$B166))</f>
        <v/>
      </c>
      <c r="AZ166" s="4">
        <f>IF(OR($B166="",M166=""),"",IF($B166=1,--(M166=1),""))</f>
        <v/>
      </c>
      <c r="BA166" s="4">
        <f>IF(OR($B166="",M166=""),"",IF($B166=0,--(M166=0),""))</f>
        <v/>
      </c>
      <c r="BB166" s="4">
        <f>IF(M166="","",--(M166=1))</f>
        <v/>
      </c>
      <c r="BC166" s="4">
        <f>IF(OR($B166="",N166=""),"",--(N166=$B166))</f>
        <v/>
      </c>
      <c r="BD166" s="4">
        <f>IF(OR($B166="",N166=""),"",IF($B166=1,--(N166=1),""))</f>
        <v/>
      </c>
      <c r="BE166" s="4">
        <f>IF(OR($B166="",N166=""),"",IF($B166=0,--(N166=0),""))</f>
        <v/>
      </c>
      <c r="BF166" s="4">
        <f>IF(N166="","",--(N166=1))</f>
        <v/>
      </c>
    </row>
    <row r="167">
      <c r="A167" s="3" t="inlineStr">
        <is>
          <t>202039497</t>
        </is>
      </c>
      <c r="B167" s="3" t="inlineStr">
        <is>
          <t>1</t>
        </is>
      </c>
      <c r="C167" s="3" t="inlineStr">
        <is>
          <t>Direct</t>
        </is>
      </c>
      <c r="D167" s="3" t="inlineStr">
        <is>
          <t>1</t>
        </is>
      </c>
      <c r="E167" s="3" t="inlineStr">
        <is>
          <t>1</t>
        </is>
      </c>
      <c r="F167" s="3" t="inlineStr">
        <is>
          <t>0</t>
        </is>
      </c>
      <c r="G167" s="3" t="inlineStr">
        <is>
          <t>1</t>
        </is>
      </c>
      <c r="H167" s="3" t="inlineStr">
        <is>
          <t>1</t>
        </is>
      </c>
      <c r="I167" s="3" t="inlineStr">
        <is>
          <t>1</t>
        </is>
      </c>
      <c r="J167" s="3" t="inlineStr">
        <is>
          <t>1</t>
        </is>
      </c>
      <c r="K167" s="3" t="inlineStr">
        <is>
          <t>1</t>
        </is>
      </c>
      <c r="L167" s="3" t="inlineStr">
        <is>
          <t>1</t>
        </is>
      </c>
      <c r="M167" s="3" t="inlineStr">
        <is>
          <t>1</t>
        </is>
      </c>
      <c r="N167" s="3" t="inlineStr">
        <is>
          <t>1</t>
        </is>
      </c>
      <c r="O167" s="4">
        <f>IF(OR($B167="",D167=""),"",--(D167=$B167))</f>
        <v/>
      </c>
      <c r="P167" s="4">
        <f>IF(OR($B167="",D167=""),"",IF($B167=1,--(D167=1),""))</f>
        <v/>
      </c>
      <c r="Q167" s="4">
        <f>IF(OR($B167="",D167=""),"",IF($B167=0,--(D167=0),""))</f>
        <v/>
      </c>
      <c r="R167" s="4">
        <f>IF(D167="","",--(D167=1))</f>
        <v/>
      </c>
      <c r="S167" s="4">
        <f>IF(OR($B167="",E167=""),"",--(E167=$B167))</f>
        <v/>
      </c>
      <c r="T167" s="4">
        <f>IF(OR($B167="",E167=""),"",IF($B167=1,--(E167=1),""))</f>
        <v/>
      </c>
      <c r="U167" s="4">
        <f>IF(OR($B167="",E167=""),"",IF($B167=0,--(E167=0),""))</f>
        <v/>
      </c>
      <c r="V167" s="4">
        <f>IF(E167="","",--(E167=1))</f>
        <v/>
      </c>
      <c r="W167" s="4">
        <f>IF(OR($B167="",F167=""),"",--(F167=$B167))</f>
        <v/>
      </c>
      <c r="X167" s="4">
        <f>IF(OR($B167="",F167=""),"",IF($B167=1,--(F167=1),""))</f>
        <v/>
      </c>
      <c r="Y167" s="4">
        <f>IF(OR($B167="",F167=""),"",IF($B167=0,--(F167=0),""))</f>
        <v/>
      </c>
      <c r="Z167" s="4">
        <f>IF(F167="","",--(F167=1))</f>
        <v/>
      </c>
      <c r="AA167" s="4">
        <f>IF(OR($B167="",G167=""),"",--(G167=$B167))</f>
        <v/>
      </c>
      <c r="AB167" s="4">
        <f>IF(OR($B167="",G167=""),"",IF($B167=1,--(G167=1),""))</f>
        <v/>
      </c>
      <c r="AC167" s="4">
        <f>IF(OR($B167="",G167=""),"",IF($B167=0,--(G167=0),""))</f>
        <v/>
      </c>
      <c r="AD167" s="4">
        <f>IF(G167="","",--(G167=1))</f>
        <v/>
      </c>
      <c r="AE167" s="4">
        <f>IF(OR($B167="",H167=""),"",--(H167=$B167))</f>
        <v/>
      </c>
      <c r="AF167" s="4">
        <f>IF(OR($B167="",H167=""),"",IF($B167=1,--(H167=1),""))</f>
        <v/>
      </c>
      <c r="AG167" s="4">
        <f>IF(OR($B167="",H167=""),"",IF($B167=0,--(H167=0),""))</f>
        <v/>
      </c>
      <c r="AH167" s="4">
        <f>IF(H167="","",--(H167=1))</f>
        <v/>
      </c>
      <c r="AI167" s="4">
        <f>IF(OR($B167="",I167=""),"",--(I167=$B167))</f>
        <v/>
      </c>
      <c r="AJ167" s="4">
        <f>IF(OR($B167="",I167=""),"",IF($B167=1,--(I167=1),""))</f>
        <v/>
      </c>
      <c r="AK167" s="4">
        <f>IF(OR($B167="",I167=""),"",IF($B167=0,--(I167=0),""))</f>
        <v/>
      </c>
      <c r="AL167" s="4">
        <f>IF(I167="","",--(I167=1))</f>
        <v/>
      </c>
      <c r="AM167" s="4">
        <f>IF(OR($B167="",J167=""),"",--(J167=$B167))</f>
        <v/>
      </c>
      <c r="AN167" s="4">
        <f>IF(OR($B167="",J167=""),"",IF($B167=1,--(J167=1),""))</f>
        <v/>
      </c>
      <c r="AO167" s="4">
        <f>IF(OR($B167="",J167=""),"",IF($B167=0,--(J167=0),""))</f>
        <v/>
      </c>
      <c r="AP167" s="4">
        <f>IF(J167="","",--(J167=1))</f>
        <v/>
      </c>
      <c r="AQ167" s="4">
        <f>IF(OR($B167="",K167=""),"",--(K167=$B167))</f>
        <v/>
      </c>
      <c r="AR167" s="4">
        <f>IF(OR($B167="",K167=""),"",IF($B167=1,--(K167=1),""))</f>
        <v/>
      </c>
      <c r="AS167" s="4">
        <f>IF(OR($B167="",K167=""),"",IF($B167=0,--(K167=0),""))</f>
        <v/>
      </c>
      <c r="AT167" s="4">
        <f>IF(K167="","",--(K167=1))</f>
        <v/>
      </c>
      <c r="AU167" s="4">
        <f>IF(OR($B167="",L167=""),"",--(L167=$B167))</f>
        <v/>
      </c>
      <c r="AV167" s="4">
        <f>IF(OR($B167="",L167=""),"",IF($B167=1,--(L167=1),""))</f>
        <v/>
      </c>
      <c r="AW167" s="4">
        <f>IF(OR($B167="",L167=""),"",IF($B167=0,--(L167=0),""))</f>
        <v/>
      </c>
      <c r="AX167" s="4">
        <f>IF(L167="","",--(L167=1))</f>
        <v/>
      </c>
      <c r="AY167" s="4">
        <f>IF(OR($B167="",M167=""),"",--(M167=$B167))</f>
        <v/>
      </c>
      <c r="AZ167" s="4">
        <f>IF(OR($B167="",M167=""),"",IF($B167=1,--(M167=1),""))</f>
        <v/>
      </c>
      <c r="BA167" s="4">
        <f>IF(OR($B167="",M167=""),"",IF($B167=0,--(M167=0),""))</f>
        <v/>
      </c>
      <c r="BB167" s="4">
        <f>IF(M167="","",--(M167=1))</f>
        <v/>
      </c>
      <c r="BC167" s="4">
        <f>IF(OR($B167="",N167=""),"",--(N167=$B167))</f>
        <v/>
      </c>
      <c r="BD167" s="4">
        <f>IF(OR($B167="",N167=""),"",IF($B167=1,--(N167=1),""))</f>
        <v/>
      </c>
      <c r="BE167" s="4">
        <f>IF(OR($B167="",N167=""),"",IF($B167=0,--(N167=0),""))</f>
        <v/>
      </c>
      <c r="BF167" s="4">
        <f>IF(N167="","",--(N167=1))</f>
        <v/>
      </c>
    </row>
    <row r="168">
      <c r="A168" s="3" t="inlineStr">
        <is>
          <t>202039689</t>
        </is>
      </c>
      <c r="B168" s="3" t="inlineStr">
        <is>
          <t>0</t>
        </is>
      </c>
      <c r="C168" s="3" t="inlineStr">
        <is>
          <t>Direct</t>
        </is>
      </c>
      <c r="D168" s="3" t="inlineStr">
        <is>
          <t>1</t>
        </is>
      </c>
      <c r="E168" s="3" t="inlineStr">
        <is>
          <t>1</t>
        </is>
      </c>
      <c r="F168" s="3" t="inlineStr">
        <is>
          <t>1</t>
        </is>
      </c>
      <c r="G168" s="3" t="inlineStr">
        <is>
          <t>1</t>
        </is>
      </c>
      <c r="H168" s="3" t="inlineStr">
        <is>
          <t>1</t>
        </is>
      </c>
      <c r="I168" s="3" t="inlineStr">
        <is>
          <t>1</t>
        </is>
      </c>
      <c r="J168" s="3" t="inlineStr">
        <is>
          <t>1</t>
        </is>
      </c>
      <c r="K168" s="3" t="inlineStr">
        <is>
          <t>1</t>
        </is>
      </c>
      <c r="L168" s="3" t="inlineStr">
        <is>
          <t>1</t>
        </is>
      </c>
      <c r="M168" s="3" t="inlineStr">
        <is>
          <t>1</t>
        </is>
      </c>
      <c r="N168" s="3" t="inlineStr">
        <is>
          <t>1</t>
        </is>
      </c>
      <c r="O168" s="4">
        <f>IF(OR($B168="",D168=""),"",--(D168=$B168))</f>
        <v/>
      </c>
      <c r="P168" s="4">
        <f>IF(OR($B168="",D168=""),"",IF($B168=1,--(D168=1),""))</f>
        <v/>
      </c>
      <c r="Q168" s="4">
        <f>IF(OR($B168="",D168=""),"",IF($B168=0,--(D168=0),""))</f>
        <v/>
      </c>
      <c r="R168" s="4">
        <f>IF(D168="","",--(D168=1))</f>
        <v/>
      </c>
      <c r="S168" s="4">
        <f>IF(OR($B168="",E168=""),"",--(E168=$B168))</f>
        <v/>
      </c>
      <c r="T168" s="4">
        <f>IF(OR($B168="",E168=""),"",IF($B168=1,--(E168=1),""))</f>
        <v/>
      </c>
      <c r="U168" s="4">
        <f>IF(OR($B168="",E168=""),"",IF($B168=0,--(E168=0),""))</f>
        <v/>
      </c>
      <c r="V168" s="4">
        <f>IF(E168="","",--(E168=1))</f>
        <v/>
      </c>
      <c r="W168" s="4">
        <f>IF(OR($B168="",F168=""),"",--(F168=$B168))</f>
        <v/>
      </c>
      <c r="X168" s="4">
        <f>IF(OR($B168="",F168=""),"",IF($B168=1,--(F168=1),""))</f>
        <v/>
      </c>
      <c r="Y168" s="4">
        <f>IF(OR($B168="",F168=""),"",IF($B168=0,--(F168=0),""))</f>
        <v/>
      </c>
      <c r="Z168" s="4">
        <f>IF(F168="","",--(F168=1))</f>
        <v/>
      </c>
      <c r="AA168" s="4">
        <f>IF(OR($B168="",G168=""),"",--(G168=$B168))</f>
        <v/>
      </c>
      <c r="AB168" s="4">
        <f>IF(OR($B168="",G168=""),"",IF($B168=1,--(G168=1),""))</f>
        <v/>
      </c>
      <c r="AC168" s="4">
        <f>IF(OR($B168="",G168=""),"",IF($B168=0,--(G168=0),""))</f>
        <v/>
      </c>
      <c r="AD168" s="4">
        <f>IF(G168="","",--(G168=1))</f>
        <v/>
      </c>
      <c r="AE168" s="4">
        <f>IF(OR($B168="",H168=""),"",--(H168=$B168))</f>
        <v/>
      </c>
      <c r="AF168" s="4">
        <f>IF(OR($B168="",H168=""),"",IF($B168=1,--(H168=1),""))</f>
        <v/>
      </c>
      <c r="AG168" s="4">
        <f>IF(OR($B168="",H168=""),"",IF($B168=0,--(H168=0),""))</f>
        <v/>
      </c>
      <c r="AH168" s="4">
        <f>IF(H168="","",--(H168=1))</f>
        <v/>
      </c>
      <c r="AI168" s="4">
        <f>IF(OR($B168="",I168=""),"",--(I168=$B168))</f>
        <v/>
      </c>
      <c r="AJ168" s="4">
        <f>IF(OR($B168="",I168=""),"",IF($B168=1,--(I168=1),""))</f>
        <v/>
      </c>
      <c r="AK168" s="4">
        <f>IF(OR($B168="",I168=""),"",IF($B168=0,--(I168=0),""))</f>
        <v/>
      </c>
      <c r="AL168" s="4">
        <f>IF(I168="","",--(I168=1))</f>
        <v/>
      </c>
      <c r="AM168" s="4">
        <f>IF(OR($B168="",J168=""),"",--(J168=$B168))</f>
        <v/>
      </c>
      <c r="AN168" s="4">
        <f>IF(OR($B168="",J168=""),"",IF($B168=1,--(J168=1),""))</f>
        <v/>
      </c>
      <c r="AO168" s="4">
        <f>IF(OR($B168="",J168=""),"",IF($B168=0,--(J168=0),""))</f>
        <v/>
      </c>
      <c r="AP168" s="4">
        <f>IF(J168="","",--(J168=1))</f>
        <v/>
      </c>
      <c r="AQ168" s="4">
        <f>IF(OR($B168="",K168=""),"",--(K168=$B168))</f>
        <v/>
      </c>
      <c r="AR168" s="4">
        <f>IF(OR($B168="",K168=""),"",IF($B168=1,--(K168=1),""))</f>
        <v/>
      </c>
      <c r="AS168" s="4">
        <f>IF(OR($B168="",K168=""),"",IF($B168=0,--(K168=0),""))</f>
        <v/>
      </c>
      <c r="AT168" s="4">
        <f>IF(K168="","",--(K168=1))</f>
        <v/>
      </c>
      <c r="AU168" s="4">
        <f>IF(OR($B168="",L168=""),"",--(L168=$B168))</f>
        <v/>
      </c>
      <c r="AV168" s="4">
        <f>IF(OR($B168="",L168=""),"",IF($B168=1,--(L168=1),""))</f>
        <v/>
      </c>
      <c r="AW168" s="4">
        <f>IF(OR($B168="",L168=""),"",IF($B168=0,--(L168=0),""))</f>
        <v/>
      </c>
      <c r="AX168" s="4">
        <f>IF(L168="","",--(L168=1))</f>
        <v/>
      </c>
      <c r="AY168" s="4">
        <f>IF(OR($B168="",M168=""),"",--(M168=$B168))</f>
        <v/>
      </c>
      <c r="AZ168" s="4">
        <f>IF(OR($B168="",M168=""),"",IF($B168=1,--(M168=1),""))</f>
        <v/>
      </c>
      <c r="BA168" s="4">
        <f>IF(OR($B168="",M168=""),"",IF($B168=0,--(M168=0),""))</f>
        <v/>
      </c>
      <c r="BB168" s="4">
        <f>IF(M168="","",--(M168=1))</f>
        <v/>
      </c>
      <c r="BC168" s="4">
        <f>IF(OR($B168="",N168=""),"",--(N168=$B168))</f>
        <v/>
      </c>
      <c r="BD168" s="4">
        <f>IF(OR($B168="",N168=""),"",IF($B168=1,--(N168=1),""))</f>
        <v/>
      </c>
      <c r="BE168" s="4">
        <f>IF(OR($B168="",N168=""),"",IF($B168=0,--(N168=0),""))</f>
        <v/>
      </c>
      <c r="BF168" s="4">
        <f>IF(N168="","",--(N168=1))</f>
        <v/>
      </c>
    </row>
    <row r="169">
      <c r="A169" s="3" t="inlineStr">
        <is>
          <t>202039725</t>
        </is>
      </c>
      <c r="B169" s="3" t="inlineStr">
        <is>
          <t>0</t>
        </is>
      </c>
      <c r="C169" s="3" t="inlineStr">
        <is>
          <t>Direct</t>
        </is>
      </c>
      <c r="D169" s="3" t="inlineStr">
        <is>
          <t>1</t>
        </is>
      </c>
      <c r="E169" s="3" t="inlineStr">
        <is>
          <t>0</t>
        </is>
      </c>
      <c r="F169" s="3" t="inlineStr">
        <is>
          <t>1</t>
        </is>
      </c>
      <c r="G169" s="3" t="inlineStr">
        <is>
          <t>1</t>
        </is>
      </c>
      <c r="H169" s="3" t="inlineStr">
        <is>
          <t>1</t>
        </is>
      </c>
      <c r="I169" s="3" t="inlineStr">
        <is>
          <t>1</t>
        </is>
      </c>
      <c r="J169" s="3" t="inlineStr">
        <is>
          <t>1</t>
        </is>
      </c>
      <c r="K169" s="3" t="inlineStr">
        <is>
          <t>1</t>
        </is>
      </c>
      <c r="L169" s="3" t="inlineStr">
        <is>
          <t>1</t>
        </is>
      </c>
      <c r="M169" s="3" t="inlineStr">
        <is>
          <t>1</t>
        </is>
      </c>
      <c r="N169" s="3" t="inlineStr">
        <is>
          <t>1</t>
        </is>
      </c>
      <c r="O169" s="4">
        <f>IF(OR($B169="",D169=""),"",--(D169=$B169))</f>
        <v/>
      </c>
      <c r="P169" s="4">
        <f>IF(OR($B169="",D169=""),"",IF($B169=1,--(D169=1),""))</f>
        <v/>
      </c>
      <c r="Q169" s="4">
        <f>IF(OR($B169="",D169=""),"",IF($B169=0,--(D169=0),""))</f>
        <v/>
      </c>
      <c r="R169" s="4">
        <f>IF(D169="","",--(D169=1))</f>
        <v/>
      </c>
      <c r="S169" s="4">
        <f>IF(OR($B169="",E169=""),"",--(E169=$B169))</f>
        <v/>
      </c>
      <c r="T169" s="4">
        <f>IF(OR($B169="",E169=""),"",IF($B169=1,--(E169=1),""))</f>
        <v/>
      </c>
      <c r="U169" s="4">
        <f>IF(OR($B169="",E169=""),"",IF($B169=0,--(E169=0),""))</f>
        <v/>
      </c>
      <c r="V169" s="4">
        <f>IF(E169="","",--(E169=1))</f>
        <v/>
      </c>
      <c r="W169" s="4">
        <f>IF(OR($B169="",F169=""),"",--(F169=$B169))</f>
        <v/>
      </c>
      <c r="X169" s="4">
        <f>IF(OR($B169="",F169=""),"",IF($B169=1,--(F169=1),""))</f>
        <v/>
      </c>
      <c r="Y169" s="4">
        <f>IF(OR($B169="",F169=""),"",IF($B169=0,--(F169=0),""))</f>
        <v/>
      </c>
      <c r="Z169" s="4">
        <f>IF(F169="","",--(F169=1))</f>
        <v/>
      </c>
      <c r="AA169" s="4">
        <f>IF(OR($B169="",G169=""),"",--(G169=$B169))</f>
        <v/>
      </c>
      <c r="AB169" s="4">
        <f>IF(OR($B169="",G169=""),"",IF($B169=1,--(G169=1),""))</f>
        <v/>
      </c>
      <c r="AC169" s="4">
        <f>IF(OR($B169="",G169=""),"",IF($B169=0,--(G169=0),""))</f>
        <v/>
      </c>
      <c r="AD169" s="4">
        <f>IF(G169="","",--(G169=1))</f>
        <v/>
      </c>
      <c r="AE169" s="4">
        <f>IF(OR($B169="",H169=""),"",--(H169=$B169))</f>
        <v/>
      </c>
      <c r="AF169" s="4">
        <f>IF(OR($B169="",H169=""),"",IF($B169=1,--(H169=1),""))</f>
        <v/>
      </c>
      <c r="AG169" s="4">
        <f>IF(OR($B169="",H169=""),"",IF($B169=0,--(H169=0),""))</f>
        <v/>
      </c>
      <c r="AH169" s="4">
        <f>IF(H169="","",--(H169=1))</f>
        <v/>
      </c>
      <c r="AI169" s="4">
        <f>IF(OR($B169="",I169=""),"",--(I169=$B169))</f>
        <v/>
      </c>
      <c r="AJ169" s="4">
        <f>IF(OR($B169="",I169=""),"",IF($B169=1,--(I169=1),""))</f>
        <v/>
      </c>
      <c r="AK169" s="4">
        <f>IF(OR($B169="",I169=""),"",IF($B169=0,--(I169=0),""))</f>
        <v/>
      </c>
      <c r="AL169" s="4">
        <f>IF(I169="","",--(I169=1))</f>
        <v/>
      </c>
      <c r="AM169" s="4">
        <f>IF(OR($B169="",J169=""),"",--(J169=$B169))</f>
        <v/>
      </c>
      <c r="AN169" s="4">
        <f>IF(OR($B169="",J169=""),"",IF($B169=1,--(J169=1),""))</f>
        <v/>
      </c>
      <c r="AO169" s="4">
        <f>IF(OR($B169="",J169=""),"",IF($B169=0,--(J169=0),""))</f>
        <v/>
      </c>
      <c r="AP169" s="4">
        <f>IF(J169="","",--(J169=1))</f>
        <v/>
      </c>
      <c r="AQ169" s="4">
        <f>IF(OR($B169="",K169=""),"",--(K169=$B169))</f>
        <v/>
      </c>
      <c r="AR169" s="4">
        <f>IF(OR($B169="",K169=""),"",IF($B169=1,--(K169=1),""))</f>
        <v/>
      </c>
      <c r="AS169" s="4">
        <f>IF(OR($B169="",K169=""),"",IF($B169=0,--(K169=0),""))</f>
        <v/>
      </c>
      <c r="AT169" s="4">
        <f>IF(K169="","",--(K169=1))</f>
        <v/>
      </c>
      <c r="AU169" s="4">
        <f>IF(OR($B169="",L169=""),"",--(L169=$B169))</f>
        <v/>
      </c>
      <c r="AV169" s="4">
        <f>IF(OR($B169="",L169=""),"",IF($B169=1,--(L169=1),""))</f>
        <v/>
      </c>
      <c r="AW169" s="4">
        <f>IF(OR($B169="",L169=""),"",IF($B169=0,--(L169=0),""))</f>
        <v/>
      </c>
      <c r="AX169" s="4">
        <f>IF(L169="","",--(L169=1))</f>
        <v/>
      </c>
      <c r="AY169" s="4">
        <f>IF(OR($B169="",M169=""),"",--(M169=$B169))</f>
        <v/>
      </c>
      <c r="AZ169" s="4">
        <f>IF(OR($B169="",M169=""),"",IF($B169=1,--(M169=1),""))</f>
        <v/>
      </c>
      <c r="BA169" s="4">
        <f>IF(OR($B169="",M169=""),"",IF($B169=0,--(M169=0),""))</f>
        <v/>
      </c>
      <c r="BB169" s="4">
        <f>IF(M169="","",--(M169=1))</f>
        <v/>
      </c>
      <c r="BC169" s="4">
        <f>IF(OR($B169="",N169=""),"",--(N169=$B169))</f>
        <v/>
      </c>
      <c r="BD169" s="4">
        <f>IF(OR($B169="",N169=""),"",IF($B169=1,--(N169=1),""))</f>
        <v/>
      </c>
      <c r="BE169" s="4">
        <f>IF(OR($B169="",N169=""),"",IF($B169=0,--(N169=0),""))</f>
        <v/>
      </c>
      <c r="BF169" s="4">
        <f>IF(N169="","",--(N169=1))</f>
        <v/>
      </c>
    </row>
    <row r="170">
      <c r="A170" s="3" t="inlineStr">
        <is>
          <t>202039768</t>
        </is>
      </c>
      <c r="B170" s="3" t="inlineStr">
        <is>
          <t>0</t>
        </is>
      </c>
      <c r="C170" s="3" t="inlineStr">
        <is>
          <t>Direct</t>
        </is>
      </c>
      <c r="D170" s="3" t="inlineStr">
        <is>
          <t>1</t>
        </is>
      </c>
      <c r="E170" s="3" t="inlineStr">
        <is>
          <t>0</t>
        </is>
      </c>
      <c r="F170" s="3" t="inlineStr">
        <is>
          <t>1</t>
        </is>
      </c>
      <c r="G170" s="3" t="inlineStr">
        <is>
          <t>0</t>
        </is>
      </c>
      <c r="H170" s="3" t="inlineStr">
        <is>
          <t>1</t>
        </is>
      </c>
      <c r="I170" s="3" t="inlineStr">
        <is>
          <t>1</t>
        </is>
      </c>
      <c r="J170" s="3" t="inlineStr">
        <is>
          <t>1</t>
        </is>
      </c>
      <c r="K170" s="3" t="inlineStr">
        <is>
          <t>1</t>
        </is>
      </c>
      <c r="L170" s="3" t="inlineStr">
        <is>
          <t>1</t>
        </is>
      </c>
      <c r="M170" s="3" t="inlineStr">
        <is>
          <t>1</t>
        </is>
      </c>
      <c r="N170" s="3" t="inlineStr">
        <is>
          <t>1</t>
        </is>
      </c>
      <c r="O170" s="4">
        <f>IF(OR($B170="",D170=""),"",--(D170=$B170))</f>
        <v/>
      </c>
      <c r="P170" s="4">
        <f>IF(OR($B170="",D170=""),"",IF($B170=1,--(D170=1),""))</f>
        <v/>
      </c>
      <c r="Q170" s="4">
        <f>IF(OR($B170="",D170=""),"",IF($B170=0,--(D170=0),""))</f>
        <v/>
      </c>
      <c r="R170" s="4">
        <f>IF(D170="","",--(D170=1))</f>
        <v/>
      </c>
      <c r="S170" s="4">
        <f>IF(OR($B170="",E170=""),"",--(E170=$B170))</f>
        <v/>
      </c>
      <c r="T170" s="4">
        <f>IF(OR($B170="",E170=""),"",IF($B170=1,--(E170=1),""))</f>
        <v/>
      </c>
      <c r="U170" s="4">
        <f>IF(OR($B170="",E170=""),"",IF($B170=0,--(E170=0),""))</f>
        <v/>
      </c>
      <c r="V170" s="4">
        <f>IF(E170="","",--(E170=1))</f>
        <v/>
      </c>
      <c r="W170" s="4">
        <f>IF(OR($B170="",F170=""),"",--(F170=$B170))</f>
        <v/>
      </c>
      <c r="X170" s="4">
        <f>IF(OR($B170="",F170=""),"",IF($B170=1,--(F170=1),""))</f>
        <v/>
      </c>
      <c r="Y170" s="4">
        <f>IF(OR($B170="",F170=""),"",IF($B170=0,--(F170=0),""))</f>
        <v/>
      </c>
      <c r="Z170" s="4">
        <f>IF(F170="","",--(F170=1))</f>
        <v/>
      </c>
      <c r="AA170" s="4">
        <f>IF(OR($B170="",G170=""),"",--(G170=$B170))</f>
        <v/>
      </c>
      <c r="AB170" s="4">
        <f>IF(OR($B170="",G170=""),"",IF($B170=1,--(G170=1),""))</f>
        <v/>
      </c>
      <c r="AC170" s="4">
        <f>IF(OR($B170="",G170=""),"",IF($B170=0,--(G170=0),""))</f>
        <v/>
      </c>
      <c r="AD170" s="4">
        <f>IF(G170="","",--(G170=1))</f>
        <v/>
      </c>
      <c r="AE170" s="4">
        <f>IF(OR($B170="",H170=""),"",--(H170=$B170))</f>
        <v/>
      </c>
      <c r="AF170" s="4">
        <f>IF(OR($B170="",H170=""),"",IF($B170=1,--(H170=1),""))</f>
        <v/>
      </c>
      <c r="AG170" s="4">
        <f>IF(OR($B170="",H170=""),"",IF($B170=0,--(H170=0),""))</f>
        <v/>
      </c>
      <c r="AH170" s="4">
        <f>IF(H170="","",--(H170=1))</f>
        <v/>
      </c>
      <c r="AI170" s="4">
        <f>IF(OR($B170="",I170=""),"",--(I170=$B170))</f>
        <v/>
      </c>
      <c r="AJ170" s="4">
        <f>IF(OR($B170="",I170=""),"",IF($B170=1,--(I170=1),""))</f>
        <v/>
      </c>
      <c r="AK170" s="4">
        <f>IF(OR($B170="",I170=""),"",IF($B170=0,--(I170=0),""))</f>
        <v/>
      </c>
      <c r="AL170" s="4">
        <f>IF(I170="","",--(I170=1))</f>
        <v/>
      </c>
      <c r="AM170" s="4">
        <f>IF(OR($B170="",J170=""),"",--(J170=$B170))</f>
        <v/>
      </c>
      <c r="AN170" s="4">
        <f>IF(OR($B170="",J170=""),"",IF($B170=1,--(J170=1),""))</f>
        <v/>
      </c>
      <c r="AO170" s="4">
        <f>IF(OR($B170="",J170=""),"",IF($B170=0,--(J170=0),""))</f>
        <v/>
      </c>
      <c r="AP170" s="4">
        <f>IF(J170="","",--(J170=1))</f>
        <v/>
      </c>
      <c r="AQ170" s="4">
        <f>IF(OR($B170="",K170=""),"",--(K170=$B170))</f>
        <v/>
      </c>
      <c r="AR170" s="4">
        <f>IF(OR($B170="",K170=""),"",IF($B170=1,--(K170=1),""))</f>
        <v/>
      </c>
      <c r="AS170" s="4">
        <f>IF(OR($B170="",K170=""),"",IF($B170=0,--(K170=0),""))</f>
        <v/>
      </c>
      <c r="AT170" s="4">
        <f>IF(K170="","",--(K170=1))</f>
        <v/>
      </c>
      <c r="AU170" s="4">
        <f>IF(OR($B170="",L170=""),"",--(L170=$B170))</f>
        <v/>
      </c>
      <c r="AV170" s="4">
        <f>IF(OR($B170="",L170=""),"",IF($B170=1,--(L170=1),""))</f>
        <v/>
      </c>
      <c r="AW170" s="4">
        <f>IF(OR($B170="",L170=""),"",IF($B170=0,--(L170=0),""))</f>
        <v/>
      </c>
      <c r="AX170" s="4">
        <f>IF(L170="","",--(L170=1))</f>
        <v/>
      </c>
      <c r="AY170" s="4">
        <f>IF(OR($B170="",M170=""),"",--(M170=$B170))</f>
        <v/>
      </c>
      <c r="AZ170" s="4">
        <f>IF(OR($B170="",M170=""),"",IF($B170=1,--(M170=1),""))</f>
        <v/>
      </c>
      <c r="BA170" s="4">
        <f>IF(OR($B170="",M170=""),"",IF($B170=0,--(M170=0),""))</f>
        <v/>
      </c>
      <c r="BB170" s="4">
        <f>IF(M170="","",--(M170=1))</f>
        <v/>
      </c>
      <c r="BC170" s="4">
        <f>IF(OR($B170="",N170=""),"",--(N170=$B170))</f>
        <v/>
      </c>
      <c r="BD170" s="4">
        <f>IF(OR($B170="",N170=""),"",IF($B170=1,--(N170=1),""))</f>
        <v/>
      </c>
      <c r="BE170" s="4">
        <f>IF(OR($B170="",N170=""),"",IF($B170=0,--(N170=0),""))</f>
        <v/>
      </c>
      <c r="BF170" s="4">
        <f>IF(N170="","",--(N170=1))</f>
        <v/>
      </c>
    </row>
    <row r="171">
      <c r="A171" s="3" t="inlineStr">
        <is>
          <t>202039792</t>
        </is>
      </c>
      <c r="B171" s="3" t="inlineStr">
        <is>
          <t>1</t>
        </is>
      </c>
      <c r="C171" s="3" t="inlineStr">
        <is>
          <t>Direct</t>
        </is>
      </c>
      <c r="D171" s="3" t="inlineStr">
        <is>
          <t>1</t>
        </is>
      </c>
      <c r="E171" s="3" t="inlineStr">
        <is>
          <t>0</t>
        </is>
      </c>
      <c r="F171" s="3" t="inlineStr">
        <is>
          <t>0</t>
        </is>
      </c>
      <c r="G171" s="3" t="inlineStr">
        <is>
          <t>1</t>
        </is>
      </c>
      <c r="H171" s="3" t="inlineStr">
        <is>
          <t>0</t>
        </is>
      </c>
      <c r="I171" s="3" t="inlineStr">
        <is>
          <t>1</t>
        </is>
      </c>
      <c r="J171" s="3" t="inlineStr">
        <is>
          <t>1</t>
        </is>
      </c>
      <c r="K171" s="3" t="inlineStr">
        <is>
          <t>1</t>
        </is>
      </c>
      <c r="L171" s="3" t="inlineStr">
        <is>
          <t>1</t>
        </is>
      </c>
      <c r="M171" s="3" t="inlineStr">
        <is>
          <t>1</t>
        </is>
      </c>
      <c r="N171" s="3" t="inlineStr">
        <is>
          <t>1</t>
        </is>
      </c>
      <c r="O171" s="4">
        <f>IF(OR($B171="",D171=""),"",--(D171=$B171))</f>
        <v/>
      </c>
      <c r="P171" s="4">
        <f>IF(OR($B171="",D171=""),"",IF($B171=1,--(D171=1),""))</f>
        <v/>
      </c>
      <c r="Q171" s="4">
        <f>IF(OR($B171="",D171=""),"",IF($B171=0,--(D171=0),""))</f>
        <v/>
      </c>
      <c r="R171" s="4">
        <f>IF(D171="","",--(D171=1))</f>
        <v/>
      </c>
      <c r="S171" s="4">
        <f>IF(OR($B171="",E171=""),"",--(E171=$B171))</f>
        <v/>
      </c>
      <c r="T171" s="4">
        <f>IF(OR($B171="",E171=""),"",IF($B171=1,--(E171=1),""))</f>
        <v/>
      </c>
      <c r="U171" s="4">
        <f>IF(OR($B171="",E171=""),"",IF($B171=0,--(E171=0),""))</f>
        <v/>
      </c>
      <c r="V171" s="4">
        <f>IF(E171="","",--(E171=1))</f>
        <v/>
      </c>
      <c r="W171" s="4">
        <f>IF(OR($B171="",F171=""),"",--(F171=$B171))</f>
        <v/>
      </c>
      <c r="X171" s="4">
        <f>IF(OR($B171="",F171=""),"",IF($B171=1,--(F171=1),""))</f>
        <v/>
      </c>
      <c r="Y171" s="4">
        <f>IF(OR($B171="",F171=""),"",IF($B171=0,--(F171=0),""))</f>
        <v/>
      </c>
      <c r="Z171" s="4">
        <f>IF(F171="","",--(F171=1))</f>
        <v/>
      </c>
      <c r="AA171" s="4">
        <f>IF(OR($B171="",G171=""),"",--(G171=$B171))</f>
        <v/>
      </c>
      <c r="AB171" s="4">
        <f>IF(OR($B171="",G171=""),"",IF($B171=1,--(G171=1),""))</f>
        <v/>
      </c>
      <c r="AC171" s="4">
        <f>IF(OR($B171="",G171=""),"",IF($B171=0,--(G171=0),""))</f>
        <v/>
      </c>
      <c r="AD171" s="4">
        <f>IF(G171="","",--(G171=1))</f>
        <v/>
      </c>
      <c r="AE171" s="4">
        <f>IF(OR($B171="",H171=""),"",--(H171=$B171))</f>
        <v/>
      </c>
      <c r="AF171" s="4">
        <f>IF(OR($B171="",H171=""),"",IF($B171=1,--(H171=1),""))</f>
        <v/>
      </c>
      <c r="AG171" s="4">
        <f>IF(OR($B171="",H171=""),"",IF($B171=0,--(H171=0),""))</f>
        <v/>
      </c>
      <c r="AH171" s="4">
        <f>IF(H171="","",--(H171=1))</f>
        <v/>
      </c>
      <c r="AI171" s="4">
        <f>IF(OR($B171="",I171=""),"",--(I171=$B171))</f>
        <v/>
      </c>
      <c r="AJ171" s="4">
        <f>IF(OR($B171="",I171=""),"",IF($B171=1,--(I171=1),""))</f>
        <v/>
      </c>
      <c r="AK171" s="4">
        <f>IF(OR($B171="",I171=""),"",IF($B171=0,--(I171=0),""))</f>
        <v/>
      </c>
      <c r="AL171" s="4">
        <f>IF(I171="","",--(I171=1))</f>
        <v/>
      </c>
      <c r="AM171" s="4">
        <f>IF(OR($B171="",J171=""),"",--(J171=$B171))</f>
        <v/>
      </c>
      <c r="AN171" s="4">
        <f>IF(OR($B171="",J171=""),"",IF($B171=1,--(J171=1),""))</f>
        <v/>
      </c>
      <c r="AO171" s="4">
        <f>IF(OR($B171="",J171=""),"",IF($B171=0,--(J171=0),""))</f>
        <v/>
      </c>
      <c r="AP171" s="4">
        <f>IF(J171="","",--(J171=1))</f>
        <v/>
      </c>
      <c r="AQ171" s="4">
        <f>IF(OR($B171="",K171=""),"",--(K171=$B171))</f>
        <v/>
      </c>
      <c r="AR171" s="4">
        <f>IF(OR($B171="",K171=""),"",IF($B171=1,--(K171=1),""))</f>
        <v/>
      </c>
      <c r="AS171" s="4">
        <f>IF(OR($B171="",K171=""),"",IF($B171=0,--(K171=0),""))</f>
        <v/>
      </c>
      <c r="AT171" s="4">
        <f>IF(K171="","",--(K171=1))</f>
        <v/>
      </c>
      <c r="AU171" s="4">
        <f>IF(OR($B171="",L171=""),"",--(L171=$B171))</f>
        <v/>
      </c>
      <c r="AV171" s="4">
        <f>IF(OR($B171="",L171=""),"",IF($B171=1,--(L171=1),""))</f>
        <v/>
      </c>
      <c r="AW171" s="4">
        <f>IF(OR($B171="",L171=""),"",IF($B171=0,--(L171=0),""))</f>
        <v/>
      </c>
      <c r="AX171" s="4">
        <f>IF(L171="","",--(L171=1))</f>
        <v/>
      </c>
      <c r="AY171" s="4">
        <f>IF(OR($B171="",M171=""),"",--(M171=$B171))</f>
        <v/>
      </c>
      <c r="AZ171" s="4">
        <f>IF(OR($B171="",M171=""),"",IF($B171=1,--(M171=1),""))</f>
        <v/>
      </c>
      <c r="BA171" s="4">
        <f>IF(OR($B171="",M171=""),"",IF($B171=0,--(M171=0),""))</f>
        <v/>
      </c>
      <c r="BB171" s="4">
        <f>IF(M171="","",--(M171=1))</f>
        <v/>
      </c>
      <c r="BC171" s="4">
        <f>IF(OR($B171="",N171=""),"",--(N171=$B171))</f>
        <v/>
      </c>
      <c r="BD171" s="4">
        <f>IF(OR($B171="",N171=""),"",IF($B171=1,--(N171=1),""))</f>
        <v/>
      </c>
      <c r="BE171" s="4">
        <f>IF(OR($B171="",N171=""),"",IF($B171=0,--(N171=0),""))</f>
        <v/>
      </c>
      <c r="BF171" s="4">
        <f>IF(N171="","",--(N171=1))</f>
        <v/>
      </c>
    </row>
    <row r="172">
      <c r="A172" s="3" t="inlineStr">
        <is>
          <t>202040377</t>
        </is>
      </c>
      <c r="B172" s="3" t="inlineStr">
        <is>
          <t>0</t>
        </is>
      </c>
      <c r="C172" s="3" t="inlineStr">
        <is>
          <t>Direct</t>
        </is>
      </c>
      <c r="D172" s="3" t="inlineStr">
        <is>
          <t>1</t>
        </is>
      </c>
      <c r="E172" s="3" t="inlineStr">
        <is>
          <t>0</t>
        </is>
      </c>
      <c r="F172" s="3" t="inlineStr">
        <is>
          <t>0</t>
        </is>
      </c>
      <c r="G172" s="3" t="inlineStr">
        <is>
          <t>0</t>
        </is>
      </c>
      <c r="H172" s="3" t="inlineStr">
        <is>
          <t>0</t>
        </is>
      </c>
      <c r="I172" s="3" t="inlineStr">
        <is>
          <t>1</t>
        </is>
      </c>
      <c r="J172" s="3" t="inlineStr">
        <is>
          <t>1</t>
        </is>
      </c>
      <c r="K172" s="3" t="inlineStr">
        <is>
          <t>1</t>
        </is>
      </c>
      <c r="L172" s="3" t="inlineStr">
        <is>
          <t>1</t>
        </is>
      </c>
      <c r="M172" s="3" t="inlineStr">
        <is>
          <t>1</t>
        </is>
      </c>
      <c r="N172" s="3" t="inlineStr">
        <is>
          <t>1</t>
        </is>
      </c>
      <c r="O172" s="4">
        <f>IF(OR($B172="",D172=""),"",--(D172=$B172))</f>
        <v/>
      </c>
      <c r="P172" s="4">
        <f>IF(OR($B172="",D172=""),"",IF($B172=1,--(D172=1),""))</f>
        <v/>
      </c>
      <c r="Q172" s="4">
        <f>IF(OR($B172="",D172=""),"",IF($B172=0,--(D172=0),""))</f>
        <v/>
      </c>
      <c r="R172" s="4">
        <f>IF(D172="","",--(D172=1))</f>
        <v/>
      </c>
      <c r="S172" s="4">
        <f>IF(OR($B172="",E172=""),"",--(E172=$B172))</f>
        <v/>
      </c>
      <c r="T172" s="4">
        <f>IF(OR($B172="",E172=""),"",IF($B172=1,--(E172=1),""))</f>
        <v/>
      </c>
      <c r="U172" s="4">
        <f>IF(OR($B172="",E172=""),"",IF($B172=0,--(E172=0),""))</f>
        <v/>
      </c>
      <c r="V172" s="4">
        <f>IF(E172="","",--(E172=1))</f>
        <v/>
      </c>
      <c r="W172" s="4">
        <f>IF(OR($B172="",F172=""),"",--(F172=$B172))</f>
        <v/>
      </c>
      <c r="X172" s="4">
        <f>IF(OR($B172="",F172=""),"",IF($B172=1,--(F172=1),""))</f>
        <v/>
      </c>
      <c r="Y172" s="4">
        <f>IF(OR($B172="",F172=""),"",IF($B172=0,--(F172=0),""))</f>
        <v/>
      </c>
      <c r="Z172" s="4">
        <f>IF(F172="","",--(F172=1))</f>
        <v/>
      </c>
      <c r="AA172" s="4">
        <f>IF(OR($B172="",G172=""),"",--(G172=$B172))</f>
        <v/>
      </c>
      <c r="AB172" s="4">
        <f>IF(OR($B172="",G172=""),"",IF($B172=1,--(G172=1),""))</f>
        <v/>
      </c>
      <c r="AC172" s="4">
        <f>IF(OR($B172="",G172=""),"",IF($B172=0,--(G172=0),""))</f>
        <v/>
      </c>
      <c r="AD172" s="4">
        <f>IF(G172="","",--(G172=1))</f>
        <v/>
      </c>
      <c r="AE172" s="4">
        <f>IF(OR($B172="",H172=""),"",--(H172=$B172))</f>
        <v/>
      </c>
      <c r="AF172" s="4">
        <f>IF(OR($B172="",H172=""),"",IF($B172=1,--(H172=1),""))</f>
        <v/>
      </c>
      <c r="AG172" s="4">
        <f>IF(OR($B172="",H172=""),"",IF($B172=0,--(H172=0),""))</f>
        <v/>
      </c>
      <c r="AH172" s="4">
        <f>IF(H172="","",--(H172=1))</f>
        <v/>
      </c>
      <c r="AI172" s="4">
        <f>IF(OR($B172="",I172=""),"",--(I172=$B172))</f>
        <v/>
      </c>
      <c r="AJ172" s="4">
        <f>IF(OR($B172="",I172=""),"",IF($B172=1,--(I172=1),""))</f>
        <v/>
      </c>
      <c r="AK172" s="4">
        <f>IF(OR($B172="",I172=""),"",IF($B172=0,--(I172=0),""))</f>
        <v/>
      </c>
      <c r="AL172" s="4">
        <f>IF(I172="","",--(I172=1))</f>
        <v/>
      </c>
      <c r="AM172" s="4">
        <f>IF(OR($B172="",J172=""),"",--(J172=$B172))</f>
        <v/>
      </c>
      <c r="AN172" s="4">
        <f>IF(OR($B172="",J172=""),"",IF($B172=1,--(J172=1),""))</f>
        <v/>
      </c>
      <c r="AO172" s="4">
        <f>IF(OR($B172="",J172=""),"",IF($B172=0,--(J172=0),""))</f>
        <v/>
      </c>
      <c r="AP172" s="4">
        <f>IF(J172="","",--(J172=1))</f>
        <v/>
      </c>
      <c r="AQ172" s="4">
        <f>IF(OR($B172="",K172=""),"",--(K172=$B172))</f>
        <v/>
      </c>
      <c r="AR172" s="4">
        <f>IF(OR($B172="",K172=""),"",IF($B172=1,--(K172=1),""))</f>
        <v/>
      </c>
      <c r="AS172" s="4">
        <f>IF(OR($B172="",K172=""),"",IF($B172=0,--(K172=0),""))</f>
        <v/>
      </c>
      <c r="AT172" s="4">
        <f>IF(K172="","",--(K172=1))</f>
        <v/>
      </c>
      <c r="AU172" s="4">
        <f>IF(OR($B172="",L172=""),"",--(L172=$B172))</f>
        <v/>
      </c>
      <c r="AV172" s="4">
        <f>IF(OR($B172="",L172=""),"",IF($B172=1,--(L172=1),""))</f>
        <v/>
      </c>
      <c r="AW172" s="4">
        <f>IF(OR($B172="",L172=""),"",IF($B172=0,--(L172=0),""))</f>
        <v/>
      </c>
      <c r="AX172" s="4">
        <f>IF(L172="","",--(L172=1))</f>
        <v/>
      </c>
      <c r="AY172" s="4">
        <f>IF(OR($B172="",M172=""),"",--(M172=$B172))</f>
        <v/>
      </c>
      <c r="AZ172" s="4">
        <f>IF(OR($B172="",M172=""),"",IF($B172=1,--(M172=1),""))</f>
        <v/>
      </c>
      <c r="BA172" s="4">
        <f>IF(OR($B172="",M172=""),"",IF($B172=0,--(M172=0),""))</f>
        <v/>
      </c>
      <c r="BB172" s="4">
        <f>IF(M172="","",--(M172=1))</f>
        <v/>
      </c>
      <c r="BC172" s="4">
        <f>IF(OR($B172="",N172=""),"",--(N172=$B172))</f>
        <v/>
      </c>
      <c r="BD172" s="4">
        <f>IF(OR($B172="",N172=""),"",IF($B172=1,--(N172=1),""))</f>
        <v/>
      </c>
      <c r="BE172" s="4">
        <f>IF(OR($B172="",N172=""),"",IF($B172=0,--(N172=0),""))</f>
        <v/>
      </c>
      <c r="BF172" s="4">
        <f>IF(N172="","",--(N172=1))</f>
        <v/>
      </c>
    </row>
    <row r="173">
      <c r="A173" s="3" t="inlineStr">
        <is>
          <t>20204375</t>
        </is>
      </c>
      <c r="B173" s="3" t="inlineStr">
        <is>
          <t>1</t>
        </is>
      </c>
      <c r="C173" s="3" t="inlineStr">
        <is>
          <t>Direct</t>
        </is>
      </c>
      <c r="D173" s="3" t="inlineStr">
        <is>
          <t>1</t>
        </is>
      </c>
      <c r="E173" s="3" t="inlineStr">
        <is>
          <t>0</t>
        </is>
      </c>
      <c r="F173" s="3" t="inlineStr">
        <is>
          <t>0</t>
        </is>
      </c>
      <c r="G173" s="3" t="inlineStr">
        <is>
          <t>0</t>
        </is>
      </c>
      <c r="H173" s="3" t="inlineStr">
        <is>
          <t>1</t>
        </is>
      </c>
      <c r="I173" s="3" t="inlineStr">
        <is>
          <t>1</t>
        </is>
      </c>
      <c r="J173" s="3" t="inlineStr">
        <is>
          <t>1</t>
        </is>
      </c>
      <c r="K173" s="3" t="inlineStr">
        <is>
          <t>1</t>
        </is>
      </c>
      <c r="L173" s="3" t="inlineStr">
        <is>
          <t>0</t>
        </is>
      </c>
      <c r="M173" s="3" t="inlineStr">
        <is>
          <t>1</t>
        </is>
      </c>
      <c r="N173" s="3" t="inlineStr">
        <is>
          <t>1</t>
        </is>
      </c>
      <c r="O173" s="4">
        <f>IF(OR($B173="",D173=""),"",--(D173=$B173))</f>
        <v/>
      </c>
      <c r="P173" s="4">
        <f>IF(OR($B173="",D173=""),"",IF($B173=1,--(D173=1),""))</f>
        <v/>
      </c>
      <c r="Q173" s="4">
        <f>IF(OR($B173="",D173=""),"",IF($B173=0,--(D173=0),""))</f>
        <v/>
      </c>
      <c r="R173" s="4">
        <f>IF(D173="","",--(D173=1))</f>
        <v/>
      </c>
      <c r="S173" s="4">
        <f>IF(OR($B173="",E173=""),"",--(E173=$B173))</f>
        <v/>
      </c>
      <c r="T173" s="4">
        <f>IF(OR($B173="",E173=""),"",IF($B173=1,--(E173=1),""))</f>
        <v/>
      </c>
      <c r="U173" s="4">
        <f>IF(OR($B173="",E173=""),"",IF($B173=0,--(E173=0),""))</f>
        <v/>
      </c>
      <c r="V173" s="4">
        <f>IF(E173="","",--(E173=1))</f>
        <v/>
      </c>
      <c r="W173" s="4">
        <f>IF(OR($B173="",F173=""),"",--(F173=$B173))</f>
        <v/>
      </c>
      <c r="X173" s="4">
        <f>IF(OR($B173="",F173=""),"",IF($B173=1,--(F173=1),""))</f>
        <v/>
      </c>
      <c r="Y173" s="4">
        <f>IF(OR($B173="",F173=""),"",IF($B173=0,--(F173=0),""))</f>
        <v/>
      </c>
      <c r="Z173" s="4">
        <f>IF(F173="","",--(F173=1))</f>
        <v/>
      </c>
      <c r="AA173" s="4">
        <f>IF(OR($B173="",G173=""),"",--(G173=$B173))</f>
        <v/>
      </c>
      <c r="AB173" s="4">
        <f>IF(OR($B173="",G173=""),"",IF($B173=1,--(G173=1),""))</f>
        <v/>
      </c>
      <c r="AC173" s="4">
        <f>IF(OR($B173="",G173=""),"",IF($B173=0,--(G173=0),""))</f>
        <v/>
      </c>
      <c r="AD173" s="4">
        <f>IF(G173="","",--(G173=1))</f>
        <v/>
      </c>
      <c r="AE173" s="4">
        <f>IF(OR($B173="",H173=""),"",--(H173=$B173))</f>
        <v/>
      </c>
      <c r="AF173" s="4">
        <f>IF(OR($B173="",H173=""),"",IF($B173=1,--(H173=1),""))</f>
        <v/>
      </c>
      <c r="AG173" s="4">
        <f>IF(OR($B173="",H173=""),"",IF($B173=0,--(H173=0),""))</f>
        <v/>
      </c>
      <c r="AH173" s="4">
        <f>IF(H173="","",--(H173=1))</f>
        <v/>
      </c>
      <c r="AI173" s="4">
        <f>IF(OR($B173="",I173=""),"",--(I173=$B173))</f>
        <v/>
      </c>
      <c r="AJ173" s="4">
        <f>IF(OR($B173="",I173=""),"",IF($B173=1,--(I173=1),""))</f>
        <v/>
      </c>
      <c r="AK173" s="4">
        <f>IF(OR($B173="",I173=""),"",IF($B173=0,--(I173=0),""))</f>
        <v/>
      </c>
      <c r="AL173" s="4">
        <f>IF(I173="","",--(I173=1))</f>
        <v/>
      </c>
      <c r="AM173" s="4">
        <f>IF(OR($B173="",J173=""),"",--(J173=$B173))</f>
        <v/>
      </c>
      <c r="AN173" s="4">
        <f>IF(OR($B173="",J173=""),"",IF($B173=1,--(J173=1),""))</f>
        <v/>
      </c>
      <c r="AO173" s="4">
        <f>IF(OR($B173="",J173=""),"",IF($B173=0,--(J173=0),""))</f>
        <v/>
      </c>
      <c r="AP173" s="4">
        <f>IF(J173="","",--(J173=1))</f>
        <v/>
      </c>
      <c r="AQ173" s="4">
        <f>IF(OR($B173="",K173=""),"",--(K173=$B173))</f>
        <v/>
      </c>
      <c r="AR173" s="4">
        <f>IF(OR($B173="",K173=""),"",IF($B173=1,--(K173=1),""))</f>
        <v/>
      </c>
      <c r="AS173" s="4">
        <f>IF(OR($B173="",K173=""),"",IF($B173=0,--(K173=0),""))</f>
        <v/>
      </c>
      <c r="AT173" s="4">
        <f>IF(K173="","",--(K173=1))</f>
        <v/>
      </c>
      <c r="AU173" s="4">
        <f>IF(OR($B173="",L173=""),"",--(L173=$B173))</f>
        <v/>
      </c>
      <c r="AV173" s="4">
        <f>IF(OR($B173="",L173=""),"",IF($B173=1,--(L173=1),""))</f>
        <v/>
      </c>
      <c r="AW173" s="4">
        <f>IF(OR($B173="",L173=""),"",IF($B173=0,--(L173=0),""))</f>
        <v/>
      </c>
      <c r="AX173" s="4">
        <f>IF(L173="","",--(L173=1))</f>
        <v/>
      </c>
      <c r="AY173" s="4">
        <f>IF(OR($B173="",M173=""),"",--(M173=$B173))</f>
        <v/>
      </c>
      <c r="AZ173" s="4">
        <f>IF(OR($B173="",M173=""),"",IF($B173=1,--(M173=1),""))</f>
        <v/>
      </c>
      <c r="BA173" s="4">
        <f>IF(OR($B173="",M173=""),"",IF($B173=0,--(M173=0),""))</f>
        <v/>
      </c>
      <c r="BB173" s="4">
        <f>IF(M173="","",--(M173=1))</f>
        <v/>
      </c>
      <c r="BC173" s="4">
        <f>IF(OR($B173="",N173=""),"",--(N173=$B173))</f>
        <v/>
      </c>
      <c r="BD173" s="4">
        <f>IF(OR($B173="",N173=""),"",IF($B173=1,--(N173=1),""))</f>
        <v/>
      </c>
      <c r="BE173" s="4">
        <f>IF(OR($B173="",N173=""),"",IF($B173=0,--(N173=0),""))</f>
        <v/>
      </c>
      <c r="BF173" s="4">
        <f>IF(N173="","",--(N173=1))</f>
        <v/>
      </c>
    </row>
    <row r="174">
      <c r="A174" s="3" t="inlineStr">
        <is>
          <t>20204836</t>
        </is>
      </c>
      <c r="B174" s="3" t="inlineStr">
        <is>
          <t>0</t>
        </is>
      </c>
      <c r="C174" s="3" t="inlineStr">
        <is>
          <t>Direct</t>
        </is>
      </c>
      <c r="D174" s="3" t="inlineStr">
        <is>
          <t>0</t>
        </is>
      </c>
      <c r="E174" s="3" t="inlineStr">
        <is>
          <t>0</t>
        </is>
      </c>
      <c r="F174" s="3" t="inlineStr">
        <is>
          <t>0</t>
        </is>
      </c>
      <c r="G174" s="3" t="inlineStr">
        <is>
          <t>0</t>
        </is>
      </c>
      <c r="H174" s="3" t="inlineStr">
        <is>
          <t>0</t>
        </is>
      </c>
      <c r="I174" s="3" t="inlineStr">
        <is>
          <t>0</t>
        </is>
      </c>
      <c r="J174" s="3" t="inlineStr">
        <is>
          <t>0</t>
        </is>
      </c>
      <c r="K174" s="3" t="inlineStr">
        <is>
          <t>0</t>
        </is>
      </c>
      <c r="L174" s="3" t="inlineStr">
        <is>
          <t>0</t>
        </is>
      </c>
      <c r="M174" s="3" t="inlineStr">
        <is>
          <t>1</t>
        </is>
      </c>
      <c r="N174" s="3" t="inlineStr">
        <is>
          <t>0</t>
        </is>
      </c>
      <c r="O174" s="4">
        <f>IF(OR($B174="",D174=""),"",--(D174=$B174))</f>
        <v/>
      </c>
      <c r="P174" s="4">
        <f>IF(OR($B174="",D174=""),"",IF($B174=1,--(D174=1),""))</f>
        <v/>
      </c>
      <c r="Q174" s="4">
        <f>IF(OR($B174="",D174=""),"",IF($B174=0,--(D174=0),""))</f>
        <v/>
      </c>
      <c r="R174" s="4">
        <f>IF(D174="","",--(D174=1))</f>
        <v/>
      </c>
      <c r="S174" s="4">
        <f>IF(OR($B174="",E174=""),"",--(E174=$B174))</f>
        <v/>
      </c>
      <c r="T174" s="4">
        <f>IF(OR($B174="",E174=""),"",IF($B174=1,--(E174=1),""))</f>
        <v/>
      </c>
      <c r="U174" s="4">
        <f>IF(OR($B174="",E174=""),"",IF($B174=0,--(E174=0),""))</f>
        <v/>
      </c>
      <c r="V174" s="4">
        <f>IF(E174="","",--(E174=1))</f>
        <v/>
      </c>
      <c r="W174" s="4">
        <f>IF(OR($B174="",F174=""),"",--(F174=$B174))</f>
        <v/>
      </c>
      <c r="X174" s="4">
        <f>IF(OR($B174="",F174=""),"",IF($B174=1,--(F174=1),""))</f>
        <v/>
      </c>
      <c r="Y174" s="4">
        <f>IF(OR($B174="",F174=""),"",IF($B174=0,--(F174=0),""))</f>
        <v/>
      </c>
      <c r="Z174" s="4">
        <f>IF(F174="","",--(F174=1))</f>
        <v/>
      </c>
      <c r="AA174" s="4">
        <f>IF(OR($B174="",G174=""),"",--(G174=$B174))</f>
        <v/>
      </c>
      <c r="AB174" s="4">
        <f>IF(OR($B174="",G174=""),"",IF($B174=1,--(G174=1),""))</f>
        <v/>
      </c>
      <c r="AC174" s="4">
        <f>IF(OR($B174="",G174=""),"",IF($B174=0,--(G174=0),""))</f>
        <v/>
      </c>
      <c r="AD174" s="4">
        <f>IF(G174="","",--(G174=1))</f>
        <v/>
      </c>
      <c r="AE174" s="4">
        <f>IF(OR($B174="",H174=""),"",--(H174=$B174))</f>
        <v/>
      </c>
      <c r="AF174" s="4">
        <f>IF(OR($B174="",H174=""),"",IF($B174=1,--(H174=1),""))</f>
        <v/>
      </c>
      <c r="AG174" s="4">
        <f>IF(OR($B174="",H174=""),"",IF($B174=0,--(H174=0),""))</f>
        <v/>
      </c>
      <c r="AH174" s="4">
        <f>IF(H174="","",--(H174=1))</f>
        <v/>
      </c>
      <c r="AI174" s="4">
        <f>IF(OR($B174="",I174=""),"",--(I174=$B174))</f>
        <v/>
      </c>
      <c r="AJ174" s="4">
        <f>IF(OR($B174="",I174=""),"",IF($B174=1,--(I174=1),""))</f>
        <v/>
      </c>
      <c r="AK174" s="4">
        <f>IF(OR($B174="",I174=""),"",IF($B174=0,--(I174=0),""))</f>
        <v/>
      </c>
      <c r="AL174" s="4">
        <f>IF(I174="","",--(I174=1))</f>
        <v/>
      </c>
      <c r="AM174" s="4">
        <f>IF(OR($B174="",J174=""),"",--(J174=$B174))</f>
        <v/>
      </c>
      <c r="AN174" s="4">
        <f>IF(OR($B174="",J174=""),"",IF($B174=1,--(J174=1),""))</f>
        <v/>
      </c>
      <c r="AO174" s="4">
        <f>IF(OR($B174="",J174=""),"",IF($B174=0,--(J174=0),""))</f>
        <v/>
      </c>
      <c r="AP174" s="4">
        <f>IF(J174="","",--(J174=1))</f>
        <v/>
      </c>
      <c r="AQ174" s="4">
        <f>IF(OR($B174="",K174=""),"",--(K174=$B174))</f>
        <v/>
      </c>
      <c r="AR174" s="4">
        <f>IF(OR($B174="",K174=""),"",IF($B174=1,--(K174=1),""))</f>
        <v/>
      </c>
      <c r="AS174" s="4">
        <f>IF(OR($B174="",K174=""),"",IF($B174=0,--(K174=0),""))</f>
        <v/>
      </c>
      <c r="AT174" s="4">
        <f>IF(K174="","",--(K174=1))</f>
        <v/>
      </c>
      <c r="AU174" s="4">
        <f>IF(OR($B174="",L174=""),"",--(L174=$B174))</f>
        <v/>
      </c>
      <c r="AV174" s="4">
        <f>IF(OR($B174="",L174=""),"",IF($B174=1,--(L174=1),""))</f>
        <v/>
      </c>
      <c r="AW174" s="4">
        <f>IF(OR($B174="",L174=""),"",IF($B174=0,--(L174=0),""))</f>
        <v/>
      </c>
      <c r="AX174" s="4">
        <f>IF(L174="","",--(L174=1))</f>
        <v/>
      </c>
      <c r="AY174" s="4">
        <f>IF(OR($B174="",M174=""),"",--(M174=$B174))</f>
        <v/>
      </c>
      <c r="AZ174" s="4">
        <f>IF(OR($B174="",M174=""),"",IF($B174=1,--(M174=1),""))</f>
        <v/>
      </c>
      <c r="BA174" s="4">
        <f>IF(OR($B174="",M174=""),"",IF($B174=0,--(M174=0),""))</f>
        <v/>
      </c>
      <c r="BB174" s="4">
        <f>IF(M174="","",--(M174=1))</f>
        <v/>
      </c>
      <c r="BC174" s="4">
        <f>IF(OR($B174="",N174=""),"",--(N174=$B174))</f>
        <v/>
      </c>
      <c r="BD174" s="4">
        <f>IF(OR($B174="",N174=""),"",IF($B174=1,--(N174=1),""))</f>
        <v/>
      </c>
      <c r="BE174" s="4">
        <f>IF(OR($B174="",N174=""),"",IF($B174=0,--(N174=0),""))</f>
        <v/>
      </c>
      <c r="BF174" s="4">
        <f>IF(N174="","",--(N174=1))</f>
        <v/>
      </c>
    </row>
    <row r="175">
      <c r="A175" s="3" t="inlineStr">
        <is>
          <t>20205147</t>
        </is>
      </c>
      <c r="B175" s="3" t="inlineStr">
        <is>
          <t>0</t>
        </is>
      </c>
      <c r="C175" s="3" t="inlineStr">
        <is>
          <t>Direct</t>
        </is>
      </c>
      <c r="D175" s="3" t="inlineStr">
        <is>
          <t>1</t>
        </is>
      </c>
      <c r="E175" s="3" t="inlineStr">
        <is>
          <t>1</t>
        </is>
      </c>
      <c r="F175" s="3" t="inlineStr">
        <is>
          <t>0</t>
        </is>
      </c>
      <c r="G175" s="3" t="inlineStr">
        <is>
          <t>1</t>
        </is>
      </c>
      <c r="H175" s="3" t="inlineStr">
        <is>
          <t>1</t>
        </is>
      </c>
      <c r="I175" s="3" t="inlineStr">
        <is>
          <t>1</t>
        </is>
      </c>
      <c r="J175" s="3" t="inlineStr">
        <is>
          <t>1</t>
        </is>
      </c>
      <c r="K175" s="3" t="inlineStr">
        <is>
          <t>1</t>
        </is>
      </c>
      <c r="L175" s="3" t="inlineStr">
        <is>
          <t>1</t>
        </is>
      </c>
      <c r="M175" s="3" t="inlineStr">
        <is>
          <t>1</t>
        </is>
      </c>
      <c r="N175" s="3" t="inlineStr">
        <is>
          <t>1</t>
        </is>
      </c>
      <c r="O175" s="4">
        <f>IF(OR($B175="",D175=""),"",--(D175=$B175))</f>
        <v/>
      </c>
      <c r="P175" s="4">
        <f>IF(OR($B175="",D175=""),"",IF($B175=1,--(D175=1),""))</f>
        <v/>
      </c>
      <c r="Q175" s="4">
        <f>IF(OR($B175="",D175=""),"",IF($B175=0,--(D175=0),""))</f>
        <v/>
      </c>
      <c r="R175" s="4">
        <f>IF(D175="","",--(D175=1))</f>
        <v/>
      </c>
      <c r="S175" s="4">
        <f>IF(OR($B175="",E175=""),"",--(E175=$B175))</f>
        <v/>
      </c>
      <c r="T175" s="4">
        <f>IF(OR($B175="",E175=""),"",IF($B175=1,--(E175=1),""))</f>
        <v/>
      </c>
      <c r="U175" s="4">
        <f>IF(OR($B175="",E175=""),"",IF($B175=0,--(E175=0),""))</f>
        <v/>
      </c>
      <c r="V175" s="4">
        <f>IF(E175="","",--(E175=1))</f>
        <v/>
      </c>
      <c r="W175" s="4">
        <f>IF(OR($B175="",F175=""),"",--(F175=$B175))</f>
        <v/>
      </c>
      <c r="X175" s="4">
        <f>IF(OR($B175="",F175=""),"",IF($B175=1,--(F175=1),""))</f>
        <v/>
      </c>
      <c r="Y175" s="4">
        <f>IF(OR($B175="",F175=""),"",IF($B175=0,--(F175=0),""))</f>
        <v/>
      </c>
      <c r="Z175" s="4">
        <f>IF(F175="","",--(F175=1))</f>
        <v/>
      </c>
      <c r="AA175" s="4">
        <f>IF(OR($B175="",G175=""),"",--(G175=$B175))</f>
        <v/>
      </c>
      <c r="AB175" s="4">
        <f>IF(OR($B175="",G175=""),"",IF($B175=1,--(G175=1),""))</f>
        <v/>
      </c>
      <c r="AC175" s="4">
        <f>IF(OR($B175="",G175=""),"",IF($B175=0,--(G175=0),""))</f>
        <v/>
      </c>
      <c r="AD175" s="4">
        <f>IF(G175="","",--(G175=1))</f>
        <v/>
      </c>
      <c r="AE175" s="4">
        <f>IF(OR($B175="",H175=""),"",--(H175=$B175))</f>
        <v/>
      </c>
      <c r="AF175" s="4">
        <f>IF(OR($B175="",H175=""),"",IF($B175=1,--(H175=1),""))</f>
        <v/>
      </c>
      <c r="AG175" s="4">
        <f>IF(OR($B175="",H175=""),"",IF($B175=0,--(H175=0),""))</f>
        <v/>
      </c>
      <c r="AH175" s="4">
        <f>IF(H175="","",--(H175=1))</f>
        <v/>
      </c>
      <c r="AI175" s="4">
        <f>IF(OR($B175="",I175=""),"",--(I175=$B175))</f>
        <v/>
      </c>
      <c r="AJ175" s="4">
        <f>IF(OR($B175="",I175=""),"",IF($B175=1,--(I175=1),""))</f>
        <v/>
      </c>
      <c r="AK175" s="4">
        <f>IF(OR($B175="",I175=""),"",IF($B175=0,--(I175=0),""))</f>
        <v/>
      </c>
      <c r="AL175" s="4">
        <f>IF(I175="","",--(I175=1))</f>
        <v/>
      </c>
      <c r="AM175" s="4">
        <f>IF(OR($B175="",J175=""),"",--(J175=$B175))</f>
        <v/>
      </c>
      <c r="AN175" s="4">
        <f>IF(OR($B175="",J175=""),"",IF($B175=1,--(J175=1),""))</f>
        <v/>
      </c>
      <c r="AO175" s="4">
        <f>IF(OR($B175="",J175=""),"",IF($B175=0,--(J175=0),""))</f>
        <v/>
      </c>
      <c r="AP175" s="4">
        <f>IF(J175="","",--(J175=1))</f>
        <v/>
      </c>
      <c r="AQ175" s="4">
        <f>IF(OR($B175="",K175=""),"",--(K175=$B175))</f>
        <v/>
      </c>
      <c r="AR175" s="4">
        <f>IF(OR($B175="",K175=""),"",IF($B175=1,--(K175=1),""))</f>
        <v/>
      </c>
      <c r="AS175" s="4">
        <f>IF(OR($B175="",K175=""),"",IF($B175=0,--(K175=0),""))</f>
        <v/>
      </c>
      <c r="AT175" s="4">
        <f>IF(K175="","",--(K175=1))</f>
        <v/>
      </c>
      <c r="AU175" s="4">
        <f>IF(OR($B175="",L175=""),"",--(L175=$B175))</f>
        <v/>
      </c>
      <c r="AV175" s="4">
        <f>IF(OR($B175="",L175=""),"",IF($B175=1,--(L175=1),""))</f>
        <v/>
      </c>
      <c r="AW175" s="4">
        <f>IF(OR($B175="",L175=""),"",IF($B175=0,--(L175=0),""))</f>
        <v/>
      </c>
      <c r="AX175" s="4">
        <f>IF(L175="","",--(L175=1))</f>
        <v/>
      </c>
      <c r="AY175" s="4">
        <f>IF(OR($B175="",M175=""),"",--(M175=$B175))</f>
        <v/>
      </c>
      <c r="AZ175" s="4">
        <f>IF(OR($B175="",M175=""),"",IF($B175=1,--(M175=1),""))</f>
        <v/>
      </c>
      <c r="BA175" s="4">
        <f>IF(OR($B175="",M175=""),"",IF($B175=0,--(M175=0),""))</f>
        <v/>
      </c>
      <c r="BB175" s="4">
        <f>IF(M175="","",--(M175=1))</f>
        <v/>
      </c>
      <c r="BC175" s="4">
        <f>IF(OR($B175="",N175=""),"",--(N175=$B175))</f>
        <v/>
      </c>
      <c r="BD175" s="4">
        <f>IF(OR($B175="",N175=""),"",IF($B175=1,--(N175=1),""))</f>
        <v/>
      </c>
      <c r="BE175" s="4">
        <f>IF(OR($B175="",N175=""),"",IF($B175=0,--(N175=0),""))</f>
        <v/>
      </c>
      <c r="BF175" s="4">
        <f>IF(N175="","",--(N175=1))</f>
        <v/>
      </c>
    </row>
    <row r="176">
      <c r="A176" s="3" t="inlineStr">
        <is>
          <t>20205509</t>
        </is>
      </c>
      <c r="B176" s="3" t="inlineStr">
        <is>
          <t>1</t>
        </is>
      </c>
      <c r="C176" s="3" t="inlineStr">
        <is>
          <t>Direct</t>
        </is>
      </c>
      <c r="D176" s="3" t="inlineStr">
        <is>
          <t>1</t>
        </is>
      </c>
      <c r="E176" s="3" t="inlineStr">
        <is>
          <t>1</t>
        </is>
      </c>
      <c r="F176" s="3" t="inlineStr">
        <is>
          <t>0</t>
        </is>
      </c>
      <c r="G176" s="3" t="inlineStr">
        <is>
          <t>0</t>
        </is>
      </c>
      <c r="H176" s="3" t="inlineStr">
        <is>
          <t>0</t>
        </is>
      </c>
      <c r="I176" s="3" t="inlineStr">
        <is>
          <t>1</t>
        </is>
      </c>
      <c r="J176" s="3" t="inlineStr">
        <is>
          <t>1</t>
        </is>
      </c>
      <c r="K176" s="3" t="inlineStr">
        <is>
          <t>0</t>
        </is>
      </c>
      <c r="L176" s="3" t="inlineStr">
        <is>
          <t>1</t>
        </is>
      </c>
      <c r="M176" s="3" t="inlineStr">
        <is>
          <t>1</t>
        </is>
      </c>
      <c r="N176" s="3" t="inlineStr">
        <is>
          <t>1</t>
        </is>
      </c>
      <c r="O176" s="4">
        <f>IF(OR($B176="",D176=""),"",--(D176=$B176))</f>
        <v/>
      </c>
      <c r="P176" s="4">
        <f>IF(OR($B176="",D176=""),"",IF($B176=1,--(D176=1),""))</f>
        <v/>
      </c>
      <c r="Q176" s="4">
        <f>IF(OR($B176="",D176=""),"",IF($B176=0,--(D176=0),""))</f>
        <v/>
      </c>
      <c r="R176" s="4">
        <f>IF(D176="","",--(D176=1))</f>
        <v/>
      </c>
      <c r="S176" s="4">
        <f>IF(OR($B176="",E176=""),"",--(E176=$B176))</f>
        <v/>
      </c>
      <c r="T176" s="4">
        <f>IF(OR($B176="",E176=""),"",IF($B176=1,--(E176=1),""))</f>
        <v/>
      </c>
      <c r="U176" s="4">
        <f>IF(OR($B176="",E176=""),"",IF($B176=0,--(E176=0),""))</f>
        <v/>
      </c>
      <c r="V176" s="4">
        <f>IF(E176="","",--(E176=1))</f>
        <v/>
      </c>
      <c r="W176" s="4">
        <f>IF(OR($B176="",F176=""),"",--(F176=$B176))</f>
        <v/>
      </c>
      <c r="X176" s="4">
        <f>IF(OR($B176="",F176=""),"",IF($B176=1,--(F176=1),""))</f>
        <v/>
      </c>
      <c r="Y176" s="4">
        <f>IF(OR($B176="",F176=""),"",IF($B176=0,--(F176=0),""))</f>
        <v/>
      </c>
      <c r="Z176" s="4">
        <f>IF(F176="","",--(F176=1))</f>
        <v/>
      </c>
      <c r="AA176" s="4">
        <f>IF(OR($B176="",G176=""),"",--(G176=$B176))</f>
        <v/>
      </c>
      <c r="AB176" s="4">
        <f>IF(OR($B176="",G176=""),"",IF($B176=1,--(G176=1),""))</f>
        <v/>
      </c>
      <c r="AC176" s="4">
        <f>IF(OR($B176="",G176=""),"",IF($B176=0,--(G176=0),""))</f>
        <v/>
      </c>
      <c r="AD176" s="4">
        <f>IF(G176="","",--(G176=1))</f>
        <v/>
      </c>
      <c r="AE176" s="4">
        <f>IF(OR($B176="",H176=""),"",--(H176=$B176))</f>
        <v/>
      </c>
      <c r="AF176" s="4">
        <f>IF(OR($B176="",H176=""),"",IF($B176=1,--(H176=1),""))</f>
        <v/>
      </c>
      <c r="AG176" s="4">
        <f>IF(OR($B176="",H176=""),"",IF($B176=0,--(H176=0),""))</f>
        <v/>
      </c>
      <c r="AH176" s="4">
        <f>IF(H176="","",--(H176=1))</f>
        <v/>
      </c>
      <c r="AI176" s="4">
        <f>IF(OR($B176="",I176=""),"",--(I176=$B176))</f>
        <v/>
      </c>
      <c r="AJ176" s="4">
        <f>IF(OR($B176="",I176=""),"",IF($B176=1,--(I176=1),""))</f>
        <v/>
      </c>
      <c r="AK176" s="4">
        <f>IF(OR($B176="",I176=""),"",IF($B176=0,--(I176=0),""))</f>
        <v/>
      </c>
      <c r="AL176" s="4">
        <f>IF(I176="","",--(I176=1))</f>
        <v/>
      </c>
      <c r="AM176" s="4">
        <f>IF(OR($B176="",J176=""),"",--(J176=$B176))</f>
        <v/>
      </c>
      <c r="AN176" s="4">
        <f>IF(OR($B176="",J176=""),"",IF($B176=1,--(J176=1),""))</f>
        <v/>
      </c>
      <c r="AO176" s="4">
        <f>IF(OR($B176="",J176=""),"",IF($B176=0,--(J176=0),""))</f>
        <v/>
      </c>
      <c r="AP176" s="4">
        <f>IF(J176="","",--(J176=1))</f>
        <v/>
      </c>
      <c r="AQ176" s="4">
        <f>IF(OR($B176="",K176=""),"",--(K176=$B176))</f>
        <v/>
      </c>
      <c r="AR176" s="4">
        <f>IF(OR($B176="",K176=""),"",IF($B176=1,--(K176=1),""))</f>
        <v/>
      </c>
      <c r="AS176" s="4">
        <f>IF(OR($B176="",K176=""),"",IF($B176=0,--(K176=0),""))</f>
        <v/>
      </c>
      <c r="AT176" s="4">
        <f>IF(K176="","",--(K176=1))</f>
        <v/>
      </c>
      <c r="AU176" s="4">
        <f>IF(OR($B176="",L176=""),"",--(L176=$B176))</f>
        <v/>
      </c>
      <c r="AV176" s="4">
        <f>IF(OR($B176="",L176=""),"",IF($B176=1,--(L176=1),""))</f>
        <v/>
      </c>
      <c r="AW176" s="4">
        <f>IF(OR($B176="",L176=""),"",IF($B176=0,--(L176=0),""))</f>
        <v/>
      </c>
      <c r="AX176" s="4">
        <f>IF(L176="","",--(L176=1))</f>
        <v/>
      </c>
      <c r="AY176" s="4">
        <f>IF(OR($B176="",M176=""),"",--(M176=$B176))</f>
        <v/>
      </c>
      <c r="AZ176" s="4">
        <f>IF(OR($B176="",M176=""),"",IF($B176=1,--(M176=1),""))</f>
        <v/>
      </c>
      <c r="BA176" s="4">
        <f>IF(OR($B176="",M176=""),"",IF($B176=0,--(M176=0),""))</f>
        <v/>
      </c>
      <c r="BB176" s="4">
        <f>IF(M176="","",--(M176=1))</f>
        <v/>
      </c>
      <c r="BC176" s="4">
        <f>IF(OR($B176="",N176=""),"",--(N176=$B176))</f>
        <v/>
      </c>
      <c r="BD176" s="4">
        <f>IF(OR($B176="",N176=""),"",IF($B176=1,--(N176=1),""))</f>
        <v/>
      </c>
      <c r="BE176" s="4">
        <f>IF(OR($B176="",N176=""),"",IF($B176=0,--(N176=0),""))</f>
        <v/>
      </c>
      <c r="BF176" s="4">
        <f>IF(N176="","",--(N176=1))</f>
        <v/>
      </c>
    </row>
    <row r="177">
      <c r="A177" s="3" t="inlineStr">
        <is>
          <t>20205617</t>
        </is>
      </c>
      <c r="B177" s="3" t="inlineStr">
        <is>
          <t>0</t>
        </is>
      </c>
      <c r="C177" s="3" t="inlineStr">
        <is>
          <t>Direct</t>
        </is>
      </c>
      <c r="D177" s="3" t="inlineStr">
        <is>
          <t>1</t>
        </is>
      </c>
      <c r="E177" s="3" t="inlineStr">
        <is>
          <t>1</t>
        </is>
      </c>
      <c r="F177" s="3" t="inlineStr">
        <is>
          <t>0</t>
        </is>
      </c>
      <c r="G177" s="3" t="inlineStr">
        <is>
          <t>0</t>
        </is>
      </c>
      <c r="H177" s="3" t="inlineStr">
        <is>
          <t>1</t>
        </is>
      </c>
      <c r="I177" s="3" t="inlineStr">
        <is>
          <t>1</t>
        </is>
      </c>
      <c r="J177" s="3" t="inlineStr">
        <is>
          <t>1</t>
        </is>
      </c>
      <c r="K177" s="3" t="inlineStr">
        <is>
          <t>1</t>
        </is>
      </c>
      <c r="L177" s="3" t="inlineStr">
        <is>
          <t>1</t>
        </is>
      </c>
      <c r="M177" s="3" t="inlineStr">
        <is>
          <t>1</t>
        </is>
      </c>
      <c r="N177" s="3" t="inlineStr">
        <is>
          <t>1</t>
        </is>
      </c>
      <c r="O177" s="4">
        <f>IF(OR($B177="",D177=""),"",--(D177=$B177))</f>
        <v/>
      </c>
      <c r="P177" s="4">
        <f>IF(OR($B177="",D177=""),"",IF($B177=1,--(D177=1),""))</f>
        <v/>
      </c>
      <c r="Q177" s="4">
        <f>IF(OR($B177="",D177=""),"",IF($B177=0,--(D177=0),""))</f>
        <v/>
      </c>
      <c r="R177" s="4">
        <f>IF(D177="","",--(D177=1))</f>
        <v/>
      </c>
      <c r="S177" s="4">
        <f>IF(OR($B177="",E177=""),"",--(E177=$B177))</f>
        <v/>
      </c>
      <c r="T177" s="4">
        <f>IF(OR($B177="",E177=""),"",IF($B177=1,--(E177=1),""))</f>
        <v/>
      </c>
      <c r="U177" s="4">
        <f>IF(OR($B177="",E177=""),"",IF($B177=0,--(E177=0),""))</f>
        <v/>
      </c>
      <c r="V177" s="4">
        <f>IF(E177="","",--(E177=1))</f>
        <v/>
      </c>
      <c r="W177" s="4">
        <f>IF(OR($B177="",F177=""),"",--(F177=$B177))</f>
        <v/>
      </c>
      <c r="X177" s="4">
        <f>IF(OR($B177="",F177=""),"",IF($B177=1,--(F177=1),""))</f>
        <v/>
      </c>
      <c r="Y177" s="4">
        <f>IF(OR($B177="",F177=""),"",IF($B177=0,--(F177=0),""))</f>
        <v/>
      </c>
      <c r="Z177" s="4">
        <f>IF(F177="","",--(F177=1))</f>
        <v/>
      </c>
      <c r="AA177" s="4">
        <f>IF(OR($B177="",G177=""),"",--(G177=$B177))</f>
        <v/>
      </c>
      <c r="AB177" s="4">
        <f>IF(OR($B177="",G177=""),"",IF($B177=1,--(G177=1),""))</f>
        <v/>
      </c>
      <c r="AC177" s="4">
        <f>IF(OR($B177="",G177=""),"",IF($B177=0,--(G177=0),""))</f>
        <v/>
      </c>
      <c r="AD177" s="4">
        <f>IF(G177="","",--(G177=1))</f>
        <v/>
      </c>
      <c r="AE177" s="4">
        <f>IF(OR($B177="",H177=""),"",--(H177=$B177))</f>
        <v/>
      </c>
      <c r="AF177" s="4">
        <f>IF(OR($B177="",H177=""),"",IF($B177=1,--(H177=1),""))</f>
        <v/>
      </c>
      <c r="AG177" s="4">
        <f>IF(OR($B177="",H177=""),"",IF($B177=0,--(H177=0),""))</f>
        <v/>
      </c>
      <c r="AH177" s="4">
        <f>IF(H177="","",--(H177=1))</f>
        <v/>
      </c>
      <c r="AI177" s="4">
        <f>IF(OR($B177="",I177=""),"",--(I177=$B177))</f>
        <v/>
      </c>
      <c r="AJ177" s="4">
        <f>IF(OR($B177="",I177=""),"",IF($B177=1,--(I177=1),""))</f>
        <v/>
      </c>
      <c r="AK177" s="4">
        <f>IF(OR($B177="",I177=""),"",IF($B177=0,--(I177=0),""))</f>
        <v/>
      </c>
      <c r="AL177" s="4">
        <f>IF(I177="","",--(I177=1))</f>
        <v/>
      </c>
      <c r="AM177" s="4">
        <f>IF(OR($B177="",J177=""),"",--(J177=$B177))</f>
        <v/>
      </c>
      <c r="AN177" s="4">
        <f>IF(OR($B177="",J177=""),"",IF($B177=1,--(J177=1),""))</f>
        <v/>
      </c>
      <c r="AO177" s="4">
        <f>IF(OR($B177="",J177=""),"",IF($B177=0,--(J177=0),""))</f>
        <v/>
      </c>
      <c r="AP177" s="4">
        <f>IF(J177="","",--(J177=1))</f>
        <v/>
      </c>
      <c r="AQ177" s="4">
        <f>IF(OR($B177="",K177=""),"",--(K177=$B177))</f>
        <v/>
      </c>
      <c r="AR177" s="4">
        <f>IF(OR($B177="",K177=""),"",IF($B177=1,--(K177=1),""))</f>
        <v/>
      </c>
      <c r="AS177" s="4">
        <f>IF(OR($B177="",K177=""),"",IF($B177=0,--(K177=0),""))</f>
        <v/>
      </c>
      <c r="AT177" s="4">
        <f>IF(K177="","",--(K177=1))</f>
        <v/>
      </c>
      <c r="AU177" s="4">
        <f>IF(OR($B177="",L177=""),"",--(L177=$B177))</f>
        <v/>
      </c>
      <c r="AV177" s="4">
        <f>IF(OR($B177="",L177=""),"",IF($B177=1,--(L177=1),""))</f>
        <v/>
      </c>
      <c r="AW177" s="4">
        <f>IF(OR($B177="",L177=""),"",IF($B177=0,--(L177=0),""))</f>
        <v/>
      </c>
      <c r="AX177" s="4">
        <f>IF(L177="","",--(L177=1))</f>
        <v/>
      </c>
      <c r="AY177" s="4">
        <f>IF(OR($B177="",M177=""),"",--(M177=$B177))</f>
        <v/>
      </c>
      <c r="AZ177" s="4">
        <f>IF(OR($B177="",M177=""),"",IF($B177=1,--(M177=1),""))</f>
        <v/>
      </c>
      <c r="BA177" s="4">
        <f>IF(OR($B177="",M177=""),"",IF($B177=0,--(M177=0),""))</f>
        <v/>
      </c>
      <c r="BB177" s="4">
        <f>IF(M177="","",--(M177=1))</f>
        <v/>
      </c>
      <c r="BC177" s="4">
        <f>IF(OR($B177="",N177=""),"",--(N177=$B177))</f>
        <v/>
      </c>
      <c r="BD177" s="4">
        <f>IF(OR($B177="",N177=""),"",IF($B177=1,--(N177=1),""))</f>
        <v/>
      </c>
      <c r="BE177" s="4">
        <f>IF(OR($B177="",N177=""),"",IF($B177=0,--(N177=0),""))</f>
        <v/>
      </c>
      <c r="BF177" s="4">
        <f>IF(N177="","",--(N177=1))</f>
        <v/>
      </c>
    </row>
    <row r="178">
      <c r="A178" s="3" t="inlineStr">
        <is>
          <t>2020577</t>
        </is>
      </c>
      <c r="B178" s="3" t="inlineStr">
        <is>
          <t>0</t>
        </is>
      </c>
      <c r="C178" s="3" t="inlineStr">
        <is>
          <t>Direct</t>
        </is>
      </c>
      <c r="D178" s="3" t="inlineStr">
        <is>
          <t>0</t>
        </is>
      </c>
      <c r="E178" s="3" t="inlineStr">
        <is>
          <t>0</t>
        </is>
      </c>
      <c r="F178" s="3" t="inlineStr">
        <is>
          <t>0</t>
        </is>
      </c>
      <c r="G178" s="3" t="inlineStr">
        <is>
          <t>0</t>
        </is>
      </c>
      <c r="H178" s="3" t="inlineStr">
        <is>
          <t>0</t>
        </is>
      </c>
      <c r="I178" s="3" t="inlineStr">
        <is>
          <t>0</t>
        </is>
      </c>
      <c r="J178" s="3" t="inlineStr">
        <is>
          <t>0</t>
        </is>
      </c>
      <c r="K178" s="3" t="inlineStr">
        <is>
          <t>0</t>
        </is>
      </c>
      <c r="L178" s="3" t="inlineStr">
        <is>
          <t>0</t>
        </is>
      </c>
      <c r="M178" s="3" t="inlineStr">
        <is>
          <t>1</t>
        </is>
      </c>
      <c r="N178" s="3" t="inlineStr">
        <is>
          <t>1</t>
        </is>
      </c>
      <c r="O178" s="4">
        <f>IF(OR($B178="",D178=""),"",--(D178=$B178))</f>
        <v/>
      </c>
      <c r="P178" s="4">
        <f>IF(OR($B178="",D178=""),"",IF($B178=1,--(D178=1),""))</f>
        <v/>
      </c>
      <c r="Q178" s="4">
        <f>IF(OR($B178="",D178=""),"",IF($B178=0,--(D178=0),""))</f>
        <v/>
      </c>
      <c r="R178" s="4">
        <f>IF(D178="","",--(D178=1))</f>
        <v/>
      </c>
      <c r="S178" s="4">
        <f>IF(OR($B178="",E178=""),"",--(E178=$B178))</f>
        <v/>
      </c>
      <c r="T178" s="4">
        <f>IF(OR($B178="",E178=""),"",IF($B178=1,--(E178=1),""))</f>
        <v/>
      </c>
      <c r="U178" s="4">
        <f>IF(OR($B178="",E178=""),"",IF($B178=0,--(E178=0),""))</f>
        <v/>
      </c>
      <c r="V178" s="4">
        <f>IF(E178="","",--(E178=1))</f>
        <v/>
      </c>
      <c r="W178" s="4">
        <f>IF(OR($B178="",F178=""),"",--(F178=$B178))</f>
        <v/>
      </c>
      <c r="X178" s="4">
        <f>IF(OR($B178="",F178=""),"",IF($B178=1,--(F178=1),""))</f>
        <v/>
      </c>
      <c r="Y178" s="4">
        <f>IF(OR($B178="",F178=""),"",IF($B178=0,--(F178=0),""))</f>
        <v/>
      </c>
      <c r="Z178" s="4">
        <f>IF(F178="","",--(F178=1))</f>
        <v/>
      </c>
      <c r="AA178" s="4">
        <f>IF(OR($B178="",G178=""),"",--(G178=$B178))</f>
        <v/>
      </c>
      <c r="AB178" s="4">
        <f>IF(OR($B178="",G178=""),"",IF($B178=1,--(G178=1),""))</f>
        <v/>
      </c>
      <c r="AC178" s="4">
        <f>IF(OR($B178="",G178=""),"",IF($B178=0,--(G178=0),""))</f>
        <v/>
      </c>
      <c r="AD178" s="4">
        <f>IF(G178="","",--(G178=1))</f>
        <v/>
      </c>
      <c r="AE178" s="4">
        <f>IF(OR($B178="",H178=""),"",--(H178=$B178))</f>
        <v/>
      </c>
      <c r="AF178" s="4">
        <f>IF(OR($B178="",H178=""),"",IF($B178=1,--(H178=1),""))</f>
        <v/>
      </c>
      <c r="AG178" s="4">
        <f>IF(OR($B178="",H178=""),"",IF($B178=0,--(H178=0),""))</f>
        <v/>
      </c>
      <c r="AH178" s="4">
        <f>IF(H178="","",--(H178=1))</f>
        <v/>
      </c>
      <c r="AI178" s="4">
        <f>IF(OR($B178="",I178=""),"",--(I178=$B178))</f>
        <v/>
      </c>
      <c r="AJ178" s="4">
        <f>IF(OR($B178="",I178=""),"",IF($B178=1,--(I178=1),""))</f>
        <v/>
      </c>
      <c r="AK178" s="4">
        <f>IF(OR($B178="",I178=""),"",IF($B178=0,--(I178=0),""))</f>
        <v/>
      </c>
      <c r="AL178" s="4">
        <f>IF(I178="","",--(I178=1))</f>
        <v/>
      </c>
      <c r="AM178" s="4">
        <f>IF(OR($B178="",J178=""),"",--(J178=$B178))</f>
        <v/>
      </c>
      <c r="AN178" s="4">
        <f>IF(OR($B178="",J178=""),"",IF($B178=1,--(J178=1),""))</f>
        <v/>
      </c>
      <c r="AO178" s="4">
        <f>IF(OR($B178="",J178=""),"",IF($B178=0,--(J178=0),""))</f>
        <v/>
      </c>
      <c r="AP178" s="4">
        <f>IF(J178="","",--(J178=1))</f>
        <v/>
      </c>
      <c r="AQ178" s="4">
        <f>IF(OR($B178="",K178=""),"",--(K178=$B178))</f>
        <v/>
      </c>
      <c r="AR178" s="4">
        <f>IF(OR($B178="",K178=""),"",IF($B178=1,--(K178=1),""))</f>
        <v/>
      </c>
      <c r="AS178" s="4">
        <f>IF(OR($B178="",K178=""),"",IF($B178=0,--(K178=0),""))</f>
        <v/>
      </c>
      <c r="AT178" s="4">
        <f>IF(K178="","",--(K178=1))</f>
        <v/>
      </c>
      <c r="AU178" s="4">
        <f>IF(OR($B178="",L178=""),"",--(L178=$B178))</f>
        <v/>
      </c>
      <c r="AV178" s="4">
        <f>IF(OR($B178="",L178=""),"",IF($B178=1,--(L178=1),""))</f>
        <v/>
      </c>
      <c r="AW178" s="4">
        <f>IF(OR($B178="",L178=""),"",IF($B178=0,--(L178=0),""))</f>
        <v/>
      </c>
      <c r="AX178" s="4">
        <f>IF(L178="","",--(L178=1))</f>
        <v/>
      </c>
      <c r="AY178" s="4">
        <f>IF(OR($B178="",M178=""),"",--(M178=$B178))</f>
        <v/>
      </c>
      <c r="AZ178" s="4">
        <f>IF(OR($B178="",M178=""),"",IF($B178=1,--(M178=1),""))</f>
        <v/>
      </c>
      <c r="BA178" s="4">
        <f>IF(OR($B178="",M178=""),"",IF($B178=0,--(M178=0),""))</f>
        <v/>
      </c>
      <c r="BB178" s="4">
        <f>IF(M178="","",--(M178=1))</f>
        <v/>
      </c>
      <c r="BC178" s="4">
        <f>IF(OR($B178="",N178=""),"",--(N178=$B178))</f>
        <v/>
      </c>
      <c r="BD178" s="4">
        <f>IF(OR($B178="",N178=""),"",IF($B178=1,--(N178=1),""))</f>
        <v/>
      </c>
      <c r="BE178" s="4">
        <f>IF(OR($B178="",N178=""),"",IF($B178=0,--(N178=0),""))</f>
        <v/>
      </c>
      <c r="BF178" s="4">
        <f>IF(N178="","",--(N178=1))</f>
        <v/>
      </c>
    </row>
    <row r="179">
      <c r="A179" s="3" t="inlineStr">
        <is>
          <t>20206524</t>
        </is>
      </c>
      <c r="B179" s="3" t="inlineStr">
        <is>
          <t>0</t>
        </is>
      </c>
      <c r="C179" s="3" t="inlineStr">
        <is>
          <t>RQ</t>
        </is>
      </c>
      <c r="D179" s="3" t="inlineStr">
        <is>
          <t>0</t>
        </is>
      </c>
      <c r="E179" s="3" t="inlineStr">
        <is>
          <t>0</t>
        </is>
      </c>
      <c r="F179" s="3" t="inlineStr">
        <is>
          <t>0</t>
        </is>
      </c>
      <c r="G179" s="3" t="inlineStr">
        <is>
          <t>0</t>
        </is>
      </c>
      <c r="H179" s="3" t="inlineStr">
        <is>
          <t>0</t>
        </is>
      </c>
      <c r="I179" s="3" t="inlineStr">
        <is>
          <t>1</t>
        </is>
      </c>
      <c r="J179" s="3" t="inlineStr">
        <is>
          <t>1</t>
        </is>
      </c>
      <c r="K179" s="3" t="inlineStr">
        <is>
          <t>1</t>
        </is>
      </c>
      <c r="L179" s="3" t="inlineStr">
        <is>
          <t>1</t>
        </is>
      </c>
      <c r="M179" s="3" t="inlineStr">
        <is>
          <t>1</t>
        </is>
      </c>
      <c r="N179" s="3" t="inlineStr">
        <is>
          <t>1</t>
        </is>
      </c>
      <c r="O179" s="4">
        <f>IF(OR($B179="",D179=""),"",--(D179=$B179))</f>
        <v/>
      </c>
      <c r="P179" s="4">
        <f>IF(OR($B179="",D179=""),"",IF($B179=1,--(D179=1),""))</f>
        <v/>
      </c>
      <c r="Q179" s="4">
        <f>IF(OR($B179="",D179=""),"",IF($B179=0,--(D179=0),""))</f>
        <v/>
      </c>
      <c r="R179" s="4">
        <f>IF(D179="","",--(D179=1))</f>
        <v/>
      </c>
      <c r="S179" s="4">
        <f>IF(OR($B179="",E179=""),"",--(E179=$B179))</f>
        <v/>
      </c>
      <c r="T179" s="4">
        <f>IF(OR($B179="",E179=""),"",IF($B179=1,--(E179=1),""))</f>
        <v/>
      </c>
      <c r="U179" s="4">
        <f>IF(OR($B179="",E179=""),"",IF($B179=0,--(E179=0),""))</f>
        <v/>
      </c>
      <c r="V179" s="4">
        <f>IF(E179="","",--(E179=1))</f>
        <v/>
      </c>
      <c r="W179" s="4">
        <f>IF(OR($B179="",F179=""),"",--(F179=$B179))</f>
        <v/>
      </c>
      <c r="X179" s="4">
        <f>IF(OR($B179="",F179=""),"",IF($B179=1,--(F179=1),""))</f>
        <v/>
      </c>
      <c r="Y179" s="4">
        <f>IF(OR($B179="",F179=""),"",IF($B179=0,--(F179=0),""))</f>
        <v/>
      </c>
      <c r="Z179" s="4">
        <f>IF(F179="","",--(F179=1))</f>
        <v/>
      </c>
      <c r="AA179" s="4">
        <f>IF(OR($B179="",G179=""),"",--(G179=$B179))</f>
        <v/>
      </c>
      <c r="AB179" s="4">
        <f>IF(OR($B179="",G179=""),"",IF($B179=1,--(G179=1),""))</f>
        <v/>
      </c>
      <c r="AC179" s="4">
        <f>IF(OR($B179="",G179=""),"",IF($B179=0,--(G179=0),""))</f>
        <v/>
      </c>
      <c r="AD179" s="4">
        <f>IF(G179="","",--(G179=1))</f>
        <v/>
      </c>
      <c r="AE179" s="4">
        <f>IF(OR($B179="",H179=""),"",--(H179=$B179))</f>
        <v/>
      </c>
      <c r="AF179" s="4">
        <f>IF(OR($B179="",H179=""),"",IF($B179=1,--(H179=1),""))</f>
        <v/>
      </c>
      <c r="AG179" s="4">
        <f>IF(OR($B179="",H179=""),"",IF($B179=0,--(H179=0),""))</f>
        <v/>
      </c>
      <c r="AH179" s="4">
        <f>IF(H179="","",--(H179=1))</f>
        <v/>
      </c>
      <c r="AI179" s="4">
        <f>IF(OR($B179="",I179=""),"",--(I179=$B179))</f>
        <v/>
      </c>
      <c r="AJ179" s="4">
        <f>IF(OR($B179="",I179=""),"",IF($B179=1,--(I179=1),""))</f>
        <v/>
      </c>
      <c r="AK179" s="4">
        <f>IF(OR($B179="",I179=""),"",IF($B179=0,--(I179=0),""))</f>
        <v/>
      </c>
      <c r="AL179" s="4">
        <f>IF(I179="","",--(I179=1))</f>
        <v/>
      </c>
      <c r="AM179" s="4">
        <f>IF(OR($B179="",J179=""),"",--(J179=$B179))</f>
        <v/>
      </c>
      <c r="AN179" s="4">
        <f>IF(OR($B179="",J179=""),"",IF($B179=1,--(J179=1),""))</f>
        <v/>
      </c>
      <c r="AO179" s="4">
        <f>IF(OR($B179="",J179=""),"",IF($B179=0,--(J179=0),""))</f>
        <v/>
      </c>
      <c r="AP179" s="4">
        <f>IF(J179="","",--(J179=1))</f>
        <v/>
      </c>
      <c r="AQ179" s="4">
        <f>IF(OR($B179="",K179=""),"",--(K179=$B179))</f>
        <v/>
      </c>
      <c r="AR179" s="4">
        <f>IF(OR($B179="",K179=""),"",IF($B179=1,--(K179=1),""))</f>
        <v/>
      </c>
      <c r="AS179" s="4">
        <f>IF(OR($B179="",K179=""),"",IF($B179=0,--(K179=0),""))</f>
        <v/>
      </c>
      <c r="AT179" s="4">
        <f>IF(K179="","",--(K179=1))</f>
        <v/>
      </c>
      <c r="AU179" s="4">
        <f>IF(OR($B179="",L179=""),"",--(L179=$B179))</f>
        <v/>
      </c>
      <c r="AV179" s="4">
        <f>IF(OR($B179="",L179=""),"",IF($B179=1,--(L179=1),""))</f>
        <v/>
      </c>
      <c r="AW179" s="4">
        <f>IF(OR($B179="",L179=""),"",IF($B179=0,--(L179=0),""))</f>
        <v/>
      </c>
      <c r="AX179" s="4">
        <f>IF(L179="","",--(L179=1))</f>
        <v/>
      </c>
      <c r="AY179" s="4">
        <f>IF(OR($B179="",M179=""),"",--(M179=$B179))</f>
        <v/>
      </c>
      <c r="AZ179" s="4">
        <f>IF(OR($B179="",M179=""),"",IF($B179=1,--(M179=1),""))</f>
        <v/>
      </c>
      <c r="BA179" s="4">
        <f>IF(OR($B179="",M179=""),"",IF($B179=0,--(M179=0),""))</f>
        <v/>
      </c>
      <c r="BB179" s="4">
        <f>IF(M179="","",--(M179=1))</f>
        <v/>
      </c>
      <c r="BC179" s="4">
        <f>IF(OR($B179="",N179=""),"",--(N179=$B179))</f>
        <v/>
      </c>
      <c r="BD179" s="4">
        <f>IF(OR($B179="",N179=""),"",IF($B179=1,--(N179=1),""))</f>
        <v/>
      </c>
      <c r="BE179" s="4">
        <f>IF(OR($B179="",N179=""),"",IF($B179=0,--(N179=0),""))</f>
        <v/>
      </c>
      <c r="BF179" s="4">
        <f>IF(N179="","",--(N179=1))</f>
        <v/>
      </c>
    </row>
    <row r="180">
      <c r="A180" s="3" t="inlineStr">
        <is>
          <t>20207124</t>
        </is>
      </c>
      <c r="B180" s="3" t="inlineStr">
        <is>
          <t>1</t>
        </is>
      </c>
      <c r="C180" s="3" t="inlineStr">
        <is>
          <t>Direct</t>
        </is>
      </c>
      <c r="D180" s="3" t="inlineStr">
        <is>
          <t>1</t>
        </is>
      </c>
      <c r="E180" s="3" t="inlineStr">
        <is>
          <t>1</t>
        </is>
      </c>
      <c r="F180" s="3" t="inlineStr">
        <is>
          <t>1</t>
        </is>
      </c>
      <c r="G180" s="3" t="inlineStr">
        <is>
          <t>1</t>
        </is>
      </c>
      <c r="H180" s="3" t="inlineStr">
        <is>
          <t>1</t>
        </is>
      </c>
      <c r="I180" s="3" t="inlineStr">
        <is>
          <t>1</t>
        </is>
      </c>
      <c r="J180" s="3" t="inlineStr">
        <is>
          <t>1</t>
        </is>
      </c>
      <c r="K180" s="3" t="inlineStr">
        <is>
          <t>1</t>
        </is>
      </c>
      <c r="L180" s="3" t="inlineStr">
        <is>
          <t>1</t>
        </is>
      </c>
      <c r="M180" s="3" t="inlineStr">
        <is>
          <t>1</t>
        </is>
      </c>
      <c r="N180" s="3" t="inlineStr">
        <is>
          <t>1</t>
        </is>
      </c>
      <c r="O180" s="4">
        <f>IF(OR($B180="",D180=""),"",--(D180=$B180))</f>
        <v/>
      </c>
      <c r="P180" s="4">
        <f>IF(OR($B180="",D180=""),"",IF($B180=1,--(D180=1),""))</f>
        <v/>
      </c>
      <c r="Q180" s="4">
        <f>IF(OR($B180="",D180=""),"",IF($B180=0,--(D180=0),""))</f>
        <v/>
      </c>
      <c r="R180" s="4">
        <f>IF(D180="","",--(D180=1))</f>
        <v/>
      </c>
      <c r="S180" s="4">
        <f>IF(OR($B180="",E180=""),"",--(E180=$B180))</f>
        <v/>
      </c>
      <c r="T180" s="4">
        <f>IF(OR($B180="",E180=""),"",IF($B180=1,--(E180=1),""))</f>
        <v/>
      </c>
      <c r="U180" s="4">
        <f>IF(OR($B180="",E180=""),"",IF($B180=0,--(E180=0),""))</f>
        <v/>
      </c>
      <c r="V180" s="4">
        <f>IF(E180="","",--(E180=1))</f>
        <v/>
      </c>
      <c r="W180" s="4">
        <f>IF(OR($B180="",F180=""),"",--(F180=$B180))</f>
        <v/>
      </c>
      <c r="X180" s="4">
        <f>IF(OR($B180="",F180=""),"",IF($B180=1,--(F180=1),""))</f>
        <v/>
      </c>
      <c r="Y180" s="4">
        <f>IF(OR($B180="",F180=""),"",IF($B180=0,--(F180=0),""))</f>
        <v/>
      </c>
      <c r="Z180" s="4">
        <f>IF(F180="","",--(F180=1))</f>
        <v/>
      </c>
      <c r="AA180" s="4">
        <f>IF(OR($B180="",G180=""),"",--(G180=$B180))</f>
        <v/>
      </c>
      <c r="AB180" s="4">
        <f>IF(OR($B180="",G180=""),"",IF($B180=1,--(G180=1),""))</f>
        <v/>
      </c>
      <c r="AC180" s="4">
        <f>IF(OR($B180="",G180=""),"",IF($B180=0,--(G180=0),""))</f>
        <v/>
      </c>
      <c r="AD180" s="4">
        <f>IF(G180="","",--(G180=1))</f>
        <v/>
      </c>
      <c r="AE180" s="4">
        <f>IF(OR($B180="",H180=""),"",--(H180=$B180))</f>
        <v/>
      </c>
      <c r="AF180" s="4">
        <f>IF(OR($B180="",H180=""),"",IF($B180=1,--(H180=1),""))</f>
        <v/>
      </c>
      <c r="AG180" s="4">
        <f>IF(OR($B180="",H180=""),"",IF($B180=0,--(H180=0),""))</f>
        <v/>
      </c>
      <c r="AH180" s="4">
        <f>IF(H180="","",--(H180=1))</f>
        <v/>
      </c>
      <c r="AI180" s="4">
        <f>IF(OR($B180="",I180=""),"",--(I180=$B180))</f>
        <v/>
      </c>
      <c r="AJ180" s="4">
        <f>IF(OR($B180="",I180=""),"",IF($B180=1,--(I180=1),""))</f>
        <v/>
      </c>
      <c r="AK180" s="4">
        <f>IF(OR($B180="",I180=""),"",IF($B180=0,--(I180=0),""))</f>
        <v/>
      </c>
      <c r="AL180" s="4">
        <f>IF(I180="","",--(I180=1))</f>
        <v/>
      </c>
      <c r="AM180" s="4">
        <f>IF(OR($B180="",J180=""),"",--(J180=$B180))</f>
        <v/>
      </c>
      <c r="AN180" s="4">
        <f>IF(OR($B180="",J180=""),"",IF($B180=1,--(J180=1),""))</f>
        <v/>
      </c>
      <c r="AO180" s="4">
        <f>IF(OR($B180="",J180=""),"",IF($B180=0,--(J180=0),""))</f>
        <v/>
      </c>
      <c r="AP180" s="4">
        <f>IF(J180="","",--(J180=1))</f>
        <v/>
      </c>
      <c r="AQ180" s="4">
        <f>IF(OR($B180="",K180=""),"",--(K180=$B180))</f>
        <v/>
      </c>
      <c r="AR180" s="4">
        <f>IF(OR($B180="",K180=""),"",IF($B180=1,--(K180=1),""))</f>
        <v/>
      </c>
      <c r="AS180" s="4">
        <f>IF(OR($B180="",K180=""),"",IF($B180=0,--(K180=0),""))</f>
        <v/>
      </c>
      <c r="AT180" s="4">
        <f>IF(K180="","",--(K180=1))</f>
        <v/>
      </c>
      <c r="AU180" s="4">
        <f>IF(OR($B180="",L180=""),"",--(L180=$B180))</f>
        <v/>
      </c>
      <c r="AV180" s="4">
        <f>IF(OR($B180="",L180=""),"",IF($B180=1,--(L180=1),""))</f>
        <v/>
      </c>
      <c r="AW180" s="4">
        <f>IF(OR($B180="",L180=""),"",IF($B180=0,--(L180=0),""))</f>
        <v/>
      </c>
      <c r="AX180" s="4">
        <f>IF(L180="","",--(L180=1))</f>
        <v/>
      </c>
      <c r="AY180" s="4">
        <f>IF(OR($B180="",M180=""),"",--(M180=$B180))</f>
        <v/>
      </c>
      <c r="AZ180" s="4">
        <f>IF(OR($B180="",M180=""),"",IF($B180=1,--(M180=1),""))</f>
        <v/>
      </c>
      <c r="BA180" s="4">
        <f>IF(OR($B180="",M180=""),"",IF($B180=0,--(M180=0),""))</f>
        <v/>
      </c>
      <c r="BB180" s="4">
        <f>IF(M180="","",--(M180=1))</f>
        <v/>
      </c>
      <c r="BC180" s="4">
        <f>IF(OR($B180="",N180=""),"",--(N180=$B180))</f>
        <v/>
      </c>
      <c r="BD180" s="4">
        <f>IF(OR($B180="",N180=""),"",IF($B180=1,--(N180=1),""))</f>
        <v/>
      </c>
      <c r="BE180" s="4">
        <f>IF(OR($B180="",N180=""),"",IF($B180=0,--(N180=0),""))</f>
        <v/>
      </c>
      <c r="BF180" s="4">
        <f>IF(N180="","",--(N180=1))</f>
        <v/>
      </c>
    </row>
    <row r="181">
      <c r="A181" s="3" t="inlineStr">
        <is>
          <t>20207159</t>
        </is>
      </c>
      <c r="B181" s="3" t="inlineStr">
        <is>
          <t>1</t>
        </is>
      </c>
      <c r="C181" s="3" t="inlineStr">
        <is>
          <t>Direct</t>
        </is>
      </c>
      <c r="D181" s="3" t="inlineStr">
        <is>
          <t>1</t>
        </is>
      </c>
      <c r="E181" s="3" t="inlineStr">
        <is>
          <t>1</t>
        </is>
      </c>
      <c r="F181" s="3" t="inlineStr">
        <is>
          <t>0</t>
        </is>
      </c>
      <c r="G181" s="3" t="inlineStr">
        <is>
          <t>0</t>
        </is>
      </c>
      <c r="H181" s="3" t="inlineStr">
        <is>
          <t>0</t>
        </is>
      </c>
      <c r="I181" s="3" t="inlineStr">
        <is>
          <t>1</t>
        </is>
      </c>
      <c r="J181" s="3" t="inlineStr">
        <is>
          <t>1</t>
        </is>
      </c>
      <c r="K181" s="3" t="inlineStr">
        <is>
          <t>1</t>
        </is>
      </c>
      <c r="L181" s="3" t="inlineStr">
        <is>
          <t>1</t>
        </is>
      </c>
      <c r="M181" s="3" t="inlineStr">
        <is>
          <t>1</t>
        </is>
      </c>
      <c r="N181" s="3" t="inlineStr">
        <is>
          <t>1</t>
        </is>
      </c>
      <c r="O181" s="4">
        <f>IF(OR($B181="",D181=""),"",--(D181=$B181))</f>
        <v/>
      </c>
      <c r="P181" s="4">
        <f>IF(OR($B181="",D181=""),"",IF($B181=1,--(D181=1),""))</f>
        <v/>
      </c>
      <c r="Q181" s="4">
        <f>IF(OR($B181="",D181=""),"",IF($B181=0,--(D181=0),""))</f>
        <v/>
      </c>
      <c r="R181" s="4">
        <f>IF(D181="","",--(D181=1))</f>
        <v/>
      </c>
      <c r="S181" s="4">
        <f>IF(OR($B181="",E181=""),"",--(E181=$B181))</f>
        <v/>
      </c>
      <c r="T181" s="4">
        <f>IF(OR($B181="",E181=""),"",IF($B181=1,--(E181=1),""))</f>
        <v/>
      </c>
      <c r="U181" s="4">
        <f>IF(OR($B181="",E181=""),"",IF($B181=0,--(E181=0),""))</f>
        <v/>
      </c>
      <c r="V181" s="4">
        <f>IF(E181="","",--(E181=1))</f>
        <v/>
      </c>
      <c r="W181" s="4">
        <f>IF(OR($B181="",F181=""),"",--(F181=$B181))</f>
        <v/>
      </c>
      <c r="X181" s="4">
        <f>IF(OR($B181="",F181=""),"",IF($B181=1,--(F181=1),""))</f>
        <v/>
      </c>
      <c r="Y181" s="4">
        <f>IF(OR($B181="",F181=""),"",IF($B181=0,--(F181=0),""))</f>
        <v/>
      </c>
      <c r="Z181" s="4">
        <f>IF(F181="","",--(F181=1))</f>
        <v/>
      </c>
      <c r="AA181" s="4">
        <f>IF(OR($B181="",G181=""),"",--(G181=$B181))</f>
        <v/>
      </c>
      <c r="AB181" s="4">
        <f>IF(OR($B181="",G181=""),"",IF($B181=1,--(G181=1),""))</f>
        <v/>
      </c>
      <c r="AC181" s="4">
        <f>IF(OR($B181="",G181=""),"",IF($B181=0,--(G181=0),""))</f>
        <v/>
      </c>
      <c r="AD181" s="4">
        <f>IF(G181="","",--(G181=1))</f>
        <v/>
      </c>
      <c r="AE181" s="4">
        <f>IF(OR($B181="",H181=""),"",--(H181=$B181))</f>
        <v/>
      </c>
      <c r="AF181" s="4">
        <f>IF(OR($B181="",H181=""),"",IF($B181=1,--(H181=1),""))</f>
        <v/>
      </c>
      <c r="AG181" s="4">
        <f>IF(OR($B181="",H181=""),"",IF($B181=0,--(H181=0),""))</f>
        <v/>
      </c>
      <c r="AH181" s="4">
        <f>IF(H181="","",--(H181=1))</f>
        <v/>
      </c>
      <c r="AI181" s="4">
        <f>IF(OR($B181="",I181=""),"",--(I181=$B181))</f>
        <v/>
      </c>
      <c r="AJ181" s="4">
        <f>IF(OR($B181="",I181=""),"",IF($B181=1,--(I181=1),""))</f>
        <v/>
      </c>
      <c r="AK181" s="4">
        <f>IF(OR($B181="",I181=""),"",IF($B181=0,--(I181=0),""))</f>
        <v/>
      </c>
      <c r="AL181" s="4">
        <f>IF(I181="","",--(I181=1))</f>
        <v/>
      </c>
      <c r="AM181" s="4">
        <f>IF(OR($B181="",J181=""),"",--(J181=$B181))</f>
        <v/>
      </c>
      <c r="AN181" s="4">
        <f>IF(OR($B181="",J181=""),"",IF($B181=1,--(J181=1),""))</f>
        <v/>
      </c>
      <c r="AO181" s="4">
        <f>IF(OR($B181="",J181=""),"",IF($B181=0,--(J181=0),""))</f>
        <v/>
      </c>
      <c r="AP181" s="4">
        <f>IF(J181="","",--(J181=1))</f>
        <v/>
      </c>
      <c r="AQ181" s="4">
        <f>IF(OR($B181="",K181=""),"",--(K181=$B181))</f>
        <v/>
      </c>
      <c r="AR181" s="4">
        <f>IF(OR($B181="",K181=""),"",IF($B181=1,--(K181=1),""))</f>
        <v/>
      </c>
      <c r="AS181" s="4">
        <f>IF(OR($B181="",K181=""),"",IF($B181=0,--(K181=0),""))</f>
        <v/>
      </c>
      <c r="AT181" s="4">
        <f>IF(K181="","",--(K181=1))</f>
        <v/>
      </c>
      <c r="AU181" s="4">
        <f>IF(OR($B181="",L181=""),"",--(L181=$B181))</f>
        <v/>
      </c>
      <c r="AV181" s="4">
        <f>IF(OR($B181="",L181=""),"",IF($B181=1,--(L181=1),""))</f>
        <v/>
      </c>
      <c r="AW181" s="4">
        <f>IF(OR($B181="",L181=""),"",IF($B181=0,--(L181=0),""))</f>
        <v/>
      </c>
      <c r="AX181" s="4">
        <f>IF(L181="","",--(L181=1))</f>
        <v/>
      </c>
      <c r="AY181" s="4">
        <f>IF(OR($B181="",M181=""),"",--(M181=$B181))</f>
        <v/>
      </c>
      <c r="AZ181" s="4">
        <f>IF(OR($B181="",M181=""),"",IF($B181=1,--(M181=1),""))</f>
        <v/>
      </c>
      <c r="BA181" s="4">
        <f>IF(OR($B181="",M181=""),"",IF($B181=0,--(M181=0),""))</f>
        <v/>
      </c>
      <c r="BB181" s="4">
        <f>IF(M181="","",--(M181=1))</f>
        <v/>
      </c>
      <c r="BC181" s="4">
        <f>IF(OR($B181="",N181=""),"",--(N181=$B181))</f>
        <v/>
      </c>
      <c r="BD181" s="4">
        <f>IF(OR($B181="",N181=""),"",IF($B181=1,--(N181=1),""))</f>
        <v/>
      </c>
      <c r="BE181" s="4">
        <f>IF(OR($B181="",N181=""),"",IF($B181=0,--(N181=0),""))</f>
        <v/>
      </c>
      <c r="BF181" s="4">
        <f>IF(N181="","",--(N181=1))</f>
        <v/>
      </c>
    </row>
    <row r="182">
      <c r="A182" s="3" t="inlineStr">
        <is>
          <t>20207598</t>
        </is>
      </c>
      <c r="B182" s="3" t="inlineStr">
        <is>
          <t>1</t>
        </is>
      </c>
      <c r="C182" s="3" t="inlineStr">
        <is>
          <t>Direct</t>
        </is>
      </c>
      <c r="D182" s="3" t="inlineStr">
        <is>
          <t>1</t>
        </is>
      </c>
      <c r="E182" s="3" t="inlineStr">
        <is>
          <t>1</t>
        </is>
      </c>
      <c r="F182" s="3" t="inlineStr">
        <is>
          <t>0</t>
        </is>
      </c>
      <c r="G182" s="3" t="inlineStr">
        <is>
          <t>0</t>
        </is>
      </c>
      <c r="H182" s="3" t="inlineStr">
        <is>
          <t>0</t>
        </is>
      </c>
      <c r="I182" s="3" t="inlineStr">
        <is>
          <t>1</t>
        </is>
      </c>
      <c r="J182" s="3" t="inlineStr">
        <is>
          <t>1</t>
        </is>
      </c>
      <c r="K182" s="3" t="inlineStr">
        <is>
          <t>1</t>
        </is>
      </c>
      <c r="L182" s="3" t="inlineStr">
        <is>
          <t>1</t>
        </is>
      </c>
      <c r="M182" s="3" t="inlineStr">
        <is>
          <t>1</t>
        </is>
      </c>
      <c r="N182" s="3" t="inlineStr">
        <is>
          <t>1</t>
        </is>
      </c>
      <c r="O182" s="4">
        <f>IF(OR($B182="",D182=""),"",--(D182=$B182))</f>
        <v/>
      </c>
      <c r="P182" s="4">
        <f>IF(OR($B182="",D182=""),"",IF($B182=1,--(D182=1),""))</f>
        <v/>
      </c>
      <c r="Q182" s="4">
        <f>IF(OR($B182="",D182=""),"",IF($B182=0,--(D182=0),""))</f>
        <v/>
      </c>
      <c r="R182" s="4">
        <f>IF(D182="","",--(D182=1))</f>
        <v/>
      </c>
      <c r="S182" s="4">
        <f>IF(OR($B182="",E182=""),"",--(E182=$B182))</f>
        <v/>
      </c>
      <c r="T182" s="4">
        <f>IF(OR($B182="",E182=""),"",IF($B182=1,--(E182=1),""))</f>
        <v/>
      </c>
      <c r="U182" s="4">
        <f>IF(OR($B182="",E182=""),"",IF($B182=0,--(E182=0),""))</f>
        <v/>
      </c>
      <c r="V182" s="4">
        <f>IF(E182="","",--(E182=1))</f>
        <v/>
      </c>
      <c r="W182" s="4">
        <f>IF(OR($B182="",F182=""),"",--(F182=$B182))</f>
        <v/>
      </c>
      <c r="X182" s="4">
        <f>IF(OR($B182="",F182=""),"",IF($B182=1,--(F182=1),""))</f>
        <v/>
      </c>
      <c r="Y182" s="4">
        <f>IF(OR($B182="",F182=""),"",IF($B182=0,--(F182=0),""))</f>
        <v/>
      </c>
      <c r="Z182" s="4">
        <f>IF(F182="","",--(F182=1))</f>
        <v/>
      </c>
      <c r="AA182" s="4">
        <f>IF(OR($B182="",G182=""),"",--(G182=$B182))</f>
        <v/>
      </c>
      <c r="AB182" s="4">
        <f>IF(OR($B182="",G182=""),"",IF($B182=1,--(G182=1),""))</f>
        <v/>
      </c>
      <c r="AC182" s="4">
        <f>IF(OR($B182="",G182=""),"",IF($B182=0,--(G182=0),""))</f>
        <v/>
      </c>
      <c r="AD182" s="4">
        <f>IF(G182="","",--(G182=1))</f>
        <v/>
      </c>
      <c r="AE182" s="4">
        <f>IF(OR($B182="",H182=""),"",--(H182=$B182))</f>
        <v/>
      </c>
      <c r="AF182" s="4">
        <f>IF(OR($B182="",H182=""),"",IF($B182=1,--(H182=1),""))</f>
        <v/>
      </c>
      <c r="AG182" s="4">
        <f>IF(OR($B182="",H182=""),"",IF($B182=0,--(H182=0),""))</f>
        <v/>
      </c>
      <c r="AH182" s="4">
        <f>IF(H182="","",--(H182=1))</f>
        <v/>
      </c>
      <c r="AI182" s="4">
        <f>IF(OR($B182="",I182=""),"",--(I182=$B182))</f>
        <v/>
      </c>
      <c r="AJ182" s="4">
        <f>IF(OR($B182="",I182=""),"",IF($B182=1,--(I182=1),""))</f>
        <v/>
      </c>
      <c r="AK182" s="4">
        <f>IF(OR($B182="",I182=""),"",IF($B182=0,--(I182=0),""))</f>
        <v/>
      </c>
      <c r="AL182" s="4">
        <f>IF(I182="","",--(I182=1))</f>
        <v/>
      </c>
      <c r="AM182" s="4">
        <f>IF(OR($B182="",J182=""),"",--(J182=$B182))</f>
        <v/>
      </c>
      <c r="AN182" s="4">
        <f>IF(OR($B182="",J182=""),"",IF($B182=1,--(J182=1),""))</f>
        <v/>
      </c>
      <c r="AO182" s="4">
        <f>IF(OR($B182="",J182=""),"",IF($B182=0,--(J182=0),""))</f>
        <v/>
      </c>
      <c r="AP182" s="4">
        <f>IF(J182="","",--(J182=1))</f>
        <v/>
      </c>
      <c r="AQ182" s="4">
        <f>IF(OR($B182="",K182=""),"",--(K182=$B182))</f>
        <v/>
      </c>
      <c r="AR182" s="4">
        <f>IF(OR($B182="",K182=""),"",IF($B182=1,--(K182=1),""))</f>
        <v/>
      </c>
      <c r="AS182" s="4">
        <f>IF(OR($B182="",K182=""),"",IF($B182=0,--(K182=0),""))</f>
        <v/>
      </c>
      <c r="AT182" s="4">
        <f>IF(K182="","",--(K182=1))</f>
        <v/>
      </c>
      <c r="AU182" s="4">
        <f>IF(OR($B182="",L182=""),"",--(L182=$B182))</f>
        <v/>
      </c>
      <c r="AV182" s="4">
        <f>IF(OR($B182="",L182=""),"",IF($B182=1,--(L182=1),""))</f>
        <v/>
      </c>
      <c r="AW182" s="4">
        <f>IF(OR($B182="",L182=""),"",IF($B182=0,--(L182=0),""))</f>
        <v/>
      </c>
      <c r="AX182" s="4">
        <f>IF(L182="","",--(L182=1))</f>
        <v/>
      </c>
      <c r="AY182" s="4">
        <f>IF(OR($B182="",M182=""),"",--(M182=$B182))</f>
        <v/>
      </c>
      <c r="AZ182" s="4">
        <f>IF(OR($B182="",M182=""),"",IF($B182=1,--(M182=1),""))</f>
        <v/>
      </c>
      <c r="BA182" s="4">
        <f>IF(OR($B182="",M182=""),"",IF($B182=0,--(M182=0),""))</f>
        <v/>
      </c>
      <c r="BB182" s="4">
        <f>IF(M182="","",--(M182=1))</f>
        <v/>
      </c>
      <c r="BC182" s="4">
        <f>IF(OR($B182="",N182=""),"",--(N182=$B182))</f>
        <v/>
      </c>
      <c r="BD182" s="4">
        <f>IF(OR($B182="",N182=""),"",IF($B182=1,--(N182=1),""))</f>
        <v/>
      </c>
      <c r="BE182" s="4">
        <f>IF(OR($B182="",N182=""),"",IF($B182=0,--(N182=0),""))</f>
        <v/>
      </c>
      <c r="BF182" s="4">
        <f>IF(N182="","",--(N182=1))</f>
        <v/>
      </c>
    </row>
    <row r="183">
      <c r="A183" s="3" t="inlineStr">
        <is>
          <t>2020833</t>
        </is>
      </c>
      <c r="B183" s="3" t="inlineStr">
        <is>
          <t>0</t>
        </is>
      </c>
      <c r="C183" s="3" t="inlineStr">
        <is>
          <t>RQ</t>
        </is>
      </c>
      <c r="D183" s="3" t="inlineStr">
        <is>
          <t>1</t>
        </is>
      </c>
      <c r="E183" s="3" t="inlineStr">
        <is>
          <t>1</t>
        </is>
      </c>
      <c r="F183" s="3" t="inlineStr">
        <is>
          <t>0</t>
        </is>
      </c>
      <c r="G183" s="3" t="inlineStr">
        <is>
          <t>0</t>
        </is>
      </c>
      <c r="H183" s="3" t="inlineStr">
        <is>
          <t>1</t>
        </is>
      </c>
      <c r="I183" s="3" t="inlineStr">
        <is>
          <t>1</t>
        </is>
      </c>
      <c r="J183" s="3" t="inlineStr">
        <is>
          <t>0</t>
        </is>
      </c>
      <c r="K183" s="3" t="inlineStr">
        <is>
          <t>1</t>
        </is>
      </c>
      <c r="L183" s="3" t="inlineStr">
        <is>
          <t>1</t>
        </is>
      </c>
      <c r="M183" s="3" t="inlineStr">
        <is>
          <t>1</t>
        </is>
      </c>
      <c r="N183" s="3" t="inlineStr">
        <is>
          <t>1</t>
        </is>
      </c>
      <c r="O183" s="4">
        <f>IF(OR($B183="",D183=""),"",--(D183=$B183))</f>
        <v/>
      </c>
      <c r="P183" s="4">
        <f>IF(OR($B183="",D183=""),"",IF($B183=1,--(D183=1),""))</f>
        <v/>
      </c>
      <c r="Q183" s="4">
        <f>IF(OR($B183="",D183=""),"",IF($B183=0,--(D183=0),""))</f>
        <v/>
      </c>
      <c r="R183" s="4">
        <f>IF(D183="","",--(D183=1))</f>
        <v/>
      </c>
      <c r="S183" s="4">
        <f>IF(OR($B183="",E183=""),"",--(E183=$B183))</f>
        <v/>
      </c>
      <c r="T183" s="4">
        <f>IF(OR($B183="",E183=""),"",IF($B183=1,--(E183=1),""))</f>
        <v/>
      </c>
      <c r="U183" s="4">
        <f>IF(OR($B183="",E183=""),"",IF($B183=0,--(E183=0),""))</f>
        <v/>
      </c>
      <c r="V183" s="4">
        <f>IF(E183="","",--(E183=1))</f>
        <v/>
      </c>
      <c r="W183" s="4">
        <f>IF(OR($B183="",F183=""),"",--(F183=$B183))</f>
        <v/>
      </c>
      <c r="X183" s="4">
        <f>IF(OR($B183="",F183=""),"",IF($B183=1,--(F183=1),""))</f>
        <v/>
      </c>
      <c r="Y183" s="4">
        <f>IF(OR($B183="",F183=""),"",IF($B183=0,--(F183=0),""))</f>
        <v/>
      </c>
      <c r="Z183" s="4">
        <f>IF(F183="","",--(F183=1))</f>
        <v/>
      </c>
      <c r="AA183" s="4">
        <f>IF(OR($B183="",G183=""),"",--(G183=$B183))</f>
        <v/>
      </c>
      <c r="AB183" s="4">
        <f>IF(OR($B183="",G183=""),"",IF($B183=1,--(G183=1),""))</f>
        <v/>
      </c>
      <c r="AC183" s="4">
        <f>IF(OR($B183="",G183=""),"",IF($B183=0,--(G183=0),""))</f>
        <v/>
      </c>
      <c r="AD183" s="4">
        <f>IF(G183="","",--(G183=1))</f>
        <v/>
      </c>
      <c r="AE183" s="4">
        <f>IF(OR($B183="",H183=""),"",--(H183=$B183))</f>
        <v/>
      </c>
      <c r="AF183" s="4">
        <f>IF(OR($B183="",H183=""),"",IF($B183=1,--(H183=1),""))</f>
        <v/>
      </c>
      <c r="AG183" s="4">
        <f>IF(OR($B183="",H183=""),"",IF($B183=0,--(H183=0),""))</f>
        <v/>
      </c>
      <c r="AH183" s="4">
        <f>IF(H183="","",--(H183=1))</f>
        <v/>
      </c>
      <c r="AI183" s="4">
        <f>IF(OR($B183="",I183=""),"",--(I183=$B183))</f>
        <v/>
      </c>
      <c r="AJ183" s="4">
        <f>IF(OR($B183="",I183=""),"",IF($B183=1,--(I183=1),""))</f>
        <v/>
      </c>
      <c r="AK183" s="4">
        <f>IF(OR($B183="",I183=""),"",IF($B183=0,--(I183=0),""))</f>
        <v/>
      </c>
      <c r="AL183" s="4">
        <f>IF(I183="","",--(I183=1))</f>
        <v/>
      </c>
      <c r="AM183" s="4">
        <f>IF(OR($B183="",J183=""),"",--(J183=$B183))</f>
        <v/>
      </c>
      <c r="AN183" s="4">
        <f>IF(OR($B183="",J183=""),"",IF($B183=1,--(J183=1),""))</f>
        <v/>
      </c>
      <c r="AO183" s="4">
        <f>IF(OR($B183="",J183=""),"",IF($B183=0,--(J183=0),""))</f>
        <v/>
      </c>
      <c r="AP183" s="4">
        <f>IF(J183="","",--(J183=1))</f>
        <v/>
      </c>
      <c r="AQ183" s="4">
        <f>IF(OR($B183="",K183=""),"",--(K183=$B183))</f>
        <v/>
      </c>
      <c r="AR183" s="4">
        <f>IF(OR($B183="",K183=""),"",IF($B183=1,--(K183=1),""))</f>
        <v/>
      </c>
      <c r="AS183" s="4">
        <f>IF(OR($B183="",K183=""),"",IF($B183=0,--(K183=0),""))</f>
        <v/>
      </c>
      <c r="AT183" s="4">
        <f>IF(K183="","",--(K183=1))</f>
        <v/>
      </c>
      <c r="AU183" s="4">
        <f>IF(OR($B183="",L183=""),"",--(L183=$B183))</f>
        <v/>
      </c>
      <c r="AV183" s="4">
        <f>IF(OR($B183="",L183=""),"",IF($B183=1,--(L183=1),""))</f>
        <v/>
      </c>
      <c r="AW183" s="4">
        <f>IF(OR($B183="",L183=""),"",IF($B183=0,--(L183=0),""))</f>
        <v/>
      </c>
      <c r="AX183" s="4">
        <f>IF(L183="","",--(L183=1))</f>
        <v/>
      </c>
      <c r="AY183" s="4">
        <f>IF(OR($B183="",M183=""),"",--(M183=$B183))</f>
        <v/>
      </c>
      <c r="AZ183" s="4">
        <f>IF(OR($B183="",M183=""),"",IF($B183=1,--(M183=1),""))</f>
        <v/>
      </c>
      <c r="BA183" s="4">
        <f>IF(OR($B183="",M183=""),"",IF($B183=0,--(M183=0),""))</f>
        <v/>
      </c>
      <c r="BB183" s="4">
        <f>IF(M183="","",--(M183=1))</f>
        <v/>
      </c>
      <c r="BC183" s="4">
        <f>IF(OR($B183="",N183=""),"",--(N183=$B183))</f>
        <v/>
      </c>
      <c r="BD183" s="4">
        <f>IF(OR($B183="",N183=""),"",IF($B183=1,--(N183=1),""))</f>
        <v/>
      </c>
      <c r="BE183" s="4">
        <f>IF(OR($B183="",N183=""),"",IF($B183=0,--(N183=0),""))</f>
        <v/>
      </c>
      <c r="BF183" s="4">
        <f>IF(N183="","",--(N183=1))</f>
        <v/>
      </c>
    </row>
    <row r="184">
      <c r="A184" s="3" t="inlineStr">
        <is>
          <t>202110312</t>
        </is>
      </c>
      <c r="B184" s="3" t="inlineStr">
        <is>
          <t>1</t>
        </is>
      </c>
      <c r="C184" s="3" t="inlineStr">
        <is>
          <t>Direct</t>
        </is>
      </c>
      <c r="D184" s="3" t="inlineStr">
        <is>
          <t>1</t>
        </is>
      </c>
      <c r="E184" s="3" t="inlineStr">
        <is>
          <t>1</t>
        </is>
      </c>
      <c r="F184" s="3" t="inlineStr">
        <is>
          <t>1</t>
        </is>
      </c>
      <c r="G184" s="3" t="inlineStr">
        <is>
          <t>1</t>
        </is>
      </c>
      <c r="H184" s="3" t="inlineStr">
        <is>
          <t>1</t>
        </is>
      </c>
      <c r="I184" s="3" t="inlineStr">
        <is>
          <t>1</t>
        </is>
      </c>
      <c r="J184" s="3" t="inlineStr">
        <is>
          <t>1</t>
        </is>
      </c>
      <c r="K184" s="3" t="inlineStr">
        <is>
          <t>1</t>
        </is>
      </c>
      <c r="L184" s="3" t="inlineStr">
        <is>
          <t>1</t>
        </is>
      </c>
      <c r="M184" s="3" t="inlineStr">
        <is>
          <t>1</t>
        </is>
      </c>
      <c r="N184" s="3" t="inlineStr">
        <is>
          <t>1</t>
        </is>
      </c>
      <c r="O184" s="4">
        <f>IF(OR($B184="",D184=""),"",--(D184=$B184))</f>
        <v/>
      </c>
      <c r="P184" s="4">
        <f>IF(OR($B184="",D184=""),"",IF($B184=1,--(D184=1),""))</f>
        <v/>
      </c>
      <c r="Q184" s="4">
        <f>IF(OR($B184="",D184=""),"",IF($B184=0,--(D184=0),""))</f>
        <v/>
      </c>
      <c r="R184" s="4">
        <f>IF(D184="","",--(D184=1))</f>
        <v/>
      </c>
      <c r="S184" s="4">
        <f>IF(OR($B184="",E184=""),"",--(E184=$B184))</f>
        <v/>
      </c>
      <c r="T184" s="4">
        <f>IF(OR($B184="",E184=""),"",IF($B184=1,--(E184=1),""))</f>
        <v/>
      </c>
      <c r="U184" s="4">
        <f>IF(OR($B184="",E184=""),"",IF($B184=0,--(E184=0),""))</f>
        <v/>
      </c>
      <c r="V184" s="4">
        <f>IF(E184="","",--(E184=1))</f>
        <v/>
      </c>
      <c r="W184" s="4">
        <f>IF(OR($B184="",F184=""),"",--(F184=$B184))</f>
        <v/>
      </c>
      <c r="X184" s="4">
        <f>IF(OR($B184="",F184=""),"",IF($B184=1,--(F184=1),""))</f>
        <v/>
      </c>
      <c r="Y184" s="4">
        <f>IF(OR($B184="",F184=""),"",IF($B184=0,--(F184=0),""))</f>
        <v/>
      </c>
      <c r="Z184" s="4">
        <f>IF(F184="","",--(F184=1))</f>
        <v/>
      </c>
      <c r="AA184" s="4">
        <f>IF(OR($B184="",G184=""),"",--(G184=$B184))</f>
        <v/>
      </c>
      <c r="AB184" s="4">
        <f>IF(OR($B184="",G184=""),"",IF($B184=1,--(G184=1),""))</f>
        <v/>
      </c>
      <c r="AC184" s="4">
        <f>IF(OR($B184="",G184=""),"",IF($B184=0,--(G184=0),""))</f>
        <v/>
      </c>
      <c r="AD184" s="4">
        <f>IF(G184="","",--(G184=1))</f>
        <v/>
      </c>
      <c r="AE184" s="4">
        <f>IF(OR($B184="",H184=""),"",--(H184=$B184))</f>
        <v/>
      </c>
      <c r="AF184" s="4">
        <f>IF(OR($B184="",H184=""),"",IF($B184=1,--(H184=1),""))</f>
        <v/>
      </c>
      <c r="AG184" s="4">
        <f>IF(OR($B184="",H184=""),"",IF($B184=0,--(H184=0),""))</f>
        <v/>
      </c>
      <c r="AH184" s="4">
        <f>IF(H184="","",--(H184=1))</f>
        <v/>
      </c>
      <c r="AI184" s="4">
        <f>IF(OR($B184="",I184=""),"",--(I184=$B184))</f>
        <v/>
      </c>
      <c r="AJ184" s="4">
        <f>IF(OR($B184="",I184=""),"",IF($B184=1,--(I184=1),""))</f>
        <v/>
      </c>
      <c r="AK184" s="4">
        <f>IF(OR($B184="",I184=""),"",IF($B184=0,--(I184=0),""))</f>
        <v/>
      </c>
      <c r="AL184" s="4">
        <f>IF(I184="","",--(I184=1))</f>
        <v/>
      </c>
      <c r="AM184" s="4">
        <f>IF(OR($B184="",J184=""),"",--(J184=$B184))</f>
        <v/>
      </c>
      <c r="AN184" s="4">
        <f>IF(OR($B184="",J184=""),"",IF($B184=1,--(J184=1),""))</f>
        <v/>
      </c>
      <c r="AO184" s="4">
        <f>IF(OR($B184="",J184=""),"",IF($B184=0,--(J184=0),""))</f>
        <v/>
      </c>
      <c r="AP184" s="4">
        <f>IF(J184="","",--(J184=1))</f>
        <v/>
      </c>
      <c r="AQ184" s="4">
        <f>IF(OR($B184="",K184=""),"",--(K184=$B184))</f>
        <v/>
      </c>
      <c r="AR184" s="4">
        <f>IF(OR($B184="",K184=""),"",IF($B184=1,--(K184=1),""))</f>
        <v/>
      </c>
      <c r="AS184" s="4">
        <f>IF(OR($B184="",K184=""),"",IF($B184=0,--(K184=0),""))</f>
        <v/>
      </c>
      <c r="AT184" s="4">
        <f>IF(K184="","",--(K184=1))</f>
        <v/>
      </c>
      <c r="AU184" s="4">
        <f>IF(OR($B184="",L184=""),"",--(L184=$B184))</f>
        <v/>
      </c>
      <c r="AV184" s="4">
        <f>IF(OR($B184="",L184=""),"",IF($B184=1,--(L184=1),""))</f>
        <v/>
      </c>
      <c r="AW184" s="4">
        <f>IF(OR($B184="",L184=""),"",IF($B184=0,--(L184=0),""))</f>
        <v/>
      </c>
      <c r="AX184" s="4">
        <f>IF(L184="","",--(L184=1))</f>
        <v/>
      </c>
      <c r="AY184" s="4">
        <f>IF(OR($B184="",M184=""),"",--(M184=$B184))</f>
        <v/>
      </c>
      <c r="AZ184" s="4">
        <f>IF(OR($B184="",M184=""),"",IF($B184=1,--(M184=1),""))</f>
        <v/>
      </c>
      <c r="BA184" s="4">
        <f>IF(OR($B184="",M184=""),"",IF($B184=0,--(M184=0),""))</f>
        <v/>
      </c>
      <c r="BB184" s="4">
        <f>IF(M184="","",--(M184=1))</f>
        <v/>
      </c>
      <c r="BC184" s="4">
        <f>IF(OR($B184="",N184=""),"",--(N184=$B184))</f>
        <v/>
      </c>
      <c r="BD184" s="4">
        <f>IF(OR($B184="",N184=""),"",IF($B184=1,--(N184=1),""))</f>
        <v/>
      </c>
      <c r="BE184" s="4">
        <f>IF(OR($B184="",N184=""),"",IF($B184=0,--(N184=0),""))</f>
        <v/>
      </c>
      <c r="BF184" s="4">
        <f>IF(N184="","",--(N184=1))</f>
        <v/>
      </c>
    </row>
    <row r="185">
      <c r="A185" s="3" t="inlineStr">
        <is>
          <t>20211066</t>
        </is>
      </c>
      <c r="B185" s="3" t="inlineStr">
        <is>
          <t>1</t>
        </is>
      </c>
      <c r="C185" s="3" t="inlineStr">
        <is>
          <t>RQ</t>
        </is>
      </c>
      <c r="D185" s="3" t="inlineStr">
        <is>
          <t>1</t>
        </is>
      </c>
      <c r="E185" s="3" t="inlineStr">
        <is>
          <t>1</t>
        </is>
      </c>
      <c r="F185" s="3" t="inlineStr">
        <is>
          <t>0</t>
        </is>
      </c>
      <c r="G185" s="3" t="inlineStr">
        <is>
          <t>1</t>
        </is>
      </c>
      <c r="H185" s="3" t="inlineStr">
        <is>
          <t>1</t>
        </is>
      </c>
      <c r="I185" s="3" t="inlineStr">
        <is>
          <t>1</t>
        </is>
      </c>
      <c r="J185" s="3" t="inlineStr">
        <is>
          <t>1</t>
        </is>
      </c>
      <c r="K185" s="3" t="inlineStr">
        <is>
          <t>1</t>
        </is>
      </c>
      <c r="L185" s="3" t="inlineStr">
        <is>
          <t>1</t>
        </is>
      </c>
      <c r="M185" s="3" t="inlineStr">
        <is>
          <t>1</t>
        </is>
      </c>
      <c r="N185" s="3" t="inlineStr">
        <is>
          <t>1</t>
        </is>
      </c>
      <c r="O185" s="4">
        <f>IF(OR($B185="",D185=""),"",--(D185=$B185))</f>
        <v/>
      </c>
      <c r="P185" s="4">
        <f>IF(OR($B185="",D185=""),"",IF($B185=1,--(D185=1),""))</f>
        <v/>
      </c>
      <c r="Q185" s="4">
        <f>IF(OR($B185="",D185=""),"",IF($B185=0,--(D185=0),""))</f>
        <v/>
      </c>
      <c r="R185" s="4">
        <f>IF(D185="","",--(D185=1))</f>
        <v/>
      </c>
      <c r="S185" s="4">
        <f>IF(OR($B185="",E185=""),"",--(E185=$B185))</f>
        <v/>
      </c>
      <c r="T185" s="4">
        <f>IF(OR($B185="",E185=""),"",IF($B185=1,--(E185=1),""))</f>
        <v/>
      </c>
      <c r="U185" s="4">
        <f>IF(OR($B185="",E185=""),"",IF($B185=0,--(E185=0),""))</f>
        <v/>
      </c>
      <c r="V185" s="4">
        <f>IF(E185="","",--(E185=1))</f>
        <v/>
      </c>
      <c r="W185" s="4">
        <f>IF(OR($B185="",F185=""),"",--(F185=$B185))</f>
        <v/>
      </c>
      <c r="X185" s="4">
        <f>IF(OR($B185="",F185=""),"",IF($B185=1,--(F185=1),""))</f>
        <v/>
      </c>
      <c r="Y185" s="4">
        <f>IF(OR($B185="",F185=""),"",IF($B185=0,--(F185=0),""))</f>
        <v/>
      </c>
      <c r="Z185" s="4">
        <f>IF(F185="","",--(F185=1))</f>
        <v/>
      </c>
      <c r="AA185" s="4">
        <f>IF(OR($B185="",G185=""),"",--(G185=$B185))</f>
        <v/>
      </c>
      <c r="AB185" s="4">
        <f>IF(OR($B185="",G185=""),"",IF($B185=1,--(G185=1),""))</f>
        <v/>
      </c>
      <c r="AC185" s="4">
        <f>IF(OR($B185="",G185=""),"",IF($B185=0,--(G185=0),""))</f>
        <v/>
      </c>
      <c r="AD185" s="4">
        <f>IF(G185="","",--(G185=1))</f>
        <v/>
      </c>
      <c r="AE185" s="4">
        <f>IF(OR($B185="",H185=""),"",--(H185=$B185))</f>
        <v/>
      </c>
      <c r="AF185" s="4">
        <f>IF(OR($B185="",H185=""),"",IF($B185=1,--(H185=1),""))</f>
        <v/>
      </c>
      <c r="AG185" s="4">
        <f>IF(OR($B185="",H185=""),"",IF($B185=0,--(H185=0),""))</f>
        <v/>
      </c>
      <c r="AH185" s="4">
        <f>IF(H185="","",--(H185=1))</f>
        <v/>
      </c>
      <c r="AI185" s="4">
        <f>IF(OR($B185="",I185=""),"",--(I185=$B185))</f>
        <v/>
      </c>
      <c r="AJ185" s="4">
        <f>IF(OR($B185="",I185=""),"",IF($B185=1,--(I185=1),""))</f>
        <v/>
      </c>
      <c r="AK185" s="4">
        <f>IF(OR($B185="",I185=""),"",IF($B185=0,--(I185=0),""))</f>
        <v/>
      </c>
      <c r="AL185" s="4">
        <f>IF(I185="","",--(I185=1))</f>
        <v/>
      </c>
      <c r="AM185" s="4">
        <f>IF(OR($B185="",J185=""),"",--(J185=$B185))</f>
        <v/>
      </c>
      <c r="AN185" s="4">
        <f>IF(OR($B185="",J185=""),"",IF($B185=1,--(J185=1),""))</f>
        <v/>
      </c>
      <c r="AO185" s="4">
        <f>IF(OR($B185="",J185=""),"",IF($B185=0,--(J185=0),""))</f>
        <v/>
      </c>
      <c r="AP185" s="4">
        <f>IF(J185="","",--(J185=1))</f>
        <v/>
      </c>
      <c r="AQ185" s="4">
        <f>IF(OR($B185="",K185=""),"",--(K185=$B185))</f>
        <v/>
      </c>
      <c r="AR185" s="4">
        <f>IF(OR($B185="",K185=""),"",IF($B185=1,--(K185=1),""))</f>
        <v/>
      </c>
      <c r="AS185" s="4">
        <f>IF(OR($B185="",K185=""),"",IF($B185=0,--(K185=0),""))</f>
        <v/>
      </c>
      <c r="AT185" s="4">
        <f>IF(K185="","",--(K185=1))</f>
        <v/>
      </c>
      <c r="AU185" s="4">
        <f>IF(OR($B185="",L185=""),"",--(L185=$B185))</f>
        <v/>
      </c>
      <c r="AV185" s="4">
        <f>IF(OR($B185="",L185=""),"",IF($B185=1,--(L185=1),""))</f>
        <v/>
      </c>
      <c r="AW185" s="4">
        <f>IF(OR($B185="",L185=""),"",IF($B185=0,--(L185=0),""))</f>
        <v/>
      </c>
      <c r="AX185" s="4">
        <f>IF(L185="","",--(L185=1))</f>
        <v/>
      </c>
      <c r="AY185" s="4">
        <f>IF(OR($B185="",M185=""),"",--(M185=$B185))</f>
        <v/>
      </c>
      <c r="AZ185" s="4">
        <f>IF(OR($B185="",M185=""),"",IF($B185=1,--(M185=1),""))</f>
        <v/>
      </c>
      <c r="BA185" s="4">
        <f>IF(OR($B185="",M185=""),"",IF($B185=0,--(M185=0),""))</f>
        <v/>
      </c>
      <c r="BB185" s="4">
        <f>IF(M185="","",--(M185=1))</f>
        <v/>
      </c>
      <c r="BC185" s="4">
        <f>IF(OR($B185="",N185=""),"",--(N185=$B185))</f>
        <v/>
      </c>
      <c r="BD185" s="4">
        <f>IF(OR($B185="",N185=""),"",IF($B185=1,--(N185=1),""))</f>
        <v/>
      </c>
      <c r="BE185" s="4">
        <f>IF(OR($B185="",N185=""),"",IF($B185=0,--(N185=0),""))</f>
        <v/>
      </c>
      <c r="BF185" s="4">
        <f>IF(N185="","",--(N185=1))</f>
        <v/>
      </c>
    </row>
    <row r="186">
      <c r="A186" s="3" t="inlineStr">
        <is>
          <t>20211069</t>
        </is>
      </c>
      <c r="B186" s="3" t="inlineStr">
        <is>
          <t>0</t>
        </is>
      </c>
      <c r="C186" s="3" t="inlineStr">
        <is>
          <t>Direct</t>
        </is>
      </c>
      <c r="D186" s="3" t="inlineStr">
        <is>
          <t>0</t>
        </is>
      </c>
      <c r="E186" s="3" t="inlineStr">
        <is>
          <t>0</t>
        </is>
      </c>
      <c r="F186" s="3" t="inlineStr">
        <is>
          <t>0</t>
        </is>
      </c>
      <c r="G186" s="3" t="inlineStr">
        <is>
          <t>0</t>
        </is>
      </c>
      <c r="H186" s="3" t="inlineStr">
        <is>
          <t>0</t>
        </is>
      </c>
      <c r="I186" s="3" t="inlineStr">
        <is>
          <t>1</t>
        </is>
      </c>
      <c r="J186" s="3" t="inlineStr">
        <is>
          <t>1</t>
        </is>
      </c>
      <c r="K186" s="3" t="inlineStr">
        <is>
          <t>1</t>
        </is>
      </c>
      <c r="L186" s="3" t="inlineStr">
        <is>
          <t>1</t>
        </is>
      </c>
      <c r="M186" s="3" t="inlineStr">
        <is>
          <t>1</t>
        </is>
      </c>
      <c r="N186" s="3" t="inlineStr">
        <is>
          <t>1</t>
        </is>
      </c>
      <c r="O186" s="4">
        <f>IF(OR($B186="",D186=""),"",--(D186=$B186))</f>
        <v/>
      </c>
      <c r="P186" s="4">
        <f>IF(OR($B186="",D186=""),"",IF($B186=1,--(D186=1),""))</f>
        <v/>
      </c>
      <c r="Q186" s="4">
        <f>IF(OR($B186="",D186=""),"",IF($B186=0,--(D186=0),""))</f>
        <v/>
      </c>
      <c r="R186" s="4">
        <f>IF(D186="","",--(D186=1))</f>
        <v/>
      </c>
      <c r="S186" s="4">
        <f>IF(OR($B186="",E186=""),"",--(E186=$B186))</f>
        <v/>
      </c>
      <c r="T186" s="4">
        <f>IF(OR($B186="",E186=""),"",IF($B186=1,--(E186=1),""))</f>
        <v/>
      </c>
      <c r="U186" s="4">
        <f>IF(OR($B186="",E186=""),"",IF($B186=0,--(E186=0),""))</f>
        <v/>
      </c>
      <c r="V186" s="4">
        <f>IF(E186="","",--(E186=1))</f>
        <v/>
      </c>
      <c r="W186" s="4">
        <f>IF(OR($B186="",F186=""),"",--(F186=$B186))</f>
        <v/>
      </c>
      <c r="X186" s="4">
        <f>IF(OR($B186="",F186=""),"",IF($B186=1,--(F186=1),""))</f>
        <v/>
      </c>
      <c r="Y186" s="4">
        <f>IF(OR($B186="",F186=""),"",IF($B186=0,--(F186=0),""))</f>
        <v/>
      </c>
      <c r="Z186" s="4">
        <f>IF(F186="","",--(F186=1))</f>
        <v/>
      </c>
      <c r="AA186" s="4">
        <f>IF(OR($B186="",G186=""),"",--(G186=$B186))</f>
        <v/>
      </c>
      <c r="AB186" s="4">
        <f>IF(OR($B186="",G186=""),"",IF($B186=1,--(G186=1),""))</f>
        <v/>
      </c>
      <c r="AC186" s="4">
        <f>IF(OR($B186="",G186=""),"",IF($B186=0,--(G186=0),""))</f>
        <v/>
      </c>
      <c r="AD186" s="4">
        <f>IF(G186="","",--(G186=1))</f>
        <v/>
      </c>
      <c r="AE186" s="4">
        <f>IF(OR($B186="",H186=""),"",--(H186=$B186))</f>
        <v/>
      </c>
      <c r="AF186" s="4">
        <f>IF(OR($B186="",H186=""),"",IF($B186=1,--(H186=1),""))</f>
        <v/>
      </c>
      <c r="AG186" s="4">
        <f>IF(OR($B186="",H186=""),"",IF($B186=0,--(H186=0),""))</f>
        <v/>
      </c>
      <c r="AH186" s="4">
        <f>IF(H186="","",--(H186=1))</f>
        <v/>
      </c>
      <c r="AI186" s="4">
        <f>IF(OR($B186="",I186=""),"",--(I186=$B186))</f>
        <v/>
      </c>
      <c r="AJ186" s="4">
        <f>IF(OR($B186="",I186=""),"",IF($B186=1,--(I186=1),""))</f>
        <v/>
      </c>
      <c r="AK186" s="4">
        <f>IF(OR($B186="",I186=""),"",IF($B186=0,--(I186=0),""))</f>
        <v/>
      </c>
      <c r="AL186" s="4">
        <f>IF(I186="","",--(I186=1))</f>
        <v/>
      </c>
      <c r="AM186" s="4">
        <f>IF(OR($B186="",J186=""),"",--(J186=$B186))</f>
        <v/>
      </c>
      <c r="AN186" s="4">
        <f>IF(OR($B186="",J186=""),"",IF($B186=1,--(J186=1),""))</f>
        <v/>
      </c>
      <c r="AO186" s="4">
        <f>IF(OR($B186="",J186=""),"",IF($B186=0,--(J186=0),""))</f>
        <v/>
      </c>
      <c r="AP186" s="4">
        <f>IF(J186="","",--(J186=1))</f>
        <v/>
      </c>
      <c r="AQ186" s="4">
        <f>IF(OR($B186="",K186=""),"",--(K186=$B186))</f>
        <v/>
      </c>
      <c r="AR186" s="4">
        <f>IF(OR($B186="",K186=""),"",IF($B186=1,--(K186=1),""))</f>
        <v/>
      </c>
      <c r="AS186" s="4">
        <f>IF(OR($B186="",K186=""),"",IF($B186=0,--(K186=0),""))</f>
        <v/>
      </c>
      <c r="AT186" s="4">
        <f>IF(K186="","",--(K186=1))</f>
        <v/>
      </c>
      <c r="AU186" s="4">
        <f>IF(OR($B186="",L186=""),"",--(L186=$B186))</f>
        <v/>
      </c>
      <c r="AV186" s="4">
        <f>IF(OR($B186="",L186=""),"",IF($B186=1,--(L186=1),""))</f>
        <v/>
      </c>
      <c r="AW186" s="4">
        <f>IF(OR($B186="",L186=""),"",IF($B186=0,--(L186=0),""))</f>
        <v/>
      </c>
      <c r="AX186" s="4">
        <f>IF(L186="","",--(L186=1))</f>
        <v/>
      </c>
      <c r="AY186" s="4">
        <f>IF(OR($B186="",M186=""),"",--(M186=$B186))</f>
        <v/>
      </c>
      <c r="AZ186" s="4">
        <f>IF(OR($B186="",M186=""),"",IF($B186=1,--(M186=1),""))</f>
        <v/>
      </c>
      <c r="BA186" s="4">
        <f>IF(OR($B186="",M186=""),"",IF($B186=0,--(M186=0),""))</f>
        <v/>
      </c>
      <c r="BB186" s="4">
        <f>IF(M186="","",--(M186=1))</f>
        <v/>
      </c>
      <c r="BC186" s="4">
        <f>IF(OR($B186="",N186=""),"",--(N186=$B186))</f>
        <v/>
      </c>
      <c r="BD186" s="4">
        <f>IF(OR($B186="",N186=""),"",IF($B186=1,--(N186=1),""))</f>
        <v/>
      </c>
      <c r="BE186" s="4">
        <f>IF(OR($B186="",N186=""),"",IF($B186=0,--(N186=0),""))</f>
        <v/>
      </c>
      <c r="BF186" s="4">
        <f>IF(N186="","",--(N186=1))</f>
        <v/>
      </c>
    </row>
    <row r="187">
      <c r="A187" s="3" t="inlineStr">
        <is>
          <t>202110820</t>
        </is>
      </c>
      <c r="B187" s="3" t="inlineStr">
        <is>
          <t>0</t>
        </is>
      </c>
      <c r="C187" s="3" t="inlineStr">
        <is>
          <t>Direct</t>
        </is>
      </c>
      <c r="D187" s="3" t="inlineStr">
        <is>
          <t>1</t>
        </is>
      </c>
      <c r="E187" s="3" t="inlineStr">
        <is>
          <t>1</t>
        </is>
      </c>
      <c r="F187" s="3" t="inlineStr">
        <is>
          <t>1</t>
        </is>
      </c>
      <c r="G187" s="3" t="inlineStr">
        <is>
          <t>0</t>
        </is>
      </c>
      <c r="H187" s="3" t="inlineStr">
        <is>
          <t>0</t>
        </is>
      </c>
      <c r="I187" s="3" t="inlineStr">
        <is>
          <t>0</t>
        </is>
      </c>
      <c r="J187" s="3" t="inlineStr">
        <is>
          <t>0</t>
        </is>
      </c>
      <c r="K187" s="3" t="inlineStr">
        <is>
          <t>0</t>
        </is>
      </c>
      <c r="L187" s="3" t="inlineStr">
        <is>
          <t>0</t>
        </is>
      </c>
      <c r="M187" s="3" t="inlineStr">
        <is>
          <t>0</t>
        </is>
      </c>
      <c r="N187" s="3" t="inlineStr">
        <is>
          <t>1</t>
        </is>
      </c>
      <c r="O187" s="4">
        <f>IF(OR($B187="",D187=""),"",--(D187=$B187))</f>
        <v/>
      </c>
      <c r="P187" s="4">
        <f>IF(OR($B187="",D187=""),"",IF($B187=1,--(D187=1),""))</f>
        <v/>
      </c>
      <c r="Q187" s="4">
        <f>IF(OR($B187="",D187=""),"",IF($B187=0,--(D187=0),""))</f>
        <v/>
      </c>
      <c r="R187" s="4">
        <f>IF(D187="","",--(D187=1))</f>
        <v/>
      </c>
      <c r="S187" s="4">
        <f>IF(OR($B187="",E187=""),"",--(E187=$B187))</f>
        <v/>
      </c>
      <c r="T187" s="4">
        <f>IF(OR($B187="",E187=""),"",IF($B187=1,--(E187=1),""))</f>
        <v/>
      </c>
      <c r="U187" s="4">
        <f>IF(OR($B187="",E187=""),"",IF($B187=0,--(E187=0),""))</f>
        <v/>
      </c>
      <c r="V187" s="4">
        <f>IF(E187="","",--(E187=1))</f>
        <v/>
      </c>
      <c r="W187" s="4">
        <f>IF(OR($B187="",F187=""),"",--(F187=$B187))</f>
        <v/>
      </c>
      <c r="X187" s="4">
        <f>IF(OR($B187="",F187=""),"",IF($B187=1,--(F187=1),""))</f>
        <v/>
      </c>
      <c r="Y187" s="4">
        <f>IF(OR($B187="",F187=""),"",IF($B187=0,--(F187=0),""))</f>
        <v/>
      </c>
      <c r="Z187" s="4">
        <f>IF(F187="","",--(F187=1))</f>
        <v/>
      </c>
      <c r="AA187" s="4">
        <f>IF(OR($B187="",G187=""),"",--(G187=$B187))</f>
        <v/>
      </c>
      <c r="AB187" s="4">
        <f>IF(OR($B187="",G187=""),"",IF($B187=1,--(G187=1),""))</f>
        <v/>
      </c>
      <c r="AC187" s="4">
        <f>IF(OR($B187="",G187=""),"",IF($B187=0,--(G187=0),""))</f>
        <v/>
      </c>
      <c r="AD187" s="4">
        <f>IF(G187="","",--(G187=1))</f>
        <v/>
      </c>
      <c r="AE187" s="4">
        <f>IF(OR($B187="",H187=""),"",--(H187=$B187))</f>
        <v/>
      </c>
      <c r="AF187" s="4">
        <f>IF(OR($B187="",H187=""),"",IF($B187=1,--(H187=1),""))</f>
        <v/>
      </c>
      <c r="AG187" s="4">
        <f>IF(OR($B187="",H187=""),"",IF($B187=0,--(H187=0),""))</f>
        <v/>
      </c>
      <c r="AH187" s="4">
        <f>IF(H187="","",--(H187=1))</f>
        <v/>
      </c>
      <c r="AI187" s="4">
        <f>IF(OR($B187="",I187=""),"",--(I187=$B187))</f>
        <v/>
      </c>
      <c r="AJ187" s="4">
        <f>IF(OR($B187="",I187=""),"",IF($B187=1,--(I187=1),""))</f>
        <v/>
      </c>
      <c r="AK187" s="4">
        <f>IF(OR($B187="",I187=""),"",IF($B187=0,--(I187=0),""))</f>
        <v/>
      </c>
      <c r="AL187" s="4">
        <f>IF(I187="","",--(I187=1))</f>
        <v/>
      </c>
      <c r="AM187" s="4">
        <f>IF(OR($B187="",J187=""),"",--(J187=$B187))</f>
        <v/>
      </c>
      <c r="AN187" s="4">
        <f>IF(OR($B187="",J187=""),"",IF($B187=1,--(J187=1),""))</f>
        <v/>
      </c>
      <c r="AO187" s="4">
        <f>IF(OR($B187="",J187=""),"",IF($B187=0,--(J187=0),""))</f>
        <v/>
      </c>
      <c r="AP187" s="4">
        <f>IF(J187="","",--(J187=1))</f>
        <v/>
      </c>
      <c r="AQ187" s="4">
        <f>IF(OR($B187="",K187=""),"",--(K187=$B187))</f>
        <v/>
      </c>
      <c r="AR187" s="4">
        <f>IF(OR($B187="",K187=""),"",IF($B187=1,--(K187=1),""))</f>
        <v/>
      </c>
      <c r="AS187" s="4">
        <f>IF(OR($B187="",K187=""),"",IF($B187=0,--(K187=0),""))</f>
        <v/>
      </c>
      <c r="AT187" s="4">
        <f>IF(K187="","",--(K187=1))</f>
        <v/>
      </c>
      <c r="AU187" s="4">
        <f>IF(OR($B187="",L187=""),"",--(L187=$B187))</f>
        <v/>
      </c>
      <c r="AV187" s="4">
        <f>IF(OR($B187="",L187=""),"",IF($B187=1,--(L187=1),""))</f>
        <v/>
      </c>
      <c r="AW187" s="4">
        <f>IF(OR($B187="",L187=""),"",IF($B187=0,--(L187=0),""))</f>
        <v/>
      </c>
      <c r="AX187" s="4">
        <f>IF(L187="","",--(L187=1))</f>
        <v/>
      </c>
      <c r="AY187" s="4">
        <f>IF(OR($B187="",M187=""),"",--(M187=$B187))</f>
        <v/>
      </c>
      <c r="AZ187" s="4">
        <f>IF(OR($B187="",M187=""),"",IF($B187=1,--(M187=1),""))</f>
        <v/>
      </c>
      <c r="BA187" s="4">
        <f>IF(OR($B187="",M187=""),"",IF($B187=0,--(M187=0),""))</f>
        <v/>
      </c>
      <c r="BB187" s="4">
        <f>IF(M187="","",--(M187=1))</f>
        <v/>
      </c>
      <c r="BC187" s="4">
        <f>IF(OR($B187="",N187=""),"",--(N187=$B187))</f>
        <v/>
      </c>
      <c r="BD187" s="4">
        <f>IF(OR($B187="",N187=""),"",IF($B187=1,--(N187=1),""))</f>
        <v/>
      </c>
      <c r="BE187" s="4">
        <f>IF(OR($B187="",N187=""),"",IF($B187=0,--(N187=0),""))</f>
        <v/>
      </c>
      <c r="BF187" s="4">
        <f>IF(N187="","",--(N187=1))</f>
        <v/>
      </c>
    </row>
    <row r="188">
      <c r="A188" s="3" t="inlineStr">
        <is>
          <t>202110879</t>
        </is>
      </c>
      <c r="B188" s="3" t="inlineStr">
        <is>
          <t>0</t>
        </is>
      </c>
      <c r="C188" s="3" t="inlineStr">
        <is>
          <t>Direct</t>
        </is>
      </c>
      <c r="D188" s="3" t="inlineStr">
        <is>
          <t>0</t>
        </is>
      </c>
      <c r="E188" s="3" t="inlineStr">
        <is>
          <t>0</t>
        </is>
      </c>
      <c r="F188" s="3" t="inlineStr">
        <is>
          <t>0</t>
        </is>
      </c>
      <c r="G188" s="3" t="inlineStr">
        <is>
          <t>0</t>
        </is>
      </c>
      <c r="H188" s="3" t="inlineStr">
        <is>
          <t>0</t>
        </is>
      </c>
      <c r="I188" s="3" t="inlineStr">
        <is>
          <t>0</t>
        </is>
      </c>
      <c r="J188" s="3" t="inlineStr">
        <is>
          <t>1</t>
        </is>
      </c>
      <c r="K188" s="3" t="inlineStr">
        <is>
          <t>1</t>
        </is>
      </c>
      <c r="L188" s="3" t="inlineStr">
        <is>
          <t>1</t>
        </is>
      </c>
      <c r="M188" s="3" t="inlineStr">
        <is>
          <t>1</t>
        </is>
      </c>
      <c r="N188" s="3" t="inlineStr">
        <is>
          <t>1</t>
        </is>
      </c>
      <c r="O188" s="4">
        <f>IF(OR($B188="",D188=""),"",--(D188=$B188))</f>
        <v/>
      </c>
      <c r="P188" s="4">
        <f>IF(OR($B188="",D188=""),"",IF($B188=1,--(D188=1),""))</f>
        <v/>
      </c>
      <c r="Q188" s="4">
        <f>IF(OR($B188="",D188=""),"",IF($B188=0,--(D188=0),""))</f>
        <v/>
      </c>
      <c r="R188" s="4">
        <f>IF(D188="","",--(D188=1))</f>
        <v/>
      </c>
      <c r="S188" s="4">
        <f>IF(OR($B188="",E188=""),"",--(E188=$B188))</f>
        <v/>
      </c>
      <c r="T188" s="4">
        <f>IF(OR($B188="",E188=""),"",IF($B188=1,--(E188=1),""))</f>
        <v/>
      </c>
      <c r="U188" s="4">
        <f>IF(OR($B188="",E188=""),"",IF($B188=0,--(E188=0),""))</f>
        <v/>
      </c>
      <c r="V188" s="4">
        <f>IF(E188="","",--(E188=1))</f>
        <v/>
      </c>
      <c r="W188" s="4">
        <f>IF(OR($B188="",F188=""),"",--(F188=$B188))</f>
        <v/>
      </c>
      <c r="X188" s="4">
        <f>IF(OR($B188="",F188=""),"",IF($B188=1,--(F188=1),""))</f>
        <v/>
      </c>
      <c r="Y188" s="4">
        <f>IF(OR($B188="",F188=""),"",IF($B188=0,--(F188=0),""))</f>
        <v/>
      </c>
      <c r="Z188" s="4">
        <f>IF(F188="","",--(F188=1))</f>
        <v/>
      </c>
      <c r="AA188" s="4">
        <f>IF(OR($B188="",G188=""),"",--(G188=$B188))</f>
        <v/>
      </c>
      <c r="AB188" s="4">
        <f>IF(OR($B188="",G188=""),"",IF($B188=1,--(G188=1),""))</f>
        <v/>
      </c>
      <c r="AC188" s="4">
        <f>IF(OR($B188="",G188=""),"",IF($B188=0,--(G188=0),""))</f>
        <v/>
      </c>
      <c r="AD188" s="4">
        <f>IF(G188="","",--(G188=1))</f>
        <v/>
      </c>
      <c r="AE188" s="4">
        <f>IF(OR($B188="",H188=""),"",--(H188=$B188))</f>
        <v/>
      </c>
      <c r="AF188" s="4">
        <f>IF(OR($B188="",H188=""),"",IF($B188=1,--(H188=1),""))</f>
        <v/>
      </c>
      <c r="AG188" s="4">
        <f>IF(OR($B188="",H188=""),"",IF($B188=0,--(H188=0),""))</f>
        <v/>
      </c>
      <c r="AH188" s="4">
        <f>IF(H188="","",--(H188=1))</f>
        <v/>
      </c>
      <c r="AI188" s="4">
        <f>IF(OR($B188="",I188=""),"",--(I188=$B188))</f>
        <v/>
      </c>
      <c r="AJ188" s="4">
        <f>IF(OR($B188="",I188=""),"",IF($B188=1,--(I188=1),""))</f>
        <v/>
      </c>
      <c r="AK188" s="4">
        <f>IF(OR($B188="",I188=""),"",IF($B188=0,--(I188=0),""))</f>
        <v/>
      </c>
      <c r="AL188" s="4">
        <f>IF(I188="","",--(I188=1))</f>
        <v/>
      </c>
      <c r="AM188" s="4">
        <f>IF(OR($B188="",J188=""),"",--(J188=$B188))</f>
        <v/>
      </c>
      <c r="AN188" s="4">
        <f>IF(OR($B188="",J188=""),"",IF($B188=1,--(J188=1),""))</f>
        <v/>
      </c>
      <c r="AO188" s="4">
        <f>IF(OR($B188="",J188=""),"",IF($B188=0,--(J188=0),""))</f>
        <v/>
      </c>
      <c r="AP188" s="4">
        <f>IF(J188="","",--(J188=1))</f>
        <v/>
      </c>
      <c r="AQ188" s="4">
        <f>IF(OR($B188="",K188=""),"",--(K188=$B188))</f>
        <v/>
      </c>
      <c r="AR188" s="4">
        <f>IF(OR($B188="",K188=""),"",IF($B188=1,--(K188=1),""))</f>
        <v/>
      </c>
      <c r="AS188" s="4">
        <f>IF(OR($B188="",K188=""),"",IF($B188=0,--(K188=0),""))</f>
        <v/>
      </c>
      <c r="AT188" s="4">
        <f>IF(K188="","",--(K188=1))</f>
        <v/>
      </c>
      <c r="AU188" s="4">
        <f>IF(OR($B188="",L188=""),"",--(L188=$B188))</f>
        <v/>
      </c>
      <c r="AV188" s="4">
        <f>IF(OR($B188="",L188=""),"",IF($B188=1,--(L188=1),""))</f>
        <v/>
      </c>
      <c r="AW188" s="4">
        <f>IF(OR($B188="",L188=""),"",IF($B188=0,--(L188=0),""))</f>
        <v/>
      </c>
      <c r="AX188" s="4">
        <f>IF(L188="","",--(L188=1))</f>
        <v/>
      </c>
      <c r="AY188" s="4">
        <f>IF(OR($B188="",M188=""),"",--(M188=$B188))</f>
        <v/>
      </c>
      <c r="AZ188" s="4">
        <f>IF(OR($B188="",M188=""),"",IF($B188=1,--(M188=1),""))</f>
        <v/>
      </c>
      <c r="BA188" s="4">
        <f>IF(OR($B188="",M188=""),"",IF($B188=0,--(M188=0),""))</f>
        <v/>
      </c>
      <c r="BB188" s="4">
        <f>IF(M188="","",--(M188=1))</f>
        <v/>
      </c>
      <c r="BC188" s="4">
        <f>IF(OR($B188="",N188=""),"",--(N188=$B188))</f>
        <v/>
      </c>
      <c r="BD188" s="4">
        <f>IF(OR($B188="",N188=""),"",IF($B188=1,--(N188=1),""))</f>
        <v/>
      </c>
      <c r="BE188" s="4">
        <f>IF(OR($B188="",N188=""),"",IF($B188=0,--(N188=0),""))</f>
        <v/>
      </c>
      <c r="BF188" s="4">
        <f>IF(N188="","",--(N188=1))</f>
        <v/>
      </c>
    </row>
    <row r="189">
      <c r="A189" s="3" t="inlineStr">
        <is>
          <t>20211127</t>
        </is>
      </c>
      <c r="B189" s="3" t="inlineStr">
        <is>
          <t>0</t>
        </is>
      </c>
      <c r="C189" s="3" t="inlineStr">
        <is>
          <t>Direct</t>
        </is>
      </c>
      <c r="D189" s="3" t="inlineStr">
        <is>
          <t>1</t>
        </is>
      </c>
      <c r="E189" s="3" t="inlineStr">
        <is>
          <t>1</t>
        </is>
      </c>
      <c r="F189" s="3" t="inlineStr">
        <is>
          <t>1</t>
        </is>
      </c>
      <c r="G189" s="3" t="inlineStr">
        <is>
          <t>1</t>
        </is>
      </c>
      <c r="H189" s="3" t="inlineStr">
        <is>
          <t>1</t>
        </is>
      </c>
      <c r="I189" s="3" t="inlineStr">
        <is>
          <t>1</t>
        </is>
      </c>
      <c r="J189" s="3" t="inlineStr">
        <is>
          <t>1</t>
        </is>
      </c>
      <c r="K189" s="3" t="inlineStr">
        <is>
          <t>1</t>
        </is>
      </c>
      <c r="L189" s="3" t="inlineStr">
        <is>
          <t>1</t>
        </is>
      </c>
      <c r="M189" s="3" t="inlineStr">
        <is>
          <t>1</t>
        </is>
      </c>
      <c r="N189" s="3" t="inlineStr">
        <is>
          <t>1</t>
        </is>
      </c>
      <c r="O189" s="4">
        <f>IF(OR($B189="",D189=""),"",--(D189=$B189))</f>
        <v/>
      </c>
      <c r="P189" s="4">
        <f>IF(OR($B189="",D189=""),"",IF($B189=1,--(D189=1),""))</f>
        <v/>
      </c>
      <c r="Q189" s="4">
        <f>IF(OR($B189="",D189=""),"",IF($B189=0,--(D189=0),""))</f>
        <v/>
      </c>
      <c r="R189" s="4">
        <f>IF(D189="","",--(D189=1))</f>
        <v/>
      </c>
      <c r="S189" s="4">
        <f>IF(OR($B189="",E189=""),"",--(E189=$B189))</f>
        <v/>
      </c>
      <c r="T189" s="4">
        <f>IF(OR($B189="",E189=""),"",IF($B189=1,--(E189=1),""))</f>
        <v/>
      </c>
      <c r="U189" s="4">
        <f>IF(OR($B189="",E189=""),"",IF($B189=0,--(E189=0),""))</f>
        <v/>
      </c>
      <c r="V189" s="4">
        <f>IF(E189="","",--(E189=1))</f>
        <v/>
      </c>
      <c r="W189" s="4">
        <f>IF(OR($B189="",F189=""),"",--(F189=$B189))</f>
        <v/>
      </c>
      <c r="X189" s="4">
        <f>IF(OR($B189="",F189=""),"",IF($B189=1,--(F189=1),""))</f>
        <v/>
      </c>
      <c r="Y189" s="4">
        <f>IF(OR($B189="",F189=""),"",IF($B189=0,--(F189=0),""))</f>
        <v/>
      </c>
      <c r="Z189" s="4">
        <f>IF(F189="","",--(F189=1))</f>
        <v/>
      </c>
      <c r="AA189" s="4">
        <f>IF(OR($B189="",G189=""),"",--(G189=$B189))</f>
        <v/>
      </c>
      <c r="AB189" s="4">
        <f>IF(OR($B189="",G189=""),"",IF($B189=1,--(G189=1),""))</f>
        <v/>
      </c>
      <c r="AC189" s="4">
        <f>IF(OR($B189="",G189=""),"",IF($B189=0,--(G189=0),""))</f>
        <v/>
      </c>
      <c r="AD189" s="4">
        <f>IF(G189="","",--(G189=1))</f>
        <v/>
      </c>
      <c r="AE189" s="4">
        <f>IF(OR($B189="",H189=""),"",--(H189=$B189))</f>
        <v/>
      </c>
      <c r="AF189" s="4">
        <f>IF(OR($B189="",H189=""),"",IF($B189=1,--(H189=1),""))</f>
        <v/>
      </c>
      <c r="AG189" s="4">
        <f>IF(OR($B189="",H189=""),"",IF($B189=0,--(H189=0),""))</f>
        <v/>
      </c>
      <c r="AH189" s="4">
        <f>IF(H189="","",--(H189=1))</f>
        <v/>
      </c>
      <c r="AI189" s="4">
        <f>IF(OR($B189="",I189=""),"",--(I189=$B189))</f>
        <v/>
      </c>
      <c r="AJ189" s="4">
        <f>IF(OR($B189="",I189=""),"",IF($B189=1,--(I189=1),""))</f>
        <v/>
      </c>
      <c r="AK189" s="4">
        <f>IF(OR($B189="",I189=""),"",IF($B189=0,--(I189=0),""))</f>
        <v/>
      </c>
      <c r="AL189" s="4">
        <f>IF(I189="","",--(I189=1))</f>
        <v/>
      </c>
      <c r="AM189" s="4">
        <f>IF(OR($B189="",J189=""),"",--(J189=$B189))</f>
        <v/>
      </c>
      <c r="AN189" s="4">
        <f>IF(OR($B189="",J189=""),"",IF($B189=1,--(J189=1),""))</f>
        <v/>
      </c>
      <c r="AO189" s="4">
        <f>IF(OR($B189="",J189=""),"",IF($B189=0,--(J189=0),""))</f>
        <v/>
      </c>
      <c r="AP189" s="4">
        <f>IF(J189="","",--(J189=1))</f>
        <v/>
      </c>
      <c r="AQ189" s="4">
        <f>IF(OR($B189="",K189=""),"",--(K189=$B189))</f>
        <v/>
      </c>
      <c r="AR189" s="4">
        <f>IF(OR($B189="",K189=""),"",IF($B189=1,--(K189=1),""))</f>
        <v/>
      </c>
      <c r="AS189" s="4">
        <f>IF(OR($B189="",K189=""),"",IF($B189=0,--(K189=0),""))</f>
        <v/>
      </c>
      <c r="AT189" s="4">
        <f>IF(K189="","",--(K189=1))</f>
        <v/>
      </c>
      <c r="AU189" s="4">
        <f>IF(OR($B189="",L189=""),"",--(L189=$B189))</f>
        <v/>
      </c>
      <c r="AV189" s="4">
        <f>IF(OR($B189="",L189=""),"",IF($B189=1,--(L189=1),""))</f>
        <v/>
      </c>
      <c r="AW189" s="4">
        <f>IF(OR($B189="",L189=""),"",IF($B189=0,--(L189=0),""))</f>
        <v/>
      </c>
      <c r="AX189" s="4">
        <f>IF(L189="","",--(L189=1))</f>
        <v/>
      </c>
      <c r="AY189" s="4">
        <f>IF(OR($B189="",M189=""),"",--(M189=$B189))</f>
        <v/>
      </c>
      <c r="AZ189" s="4">
        <f>IF(OR($B189="",M189=""),"",IF($B189=1,--(M189=1),""))</f>
        <v/>
      </c>
      <c r="BA189" s="4">
        <f>IF(OR($B189="",M189=""),"",IF($B189=0,--(M189=0),""))</f>
        <v/>
      </c>
      <c r="BB189" s="4">
        <f>IF(M189="","",--(M189=1))</f>
        <v/>
      </c>
      <c r="BC189" s="4">
        <f>IF(OR($B189="",N189=""),"",--(N189=$B189))</f>
        <v/>
      </c>
      <c r="BD189" s="4">
        <f>IF(OR($B189="",N189=""),"",IF($B189=1,--(N189=1),""))</f>
        <v/>
      </c>
      <c r="BE189" s="4">
        <f>IF(OR($B189="",N189=""),"",IF($B189=0,--(N189=0),""))</f>
        <v/>
      </c>
      <c r="BF189" s="4">
        <f>IF(N189="","",--(N189=1))</f>
        <v/>
      </c>
    </row>
    <row r="190">
      <c r="A190" s="3" t="inlineStr">
        <is>
          <t>20211216</t>
        </is>
      </c>
      <c r="B190" s="3" t="inlineStr">
        <is>
          <t>0</t>
        </is>
      </c>
      <c r="C190" s="3" t="inlineStr">
        <is>
          <t>Direct</t>
        </is>
      </c>
      <c r="D190" s="3" t="inlineStr">
        <is>
          <t>0</t>
        </is>
      </c>
      <c r="E190" s="3" t="inlineStr">
        <is>
          <t>0</t>
        </is>
      </c>
      <c r="F190" s="3" t="inlineStr">
        <is>
          <t>0</t>
        </is>
      </c>
      <c r="G190" s="3" t="inlineStr">
        <is>
          <t>1</t>
        </is>
      </c>
      <c r="H190" s="3" t="inlineStr">
        <is>
          <t>0</t>
        </is>
      </c>
      <c r="I190" s="3" t="inlineStr">
        <is>
          <t>0</t>
        </is>
      </c>
      <c r="J190" s="3" t="inlineStr">
        <is>
          <t>0</t>
        </is>
      </c>
      <c r="K190" s="3" t="inlineStr">
        <is>
          <t>0</t>
        </is>
      </c>
      <c r="L190" s="3" t="inlineStr">
        <is>
          <t>1</t>
        </is>
      </c>
      <c r="M190" s="3" t="inlineStr">
        <is>
          <t>0</t>
        </is>
      </c>
      <c r="N190" s="3" t="inlineStr">
        <is>
          <t>1</t>
        </is>
      </c>
      <c r="O190" s="4">
        <f>IF(OR($B190="",D190=""),"",--(D190=$B190))</f>
        <v/>
      </c>
      <c r="P190" s="4">
        <f>IF(OR($B190="",D190=""),"",IF($B190=1,--(D190=1),""))</f>
        <v/>
      </c>
      <c r="Q190" s="4">
        <f>IF(OR($B190="",D190=""),"",IF($B190=0,--(D190=0),""))</f>
        <v/>
      </c>
      <c r="R190" s="4">
        <f>IF(D190="","",--(D190=1))</f>
        <v/>
      </c>
      <c r="S190" s="4">
        <f>IF(OR($B190="",E190=""),"",--(E190=$B190))</f>
        <v/>
      </c>
      <c r="T190" s="4">
        <f>IF(OR($B190="",E190=""),"",IF($B190=1,--(E190=1),""))</f>
        <v/>
      </c>
      <c r="U190" s="4">
        <f>IF(OR($B190="",E190=""),"",IF($B190=0,--(E190=0),""))</f>
        <v/>
      </c>
      <c r="V190" s="4">
        <f>IF(E190="","",--(E190=1))</f>
        <v/>
      </c>
      <c r="W190" s="4">
        <f>IF(OR($B190="",F190=""),"",--(F190=$B190))</f>
        <v/>
      </c>
      <c r="X190" s="4">
        <f>IF(OR($B190="",F190=""),"",IF($B190=1,--(F190=1),""))</f>
        <v/>
      </c>
      <c r="Y190" s="4">
        <f>IF(OR($B190="",F190=""),"",IF($B190=0,--(F190=0),""))</f>
        <v/>
      </c>
      <c r="Z190" s="4">
        <f>IF(F190="","",--(F190=1))</f>
        <v/>
      </c>
      <c r="AA190" s="4">
        <f>IF(OR($B190="",G190=""),"",--(G190=$B190))</f>
        <v/>
      </c>
      <c r="AB190" s="4">
        <f>IF(OR($B190="",G190=""),"",IF($B190=1,--(G190=1),""))</f>
        <v/>
      </c>
      <c r="AC190" s="4">
        <f>IF(OR($B190="",G190=""),"",IF($B190=0,--(G190=0),""))</f>
        <v/>
      </c>
      <c r="AD190" s="4">
        <f>IF(G190="","",--(G190=1))</f>
        <v/>
      </c>
      <c r="AE190" s="4">
        <f>IF(OR($B190="",H190=""),"",--(H190=$B190))</f>
        <v/>
      </c>
      <c r="AF190" s="4">
        <f>IF(OR($B190="",H190=""),"",IF($B190=1,--(H190=1),""))</f>
        <v/>
      </c>
      <c r="AG190" s="4">
        <f>IF(OR($B190="",H190=""),"",IF($B190=0,--(H190=0),""))</f>
        <v/>
      </c>
      <c r="AH190" s="4">
        <f>IF(H190="","",--(H190=1))</f>
        <v/>
      </c>
      <c r="AI190" s="4">
        <f>IF(OR($B190="",I190=""),"",--(I190=$B190))</f>
        <v/>
      </c>
      <c r="AJ190" s="4">
        <f>IF(OR($B190="",I190=""),"",IF($B190=1,--(I190=1),""))</f>
        <v/>
      </c>
      <c r="AK190" s="4">
        <f>IF(OR($B190="",I190=""),"",IF($B190=0,--(I190=0),""))</f>
        <v/>
      </c>
      <c r="AL190" s="4">
        <f>IF(I190="","",--(I190=1))</f>
        <v/>
      </c>
      <c r="AM190" s="4">
        <f>IF(OR($B190="",J190=""),"",--(J190=$B190))</f>
        <v/>
      </c>
      <c r="AN190" s="4">
        <f>IF(OR($B190="",J190=""),"",IF($B190=1,--(J190=1),""))</f>
        <v/>
      </c>
      <c r="AO190" s="4">
        <f>IF(OR($B190="",J190=""),"",IF($B190=0,--(J190=0),""))</f>
        <v/>
      </c>
      <c r="AP190" s="4">
        <f>IF(J190="","",--(J190=1))</f>
        <v/>
      </c>
      <c r="AQ190" s="4">
        <f>IF(OR($B190="",K190=""),"",--(K190=$B190))</f>
        <v/>
      </c>
      <c r="AR190" s="4">
        <f>IF(OR($B190="",K190=""),"",IF($B190=1,--(K190=1),""))</f>
        <v/>
      </c>
      <c r="AS190" s="4">
        <f>IF(OR($B190="",K190=""),"",IF($B190=0,--(K190=0),""))</f>
        <v/>
      </c>
      <c r="AT190" s="4">
        <f>IF(K190="","",--(K190=1))</f>
        <v/>
      </c>
      <c r="AU190" s="4">
        <f>IF(OR($B190="",L190=""),"",--(L190=$B190))</f>
        <v/>
      </c>
      <c r="AV190" s="4">
        <f>IF(OR($B190="",L190=""),"",IF($B190=1,--(L190=1),""))</f>
        <v/>
      </c>
      <c r="AW190" s="4">
        <f>IF(OR($B190="",L190=""),"",IF($B190=0,--(L190=0),""))</f>
        <v/>
      </c>
      <c r="AX190" s="4">
        <f>IF(L190="","",--(L190=1))</f>
        <v/>
      </c>
      <c r="AY190" s="4">
        <f>IF(OR($B190="",M190=""),"",--(M190=$B190))</f>
        <v/>
      </c>
      <c r="AZ190" s="4">
        <f>IF(OR($B190="",M190=""),"",IF($B190=1,--(M190=1),""))</f>
        <v/>
      </c>
      <c r="BA190" s="4">
        <f>IF(OR($B190="",M190=""),"",IF($B190=0,--(M190=0),""))</f>
        <v/>
      </c>
      <c r="BB190" s="4">
        <f>IF(M190="","",--(M190=1))</f>
        <v/>
      </c>
      <c r="BC190" s="4">
        <f>IF(OR($B190="",N190=""),"",--(N190=$B190))</f>
        <v/>
      </c>
      <c r="BD190" s="4">
        <f>IF(OR($B190="",N190=""),"",IF($B190=1,--(N190=1),""))</f>
        <v/>
      </c>
      <c r="BE190" s="4">
        <f>IF(OR($B190="",N190=""),"",IF($B190=0,--(N190=0),""))</f>
        <v/>
      </c>
      <c r="BF190" s="4">
        <f>IF(N190="","",--(N190=1))</f>
        <v/>
      </c>
    </row>
    <row r="191">
      <c r="A191" s="3" t="inlineStr">
        <is>
          <t>202112334</t>
        </is>
      </c>
      <c r="B191" s="3" t="inlineStr">
        <is>
          <t>1</t>
        </is>
      </c>
      <c r="C191" s="3" t="inlineStr">
        <is>
          <t>Direct</t>
        </is>
      </c>
      <c r="D191" s="3" t="inlineStr">
        <is>
          <t>1</t>
        </is>
      </c>
      <c r="E191" s="3" t="inlineStr">
        <is>
          <t>1</t>
        </is>
      </c>
      <c r="F191" s="3" t="inlineStr">
        <is>
          <t>0</t>
        </is>
      </c>
      <c r="G191" s="3" t="inlineStr">
        <is>
          <t>0</t>
        </is>
      </c>
      <c r="H191" s="3" t="inlineStr">
        <is>
          <t>0</t>
        </is>
      </c>
      <c r="I191" s="3" t="inlineStr">
        <is>
          <t>0</t>
        </is>
      </c>
      <c r="J191" s="3" t="inlineStr">
        <is>
          <t>1</t>
        </is>
      </c>
      <c r="K191" s="3" t="inlineStr">
        <is>
          <t>1</t>
        </is>
      </c>
      <c r="L191" s="3" t="inlineStr">
        <is>
          <t>1</t>
        </is>
      </c>
      <c r="M191" s="3" t="inlineStr">
        <is>
          <t>1</t>
        </is>
      </c>
      <c r="N191" s="3" t="inlineStr">
        <is>
          <t>1</t>
        </is>
      </c>
      <c r="O191" s="4">
        <f>IF(OR($B191="",D191=""),"",--(D191=$B191))</f>
        <v/>
      </c>
      <c r="P191" s="4">
        <f>IF(OR($B191="",D191=""),"",IF($B191=1,--(D191=1),""))</f>
        <v/>
      </c>
      <c r="Q191" s="4">
        <f>IF(OR($B191="",D191=""),"",IF($B191=0,--(D191=0),""))</f>
        <v/>
      </c>
      <c r="R191" s="4">
        <f>IF(D191="","",--(D191=1))</f>
        <v/>
      </c>
      <c r="S191" s="4">
        <f>IF(OR($B191="",E191=""),"",--(E191=$B191))</f>
        <v/>
      </c>
      <c r="T191" s="4">
        <f>IF(OR($B191="",E191=""),"",IF($B191=1,--(E191=1),""))</f>
        <v/>
      </c>
      <c r="U191" s="4">
        <f>IF(OR($B191="",E191=""),"",IF($B191=0,--(E191=0),""))</f>
        <v/>
      </c>
      <c r="V191" s="4">
        <f>IF(E191="","",--(E191=1))</f>
        <v/>
      </c>
      <c r="W191" s="4">
        <f>IF(OR($B191="",F191=""),"",--(F191=$B191))</f>
        <v/>
      </c>
      <c r="X191" s="4">
        <f>IF(OR($B191="",F191=""),"",IF($B191=1,--(F191=1),""))</f>
        <v/>
      </c>
      <c r="Y191" s="4">
        <f>IF(OR($B191="",F191=""),"",IF($B191=0,--(F191=0),""))</f>
        <v/>
      </c>
      <c r="Z191" s="4">
        <f>IF(F191="","",--(F191=1))</f>
        <v/>
      </c>
      <c r="AA191" s="4">
        <f>IF(OR($B191="",G191=""),"",--(G191=$B191))</f>
        <v/>
      </c>
      <c r="AB191" s="4">
        <f>IF(OR($B191="",G191=""),"",IF($B191=1,--(G191=1),""))</f>
        <v/>
      </c>
      <c r="AC191" s="4">
        <f>IF(OR($B191="",G191=""),"",IF($B191=0,--(G191=0),""))</f>
        <v/>
      </c>
      <c r="AD191" s="4">
        <f>IF(G191="","",--(G191=1))</f>
        <v/>
      </c>
      <c r="AE191" s="4">
        <f>IF(OR($B191="",H191=""),"",--(H191=$B191))</f>
        <v/>
      </c>
      <c r="AF191" s="4">
        <f>IF(OR($B191="",H191=""),"",IF($B191=1,--(H191=1),""))</f>
        <v/>
      </c>
      <c r="AG191" s="4">
        <f>IF(OR($B191="",H191=""),"",IF($B191=0,--(H191=0),""))</f>
        <v/>
      </c>
      <c r="AH191" s="4">
        <f>IF(H191="","",--(H191=1))</f>
        <v/>
      </c>
      <c r="AI191" s="4">
        <f>IF(OR($B191="",I191=""),"",--(I191=$B191))</f>
        <v/>
      </c>
      <c r="AJ191" s="4">
        <f>IF(OR($B191="",I191=""),"",IF($B191=1,--(I191=1),""))</f>
        <v/>
      </c>
      <c r="AK191" s="4">
        <f>IF(OR($B191="",I191=""),"",IF($B191=0,--(I191=0),""))</f>
        <v/>
      </c>
      <c r="AL191" s="4">
        <f>IF(I191="","",--(I191=1))</f>
        <v/>
      </c>
      <c r="AM191" s="4">
        <f>IF(OR($B191="",J191=""),"",--(J191=$B191))</f>
        <v/>
      </c>
      <c r="AN191" s="4">
        <f>IF(OR($B191="",J191=""),"",IF($B191=1,--(J191=1),""))</f>
        <v/>
      </c>
      <c r="AO191" s="4">
        <f>IF(OR($B191="",J191=""),"",IF($B191=0,--(J191=0),""))</f>
        <v/>
      </c>
      <c r="AP191" s="4">
        <f>IF(J191="","",--(J191=1))</f>
        <v/>
      </c>
      <c r="AQ191" s="4">
        <f>IF(OR($B191="",K191=""),"",--(K191=$B191))</f>
        <v/>
      </c>
      <c r="AR191" s="4">
        <f>IF(OR($B191="",K191=""),"",IF($B191=1,--(K191=1),""))</f>
        <v/>
      </c>
      <c r="AS191" s="4">
        <f>IF(OR($B191="",K191=""),"",IF($B191=0,--(K191=0),""))</f>
        <v/>
      </c>
      <c r="AT191" s="4">
        <f>IF(K191="","",--(K191=1))</f>
        <v/>
      </c>
      <c r="AU191" s="4">
        <f>IF(OR($B191="",L191=""),"",--(L191=$B191))</f>
        <v/>
      </c>
      <c r="AV191" s="4">
        <f>IF(OR($B191="",L191=""),"",IF($B191=1,--(L191=1),""))</f>
        <v/>
      </c>
      <c r="AW191" s="4">
        <f>IF(OR($B191="",L191=""),"",IF($B191=0,--(L191=0),""))</f>
        <v/>
      </c>
      <c r="AX191" s="4">
        <f>IF(L191="","",--(L191=1))</f>
        <v/>
      </c>
      <c r="AY191" s="4">
        <f>IF(OR($B191="",M191=""),"",--(M191=$B191))</f>
        <v/>
      </c>
      <c r="AZ191" s="4">
        <f>IF(OR($B191="",M191=""),"",IF($B191=1,--(M191=1),""))</f>
        <v/>
      </c>
      <c r="BA191" s="4">
        <f>IF(OR($B191="",M191=""),"",IF($B191=0,--(M191=0),""))</f>
        <v/>
      </c>
      <c r="BB191" s="4">
        <f>IF(M191="","",--(M191=1))</f>
        <v/>
      </c>
      <c r="BC191" s="4">
        <f>IF(OR($B191="",N191=""),"",--(N191=$B191))</f>
        <v/>
      </c>
      <c r="BD191" s="4">
        <f>IF(OR($B191="",N191=""),"",IF($B191=1,--(N191=1),""))</f>
        <v/>
      </c>
      <c r="BE191" s="4">
        <f>IF(OR($B191="",N191=""),"",IF($B191=0,--(N191=0),""))</f>
        <v/>
      </c>
      <c r="BF191" s="4">
        <f>IF(N191="","",--(N191=1))</f>
        <v/>
      </c>
    </row>
    <row r="192">
      <c r="A192" s="3" t="inlineStr">
        <is>
          <t>202112336</t>
        </is>
      </c>
      <c r="B192" s="3" t="inlineStr">
        <is>
          <t>0</t>
        </is>
      </c>
      <c r="C192" s="3" t="inlineStr">
        <is>
          <t>Direct</t>
        </is>
      </c>
      <c r="D192" s="3" t="inlineStr">
        <is>
          <t>0</t>
        </is>
      </c>
      <c r="E192" s="3" t="inlineStr">
        <is>
          <t>0</t>
        </is>
      </c>
      <c r="F192" s="3" t="inlineStr">
        <is>
          <t>0</t>
        </is>
      </c>
      <c r="G192" s="3" t="inlineStr">
        <is>
          <t>0</t>
        </is>
      </c>
      <c r="H192" s="3" t="inlineStr">
        <is>
          <t>0</t>
        </is>
      </c>
      <c r="I192" s="3" t="inlineStr">
        <is>
          <t>0</t>
        </is>
      </c>
      <c r="J192" s="3" t="inlineStr">
        <is>
          <t>0</t>
        </is>
      </c>
      <c r="K192" s="3" t="inlineStr">
        <is>
          <t>0</t>
        </is>
      </c>
      <c r="L192" s="3" t="inlineStr">
        <is>
          <t>1</t>
        </is>
      </c>
      <c r="M192" s="3" t="inlineStr">
        <is>
          <t>1</t>
        </is>
      </c>
      <c r="N192" s="3" t="inlineStr">
        <is>
          <t>1</t>
        </is>
      </c>
      <c r="O192" s="4">
        <f>IF(OR($B192="",D192=""),"",--(D192=$B192))</f>
        <v/>
      </c>
      <c r="P192" s="4">
        <f>IF(OR($B192="",D192=""),"",IF($B192=1,--(D192=1),""))</f>
        <v/>
      </c>
      <c r="Q192" s="4">
        <f>IF(OR($B192="",D192=""),"",IF($B192=0,--(D192=0),""))</f>
        <v/>
      </c>
      <c r="R192" s="4">
        <f>IF(D192="","",--(D192=1))</f>
        <v/>
      </c>
      <c r="S192" s="4">
        <f>IF(OR($B192="",E192=""),"",--(E192=$B192))</f>
        <v/>
      </c>
      <c r="T192" s="4">
        <f>IF(OR($B192="",E192=""),"",IF($B192=1,--(E192=1),""))</f>
        <v/>
      </c>
      <c r="U192" s="4">
        <f>IF(OR($B192="",E192=""),"",IF($B192=0,--(E192=0),""))</f>
        <v/>
      </c>
      <c r="V192" s="4">
        <f>IF(E192="","",--(E192=1))</f>
        <v/>
      </c>
      <c r="W192" s="4">
        <f>IF(OR($B192="",F192=""),"",--(F192=$B192))</f>
        <v/>
      </c>
      <c r="X192" s="4">
        <f>IF(OR($B192="",F192=""),"",IF($B192=1,--(F192=1),""))</f>
        <v/>
      </c>
      <c r="Y192" s="4">
        <f>IF(OR($B192="",F192=""),"",IF($B192=0,--(F192=0),""))</f>
        <v/>
      </c>
      <c r="Z192" s="4">
        <f>IF(F192="","",--(F192=1))</f>
        <v/>
      </c>
      <c r="AA192" s="4">
        <f>IF(OR($B192="",G192=""),"",--(G192=$B192))</f>
        <v/>
      </c>
      <c r="AB192" s="4">
        <f>IF(OR($B192="",G192=""),"",IF($B192=1,--(G192=1),""))</f>
        <v/>
      </c>
      <c r="AC192" s="4">
        <f>IF(OR($B192="",G192=""),"",IF($B192=0,--(G192=0),""))</f>
        <v/>
      </c>
      <c r="AD192" s="4">
        <f>IF(G192="","",--(G192=1))</f>
        <v/>
      </c>
      <c r="AE192" s="4">
        <f>IF(OR($B192="",H192=""),"",--(H192=$B192))</f>
        <v/>
      </c>
      <c r="AF192" s="4">
        <f>IF(OR($B192="",H192=""),"",IF($B192=1,--(H192=1),""))</f>
        <v/>
      </c>
      <c r="AG192" s="4">
        <f>IF(OR($B192="",H192=""),"",IF($B192=0,--(H192=0),""))</f>
        <v/>
      </c>
      <c r="AH192" s="4">
        <f>IF(H192="","",--(H192=1))</f>
        <v/>
      </c>
      <c r="AI192" s="4">
        <f>IF(OR($B192="",I192=""),"",--(I192=$B192))</f>
        <v/>
      </c>
      <c r="AJ192" s="4">
        <f>IF(OR($B192="",I192=""),"",IF($B192=1,--(I192=1),""))</f>
        <v/>
      </c>
      <c r="AK192" s="4">
        <f>IF(OR($B192="",I192=""),"",IF($B192=0,--(I192=0),""))</f>
        <v/>
      </c>
      <c r="AL192" s="4">
        <f>IF(I192="","",--(I192=1))</f>
        <v/>
      </c>
      <c r="AM192" s="4">
        <f>IF(OR($B192="",J192=""),"",--(J192=$B192))</f>
        <v/>
      </c>
      <c r="AN192" s="4">
        <f>IF(OR($B192="",J192=""),"",IF($B192=1,--(J192=1),""))</f>
        <v/>
      </c>
      <c r="AO192" s="4">
        <f>IF(OR($B192="",J192=""),"",IF($B192=0,--(J192=0),""))</f>
        <v/>
      </c>
      <c r="AP192" s="4">
        <f>IF(J192="","",--(J192=1))</f>
        <v/>
      </c>
      <c r="AQ192" s="4">
        <f>IF(OR($B192="",K192=""),"",--(K192=$B192))</f>
        <v/>
      </c>
      <c r="AR192" s="4">
        <f>IF(OR($B192="",K192=""),"",IF($B192=1,--(K192=1),""))</f>
        <v/>
      </c>
      <c r="AS192" s="4">
        <f>IF(OR($B192="",K192=""),"",IF($B192=0,--(K192=0),""))</f>
        <v/>
      </c>
      <c r="AT192" s="4">
        <f>IF(K192="","",--(K192=1))</f>
        <v/>
      </c>
      <c r="AU192" s="4">
        <f>IF(OR($B192="",L192=""),"",--(L192=$B192))</f>
        <v/>
      </c>
      <c r="AV192" s="4">
        <f>IF(OR($B192="",L192=""),"",IF($B192=1,--(L192=1),""))</f>
        <v/>
      </c>
      <c r="AW192" s="4">
        <f>IF(OR($B192="",L192=""),"",IF($B192=0,--(L192=0),""))</f>
        <v/>
      </c>
      <c r="AX192" s="4">
        <f>IF(L192="","",--(L192=1))</f>
        <v/>
      </c>
      <c r="AY192" s="4">
        <f>IF(OR($B192="",M192=""),"",--(M192=$B192))</f>
        <v/>
      </c>
      <c r="AZ192" s="4">
        <f>IF(OR($B192="",M192=""),"",IF($B192=1,--(M192=1),""))</f>
        <v/>
      </c>
      <c r="BA192" s="4">
        <f>IF(OR($B192="",M192=""),"",IF($B192=0,--(M192=0),""))</f>
        <v/>
      </c>
      <c r="BB192" s="4">
        <f>IF(M192="","",--(M192=1))</f>
        <v/>
      </c>
      <c r="BC192" s="4">
        <f>IF(OR($B192="",N192=""),"",--(N192=$B192))</f>
        <v/>
      </c>
      <c r="BD192" s="4">
        <f>IF(OR($B192="",N192=""),"",IF($B192=1,--(N192=1),""))</f>
        <v/>
      </c>
      <c r="BE192" s="4">
        <f>IF(OR($B192="",N192=""),"",IF($B192=0,--(N192=0),""))</f>
        <v/>
      </c>
      <c r="BF192" s="4">
        <f>IF(N192="","",--(N192=1))</f>
        <v/>
      </c>
    </row>
    <row r="193">
      <c r="A193" s="3" t="inlineStr">
        <is>
          <t>202112623</t>
        </is>
      </c>
      <c r="B193" s="3" t="inlineStr">
        <is>
          <t>1</t>
        </is>
      </c>
      <c r="C193" s="3" t="inlineStr">
        <is>
          <t>Direct</t>
        </is>
      </c>
      <c r="D193" s="3" t="inlineStr">
        <is>
          <t>1</t>
        </is>
      </c>
      <c r="E193" s="3" t="inlineStr">
        <is>
          <t>1</t>
        </is>
      </c>
      <c r="F193" s="3" t="inlineStr">
        <is>
          <t>1</t>
        </is>
      </c>
      <c r="G193" s="3" t="inlineStr">
        <is>
          <t>1</t>
        </is>
      </c>
      <c r="H193" s="3" t="inlineStr">
        <is>
          <t>1</t>
        </is>
      </c>
      <c r="I193" s="3" t="inlineStr">
        <is>
          <t>1</t>
        </is>
      </c>
      <c r="J193" s="3" t="inlineStr">
        <is>
          <t>1</t>
        </is>
      </c>
      <c r="K193" s="3" t="inlineStr">
        <is>
          <t>1</t>
        </is>
      </c>
      <c r="L193" s="3" t="inlineStr">
        <is>
          <t>1</t>
        </is>
      </c>
      <c r="M193" s="3" t="inlineStr">
        <is>
          <t>1</t>
        </is>
      </c>
      <c r="N193" s="3" t="inlineStr">
        <is>
          <t>1</t>
        </is>
      </c>
      <c r="O193" s="4">
        <f>IF(OR($B193="",D193=""),"",--(D193=$B193))</f>
        <v/>
      </c>
      <c r="P193" s="4">
        <f>IF(OR($B193="",D193=""),"",IF($B193=1,--(D193=1),""))</f>
        <v/>
      </c>
      <c r="Q193" s="4">
        <f>IF(OR($B193="",D193=""),"",IF($B193=0,--(D193=0),""))</f>
        <v/>
      </c>
      <c r="R193" s="4">
        <f>IF(D193="","",--(D193=1))</f>
        <v/>
      </c>
      <c r="S193" s="4">
        <f>IF(OR($B193="",E193=""),"",--(E193=$B193))</f>
        <v/>
      </c>
      <c r="T193" s="4">
        <f>IF(OR($B193="",E193=""),"",IF($B193=1,--(E193=1),""))</f>
        <v/>
      </c>
      <c r="U193" s="4">
        <f>IF(OR($B193="",E193=""),"",IF($B193=0,--(E193=0),""))</f>
        <v/>
      </c>
      <c r="V193" s="4">
        <f>IF(E193="","",--(E193=1))</f>
        <v/>
      </c>
      <c r="W193" s="4">
        <f>IF(OR($B193="",F193=""),"",--(F193=$B193))</f>
        <v/>
      </c>
      <c r="X193" s="4">
        <f>IF(OR($B193="",F193=""),"",IF($B193=1,--(F193=1),""))</f>
        <v/>
      </c>
      <c r="Y193" s="4">
        <f>IF(OR($B193="",F193=""),"",IF($B193=0,--(F193=0),""))</f>
        <v/>
      </c>
      <c r="Z193" s="4">
        <f>IF(F193="","",--(F193=1))</f>
        <v/>
      </c>
      <c r="AA193" s="4">
        <f>IF(OR($B193="",G193=""),"",--(G193=$B193))</f>
        <v/>
      </c>
      <c r="AB193" s="4">
        <f>IF(OR($B193="",G193=""),"",IF($B193=1,--(G193=1),""))</f>
        <v/>
      </c>
      <c r="AC193" s="4">
        <f>IF(OR($B193="",G193=""),"",IF($B193=0,--(G193=0),""))</f>
        <v/>
      </c>
      <c r="AD193" s="4">
        <f>IF(G193="","",--(G193=1))</f>
        <v/>
      </c>
      <c r="AE193" s="4">
        <f>IF(OR($B193="",H193=""),"",--(H193=$B193))</f>
        <v/>
      </c>
      <c r="AF193" s="4">
        <f>IF(OR($B193="",H193=""),"",IF($B193=1,--(H193=1),""))</f>
        <v/>
      </c>
      <c r="AG193" s="4">
        <f>IF(OR($B193="",H193=""),"",IF($B193=0,--(H193=0),""))</f>
        <v/>
      </c>
      <c r="AH193" s="4">
        <f>IF(H193="","",--(H193=1))</f>
        <v/>
      </c>
      <c r="AI193" s="4">
        <f>IF(OR($B193="",I193=""),"",--(I193=$B193))</f>
        <v/>
      </c>
      <c r="AJ193" s="4">
        <f>IF(OR($B193="",I193=""),"",IF($B193=1,--(I193=1),""))</f>
        <v/>
      </c>
      <c r="AK193" s="4">
        <f>IF(OR($B193="",I193=""),"",IF($B193=0,--(I193=0),""))</f>
        <v/>
      </c>
      <c r="AL193" s="4">
        <f>IF(I193="","",--(I193=1))</f>
        <v/>
      </c>
      <c r="AM193" s="4">
        <f>IF(OR($B193="",J193=""),"",--(J193=$B193))</f>
        <v/>
      </c>
      <c r="AN193" s="4">
        <f>IF(OR($B193="",J193=""),"",IF($B193=1,--(J193=1),""))</f>
        <v/>
      </c>
      <c r="AO193" s="4">
        <f>IF(OR($B193="",J193=""),"",IF($B193=0,--(J193=0),""))</f>
        <v/>
      </c>
      <c r="AP193" s="4">
        <f>IF(J193="","",--(J193=1))</f>
        <v/>
      </c>
      <c r="AQ193" s="4">
        <f>IF(OR($B193="",K193=""),"",--(K193=$B193))</f>
        <v/>
      </c>
      <c r="AR193" s="4">
        <f>IF(OR($B193="",K193=""),"",IF($B193=1,--(K193=1),""))</f>
        <v/>
      </c>
      <c r="AS193" s="4">
        <f>IF(OR($B193="",K193=""),"",IF($B193=0,--(K193=0),""))</f>
        <v/>
      </c>
      <c r="AT193" s="4">
        <f>IF(K193="","",--(K193=1))</f>
        <v/>
      </c>
      <c r="AU193" s="4">
        <f>IF(OR($B193="",L193=""),"",--(L193=$B193))</f>
        <v/>
      </c>
      <c r="AV193" s="4">
        <f>IF(OR($B193="",L193=""),"",IF($B193=1,--(L193=1),""))</f>
        <v/>
      </c>
      <c r="AW193" s="4">
        <f>IF(OR($B193="",L193=""),"",IF($B193=0,--(L193=0),""))</f>
        <v/>
      </c>
      <c r="AX193" s="4">
        <f>IF(L193="","",--(L193=1))</f>
        <v/>
      </c>
      <c r="AY193" s="4">
        <f>IF(OR($B193="",M193=""),"",--(M193=$B193))</f>
        <v/>
      </c>
      <c r="AZ193" s="4">
        <f>IF(OR($B193="",M193=""),"",IF($B193=1,--(M193=1),""))</f>
        <v/>
      </c>
      <c r="BA193" s="4">
        <f>IF(OR($B193="",M193=""),"",IF($B193=0,--(M193=0),""))</f>
        <v/>
      </c>
      <c r="BB193" s="4">
        <f>IF(M193="","",--(M193=1))</f>
        <v/>
      </c>
      <c r="BC193" s="4">
        <f>IF(OR($B193="",N193=""),"",--(N193=$B193))</f>
        <v/>
      </c>
      <c r="BD193" s="4">
        <f>IF(OR($B193="",N193=""),"",IF($B193=1,--(N193=1),""))</f>
        <v/>
      </c>
      <c r="BE193" s="4">
        <f>IF(OR($B193="",N193=""),"",IF($B193=0,--(N193=0),""))</f>
        <v/>
      </c>
      <c r="BF193" s="4">
        <f>IF(N193="","",--(N193=1))</f>
        <v/>
      </c>
    </row>
    <row r="194">
      <c r="A194" s="3" t="inlineStr">
        <is>
          <t>20211318</t>
        </is>
      </c>
      <c r="B194" s="3" t="inlineStr">
        <is>
          <t>1</t>
        </is>
      </c>
      <c r="C194" s="3" t="inlineStr">
        <is>
          <t>Direct</t>
        </is>
      </c>
      <c r="D194" s="3" t="inlineStr">
        <is>
          <t>1</t>
        </is>
      </c>
      <c r="E194" s="3" t="inlineStr">
        <is>
          <t>1</t>
        </is>
      </c>
      <c r="F194" s="3" t="inlineStr">
        <is>
          <t>0</t>
        </is>
      </c>
      <c r="G194" s="3" t="inlineStr">
        <is>
          <t>1</t>
        </is>
      </c>
      <c r="H194" s="3" t="inlineStr">
        <is>
          <t>1</t>
        </is>
      </c>
      <c r="I194" s="3" t="inlineStr">
        <is>
          <t>1</t>
        </is>
      </c>
      <c r="J194" s="3" t="inlineStr">
        <is>
          <t>1</t>
        </is>
      </c>
      <c r="K194" s="3" t="inlineStr">
        <is>
          <t>1</t>
        </is>
      </c>
      <c r="L194" s="3" t="inlineStr">
        <is>
          <t>1</t>
        </is>
      </c>
      <c r="M194" s="3" t="inlineStr">
        <is>
          <t>1</t>
        </is>
      </c>
      <c r="N194" s="3" t="inlineStr">
        <is>
          <t>1</t>
        </is>
      </c>
      <c r="O194" s="4">
        <f>IF(OR($B194="",D194=""),"",--(D194=$B194))</f>
        <v/>
      </c>
      <c r="P194" s="4">
        <f>IF(OR($B194="",D194=""),"",IF($B194=1,--(D194=1),""))</f>
        <v/>
      </c>
      <c r="Q194" s="4">
        <f>IF(OR($B194="",D194=""),"",IF($B194=0,--(D194=0),""))</f>
        <v/>
      </c>
      <c r="R194" s="4">
        <f>IF(D194="","",--(D194=1))</f>
        <v/>
      </c>
      <c r="S194" s="4">
        <f>IF(OR($B194="",E194=""),"",--(E194=$B194))</f>
        <v/>
      </c>
      <c r="T194" s="4">
        <f>IF(OR($B194="",E194=""),"",IF($B194=1,--(E194=1),""))</f>
        <v/>
      </c>
      <c r="U194" s="4">
        <f>IF(OR($B194="",E194=""),"",IF($B194=0,--(E194=0),""))</f>
        <v/>
      </c>
      <c r="V194" s="4">
        <f>IF(E194="","",--(E194=1))</f>
        <v/>
      </c>
      <c r="W194" s="4">
        <f>IF(OR($B194="",F194=""),"",--(F194=$B194))</f>
        <v/>
      </c>
      <c r="X194" s="4">
        <f>IF(OR($B194="",F194=""),"",IF($B194=1,--(F194=1),""))</f>
        <v/>
      </c>
      <c r="Y194" s="4">
        <f>IF(OR($B194="",F194=""),"",IF($B194=0,--(F194=0),""))</f>
        <v/>
      </c>
      <c r="Z194" s="4">
        <f>IF(F194="","",--(F194=1))</f>
        <v/>
      </c>
      <c r="AA194" s="4">
        <f>IF(OR($B194="",G194=""),"",--(G194=$B194))</f>
        <v/>
      </c>
      <c r="AB194" s="4">
        <f>IF(OR($B194="",G194=""),"",IF($B194=1,--(G194=1),""))</f>
        <v/>
      </c>
      <c r="AC194" s="4">
        <f>IF(OR($B194="",G194=""),"",IF($B194=0,--(G194=0),""))</f>
        <v/>
      </c>
      <c r="AD194" s="4">
        <f>IF(G194="","",--(G194=1))</f>
        <v/>
      </c>
      <c r="AE194" s="4">
        <f>IF(OR($B194="",H194=""),"",--(H194=$B194))</f>
        <v/>
      </c>
      <c r="AF194" s="4">
        <f>IF(OR($B194="",H194=""),"",IF($B194=1,--(H194=1),""))</f>
        <v/>
      </c>
      <c r="AG194" s="4">
        <f>IF(OR($B194="",H194=""),"",IF($B194=0,--(H194=0),""))</f>
        <v/>
      </c>
      <c r="AH194" s="4">
        <f>IF(H194="","",--(H194=1))</f>
        <v/>
      </c>
      <c r="AI194" s="4">
        <f>IF(OR($B194="",I194=""),"",--(I194=$B194))</f>
        <v/>
      </c>
      <c r="AJ194" s="4">
        <f>IF(OR($B194="",I194=""),"",IF($B194=1,--(I194=1),""))</f>
        <v/>
      </c>
      <c r="AK194" s="4">
        <f>IF(OR($B194="",I194=""),"",IF($B194=0,--(I194=0),""))</f>
        <v/>
      </c>
      <c r="AL194" s="4">
        <f>IF(I194="","",--(I194=1))</f>
        <v/>
      </c>
      <c r="AM194" s="4">
        <f>IF(OR($B194="",J194=""),"",--(J194=$B194))</f>
        <v/>
      </c>
      <c r="AN194" s="4">
        <f>IF(OR($B194="",J194=""),"",IF($B194=1,--(J194=1),""))</f>
        <v/>
      </c>
      <c r="AO194" s="4">
        <f>IF(OR($B194="",J194=""),"",IF($B194=0,--(J194=0),""))</f>
        <v/>
      </c>
      <c r="AP194" s="4">
        <f>IF(J194="","",--(J194=1))</f>
        <v/>
      </c>
      <c r="AQ194" s="4">
        <f>IF(OR($B194="",K194=""),"",--(K194=$B194))</f>
        <v/>
      </c>
      <c r="AR194" s="4">
        <f>IF(OR($B194="",K194=""),"",IF($B194=1,--(K194=1),""))</f>
        <v/>
      </c>
      <c r="AS194" s="4">
        <f>IF(OR($B194="",K194=""),"",IF($B194=0,--(K194=0),""))</f>
        <v/>
      </c>
      <c r="AT194" s="4">
        <f>IF(K194="","",--(K194=1))</f>
        <v/>
      </c>
      <c r="AU194" s="4">
        <f>IF(OR($B194="",L194=""),"",--(L194=$B194))</f>
        <v/>
      </c>
      <c r="AV194" s="4">
        <f>IF(OR($B194="",L194=""),"",IF($B194=1,--(L194=1),""))</f>
        <v/>
      </c>
      <c r="AW194" s="4">
        <f>IF(OR($B194="",L194=""),"",IF($B194=0,--(L194=0),""))</f>
        <v/>
      </c>
      <c r="AX194" s="4">
        <f>IF(L194="","",--(L194=1))</f>
        <v/>
      </c>
      <c r="AY194" s="4">
        <f>IF(OR($B194="",M194=""),"",--(M194=$B194))</f>
        <v/>
      </c>
      <c r="AZ194" s="4">
        <f>IF(OR($B194="",M194=""),"",IF($B194=1,--(M194=1),""))</f>
        <v/>
      </c>
      <c r="BA194" s="4">
        <f>IF(OR($B194="",M194=""),"",IF($B194=0,--(M194=0),""))</f>
        <v/>
      </c>
      <c r="BB194" s="4">
        <f>IF(M194="","",--(M194=1))</f>
        <v/>
      </c>
      <c r="BC194" s="4">
        <f>IF(OR($B194="",N194=""),"",--(N194=$B194))</f>
        <v/>
      </c>
      <c r="BD194" s="4">
        <f>IF(OR($B194="",N194=""),"",IF($B194=1,--(N194=1),""))</f>
        <v/>
      </c>
      <c r="BE194" s="4">
        <f>IF(OR($B194="",N194=""),"",IF($B194=0,--(N194=0),""))</f>
        <v/>
      </c>
      <c r="BF194" s="4">
        <f>IF(N194="","",--(N194=1))</f>
        <v/>
      </c>
    </row>
    <row r="195">
      <c r="A195" s="3" t="inlineStr">
        <is>
          <t>202113745</t>
        </is>
      </c>
      <c r="B195" s="3" t="inlineStr">
        <is>
          <t>1</t>
        </is>
      </c>
      <c r="C195" s="3" t="inlineStr">
        <is>
          <t>Direct</t>
        </is>
      </c>
      <c r="D195" s="3" t="inlineStr">
        <is>
          <t>1</t>
        </is>
      </c>
      <c r="E195" s="3" t="inlineStr">
        <is>
          <t>1</t>
        </is>
      </c>
      <c r="F195" s="3" t="inlineStr">
        <is>
          <t>0</t>
        </is>
      </c>
      <c r="G195" s="3" t="inlineStr">
        <is>
          <t>0</t>
        </is>
      </c>
      <c r="H195" s="3" t="inlineStr">
        <is>
          <t>1</t>
        </is>
      </c>
      <c r="I195" s="3" t="inlineStr">
        <is>
          <t>0</t>
        </is>
      </c>
      <c r="J195" s="3" t="inlineStr">
        <is>
          <t>0</t>
        </is>
      </c>
      <c r="K195" s="3" t="inlineStr">
        <is>
          <t>1</t>
        </is>
      </c>
      <c r="L195" s="3" t="inlineStr">
        <is>
          <t>1</t>
        </is>
      </c>
      <c r="M195" s="3" t="inlineStr">
        <is>
          <t>1</t>
        </is>
      </c>
      <c r="N195" s="3" t="inlineStr">
        <is>
          <t>1</t>
        </is>
      </c>
      <c r="O195" s="4">
        <f>IF(OR($B195="",D195=""),"",--(D195=$B195))</f>
        <v/>
      </c>
      <c r="P195" s="4">
        <f>IF(OR($B195="",D195=""),"",IF($B195=1,--(D195=1),""))</f>
        <v/>
      </c>
      <c r="Q195" s="4">
        <f>IF(OR($B195="",D195=""),"",IF($B195=0,--(D195=0),""))</f>
        <v/>
      </c>
      <c r="R195" s="4">
        <f>IF(D195="","",--(D195=1))</f>
        <v/>
      </c>
      <c r="S195" s="4">
        <f>IF(OR($B195="",E195=""),"",--(E195=$B195))</f>
        <v/>
      </c>
      <c r="T195" s="4">
        <f>IF(OR($B195="",E195=""),"",IF($B195=1,--(E195=1),""))</f>
        <v/>
      </c>
      <c r="U195" s="4">
        <f>IF(OR($B195="",E195=""),"",IF($B195=0,--(E195=0),""))</f>
        <v/>
      </c>
      <c r="V195" s="4">
        <f>IF(E195="","",--(E195=1))</f>
        <v/>
      </c>
      <c r="W195" s="4">
        <f>IF(OR($B195="",F195=""),"",--(F195=$B195))</f>
        <v/>
      </c>
      <c r="X195" s="4">
        <f>IF(OR($B195="",F195=""),"",IF($B195=1,--(F195=1),""))</f>
        <v/>
      </c>
      <c r="Y195" s="4">
        <f>IF(OR($B195="",F195=""),"",IF($B195=0,--(F195=0),""))</f>
        <v/>
      </c>
      <c r="Z195" s="4">
        <f>IF(F195="","",--(F195=1))</f>
        <v/>
      </c>
      <c r="AA195" s="4">
        <f>IF(OR($B195="",G195=""),"",--(G195=$B195))</f>
        <v/>
      </c>
      <c r="AB195" s="4">
        <f>IF(OR($B195="",G195=""),"",IF($B195=1,--(G195=1),""))</f>
        <v/>
      </c>
      <c r="AC195" s="4">
        <f>IF(OR($B195="",G195=""),"",IF($B195=0,--(G195=0),""))</f>
        <v/>
      </c>
      <c r="AD195" s="4">
        <f>IF(G195="","",--(G195=1))</f>
        <v/>
      </c>
      <c r="AE195" s="4">
        <f>IF(OR($B195="",H195=""),"",--(H195=$B195))</f>
        <v/>
      </c>
      <c r="AF195" s="4">
        <f>IF(OR($B195="",H195=""),"",IF($B195=1,--(H195=1),""))</f>
        <v/>
      </c>
      <c r="AG195" s="4">
        <f>IF(OR($B195="",H195=""),"",IF($B195=0,--(H195=0),""))</f>
        <v/>
      </c>
      <c r="AH195" s="4">
        <f>IF(H195="","",--(H195=1))</f>
        <v/>
      </c>
      <c r="AI195" s="4">
        <f>IF(OR($B195="",I195=""),"",--(I195=$B195))</f>
        <v/>
      </c>
      <c r="AJ195" s="4">
        <f>IF(OR($B195="",I195=""),"",IF($B195=1,--(I195=1),""))</f>
        <v/>
      </c>
      <c r="AK195" s="4">
        <f>IF(OR($B195="",I195=""),"",IF($B195=0,--(I195=0),""))</f>
        <v/>
      </c>
      <c r="AL195" s="4">
        <f>IF(I195="","",--(I195=1))</f>
        <v/>
      </c>
      <c r="AM195" s="4">
        <f>IF(OR($B195="",J195=""),"",--(J195=$B195))</f>
        <v/>
      </c>
      <c r="AN195" s="4">
        <f>IF(OR($B195="",J195=""),"",IF($B195=1,--(J195=1),""))</f>
        <v/>
      </c>
      <c r="AO195" s="4">
        <f>IF(OR($B195="",J195=""),"",IF($B195=0,--(J195=0),""))</f>
        <v/>
      </c>
      <c r="AP195" s="4">
        <f>IF(J195="","",--(J195=1))</f>
        <v/>
      </c>
      <c r="AQ195" s="4">
        <f>IF(OR($B195="",K195=""),"",--(K195=$B195))</f>
        <v/>
      </c>
      <c r="AR195" s="4">
        <f>IF(OR($B195="",K195=""),"",IF($B195=1,--(K195=1),""))</f>
        <v/>
      </c>
      <c r="AS195" s="4">
        <f>IF(OR($B195="",K195=""),"",IF($B195=0,--(K195=0),""))</f>
        <v/>
      </c>
      <c r="AT195" s="4">
        <f>IF(K195="","",--(K195=1))</f>
        <v/>
      </c>
      <c r="AU195" s="4">
        <f>IF(OR($B195="",L195=""),"",--(L195=$B195))</f>
        <v/>
      </c>
      <c r="AV195" s="4">
        <f>IF(OR($B195="",L195=""),"",IF($B195=1,--(L195=1),""))</f>
        <v/>
      </c>
      <c r="AW195" s="4">
        <f>IF(OR($B195="",L195=""),"",IF($B195=0,--(L195=0),""))</f>
        <v/>
      </c>
      <c r="AX195" s="4">
        <f>IF(L195="","",--(L195=1))</f>
        <v/>
      </c>
      <c r="AY195" s="4">
        <f>IF(OR($B195="",M195=""),"",--(M195=$B195))</f>
        <v/>
      </c>
      <c r="AZ195" s="4">
        <f>IF(OR($B195="",M195=""),"",IF($B195=1,--(M195=1),""))</f>
        <v/>
      </c>
      <c r="BA195" s="4">
        <f>IF(OR($B195="",M195=""),"",IF($B195=0,--(M195=0),""))</f>
        <v/>
      </c>
      <c r="BB195" s="4">
        <f>IF(M195="","",--(M195=1))</f>
        <v/>
      </c>
      <c r="BC195" s="4">
        <f>IF(OR($B195="",N195=""),"",--(N195=$B195))</f>
        <v/>
      </c>
      <c r="BD195" s="4">
        <f>IF(OR($B195="",N195=""),"",IF($B195=1,--(N195=1),""))</f>
        <v/>
      </c>
      <c r="BE195" s="4">
        <f>IF(OR($B195="",N195=""),"",IF($B195=0,--(N195=0),""))</f>
        <v/>
      </c>
      <c r="BF195" s="4">
        <f>IF(N195="","",--(N195=1))</f>
        <v/>
      </c>
    </row>
    <row r="196">
      <c r="A196" s="3" t="inlineStr">
        <is>
          <t>202114057</t>
        </is>
      </c>
      <c r="B196" s="3" t="inlineStr">
        <is>
          <t>0</t>
        </is>
      </c>
      <c r="C196" s="3" t="inlineStr">
        <is>
          <t>Direct</t>
        </is>
      </c>
      <c r="D196" s="3" t="inlineStr">
        <is>
          <t>1</t>
        </is>
      </c>
      <c r="E196" s="3" t="inlineStr">
        <is>
          <t>1</t>
        </is>
      </c>
      <c r="F196" s="3" t="inlineStr">
        <is>
          <t>1</t>
        </is>
      </c>
      <c r="G196" s="3" t="inlineStr">
        <is>
          <t>1</t>
        </is>
      </c>
      <c r="H196" s="3" t="inlineStr">
        <is>
          <t>1</t>
        </is>
      </c>
      <c r="I196" s="3" t="inlineStr">
        <is>
          <t>1</t>
        </is>
      </c>
      <c r="J196" s="3" t="inlineStr">
        <is>
          <t>1</t>
        </is>
      </c>
      <c r="K196" s="3" t="inlineStr">
        <is>
          <t>1</t>
        </is>
      </c>
      <c r="L196" s="3" t="inlineStr">
        <is>
          <t>1</t>
        </is>
      </c>
      <c r="M196" s="3" t="inlineStr">
        <is>
          <t>1</t>
        </is>
      </c>
      <c r="N196" s="3" t="inlineStr">
        <is>
          <t>1</t>
        </is>
      </c>
      <c r="O196" s="4">
        <f>IF(OR($B196="",D196=""),"",--(D196=$B196))</f>
        <v/>
      </c>
      <c r="P196" s="4">
        <f>IF(OR($B196="",D196=""),"",IF($B196=1,--(D196=1),""))</f>
        <v/>
      </c>
      <c r="Q196" s="4">
        <f>IF(OR($B196="",D196=""),"",IF($B196=0,--(D196=0),""))</f>
        <v/>
      </c>
      <c r="R196" s="4">
        <f>IF(D196="","",--(D196=1))</f>
        <v/>
      </c>
      <c r="S196" s="4">
        <f>IF(OR($B196="",E196=""),"",--(E196=$B196))</f>
        <v/>
      </c>
      <c r="T196" s="4">
        <f>IF(OR($B196="",E196=""),"",IF($B196=1,--(E196=1),""))</f>
        <v/>
      </c>
      <c r="U196" s="4">
        <f>IF(OR($B196="",E196=""),"",IF($B196=0,--(E196=0),""))</f>
        <v/>
      </c>
      <c r="V196" s="4">
        <f>IF(E196="","",--(E196=1))</f>
        <v/>
      </c>
      <c r="W196" s="4">
        <f>IF(OR($B196="",F196=""),"",--(F196=$B196))</f>
        <v/>
      </c>
      <c r="X196" s="4">
        <f>IF(OR($B196="",F196=""),"",IF($B196=1,--(F196=1),""))</f>
        <v/>
      </c>
      <c r="Y196" s="4">
        <f>IF(OR($B196="",F196=""),"",IF($B196=0,--(F196=0),""))</f>
        <v/>
      </c>
      <c r="Z196" s="4">
        <f>IF(F196="","",--(F196=1))</f>
        <v/>
      </c>
      <c r="AA196" s="4">
        <f>IF(OR($B196="",G196=""),"",--(G196=$B196))</f>
        <v/>
      </c>
      <c r="AB196" s="4">
        <f>IF(OR($B196="",G196=""),"",IF($B196=1,--(G196=1),""))</f>
        <v/>
      </c>
      <c r="AC196" s="4">
        <f>IF(OR($B196="",G196=""),"",IF($B196=0,--(G196=0),""))</f>
        <v/>
      </c>
      <c r="AD196" s="4">
        <f>IF(G196="","",--(G196=1))</f>
        <v/>
      </c>
      <c r="AE196" s="4">
        <f>IF(OR($B196="",H196=""),"",--(H196=$B196))</f>
        <v/>
      </c>
      <c r="AF196" s="4">
        <f>IF(OR($B196="",H196=""),"",IF($B196=1,--(H196=1),""))</f>
        <v/>
      </c>
      <c r="AG196" s="4">
        <f>IF(OR($B196="",H196=""),"",IF($B196=0,--(H196=0),""))</f>
        <v/>
      </c>
      <c r="AH196" s="4">
        <f>IF(H196="","",--(H196=1))</f>
        <v/>
      </c>
      <c r="AI196" s="4">
        <f>IF(OR($B196="",I196=""),"",--(I196=$B196))</f>
        <v/>
      </c>
      <c r="AJ196" s="4">
        <f>IF(OR($B196="",I196=""),"",IF($B196=1,--(I196=1),""))</f>
        <v/>
      </c>
      <c r="AK196" s="4">
        <f>IF(OR($B196="",I196=""),"",IF($B196=0,--(I196=0),""))</f>
        <v/>
      </c>
      <c r="AL196" s="4">
        <f>IF(I196="","",--(I196=1))</f>
        <v/>
      </c>
      <c r="AM196" s="4">
        <f>IF(OR($B196="",J196=""),"",--(J196=$B196))</f>
        <v/>
      </c>
      <c r="AN196" s="4">
        <f>IF(OR($B196="",J196=""),"",IF($B196=1,--(J196=1),""))</f>
        <v/>
      </c>
      <c r="AO196" s="4">
        <f>IF(OR($B196="",J196=""),"",IF($B196=0,--(J196=0),""))</f>
        <v/>
      </c>
      <c r="AP196" s="4">
        <f>IF(J196="","",--(J196=1))</f>
        <v/>
      </c>
      <c r="AQ196" s="4">
        <f>IF(OR($B196="",K196=""),"",--(K196=$B196))</f>
        <v/>
      </c>
      <c r="AR196" s="4">
        <f>IF(OR($B196="",K196=""),"",IF($B196=1,--(K196=1),""))</f>
        <v/>
      </c>
      <c r="AS196" s="4">
        <f>IF(OR($B196="",K196=""),"",IF($B196=0,--(K196=0),""))</f>
        <v/>
      </c>
      <c r="AT196" s="4">
        <f>IF(K196="","",--(K196=1))</f>
        <v/>
      </c>
      <c r="AU196" s="4">
        <f>IF(OR($B196="",L196=""),"",--(L196=$B196))</f>
        <v/>
      </c>
      <c r="AV196" s="4">
        <f>IF(OR($B196="",L196=""),"",IF($B196=1,--(L196=1),""))</f>
        <v/>
      </c>
      <c r="AW196" s="4">
        <f>IF(OR($B196="",L196=""),"",IF($B196=0,--(L196=0),""))</f>
        <v/>
      </c>
      <c r="AX196" s="4">
        <f>IF(L196="","",--(L196=1))</f>
        <v/>
      </c>
      <c r="AY196" s="4">
        <f>IF(OR($B196="",M196=""),"",--(M196=$B196))</f>
        <v/>
      </c>
      <c r="AZ196" s="4">
        <f>IF(OR($B196="",M196=""),"",IF($B196=1,--(M196=1),""))</f>
        <v/>
      </c>
      <c r="BA196" s="4">
        <f>IF(OR($B196="",M196=""),"",IF($B196=0,--(M196=0),""))</f>
        <v/>
      </c>
      <c r="BB196" s="4">
        <f>IF(M196="","",--(M196=1))</f>
        <v/>
      </c>
      <c r="BC196" s="4">
        <f>IF(OR($B196="",N196=""),"",--(N196=$B196))</f>
        <v/>
      </c>
      <c r="BD196" s="4">
        <f>IF(OR($B196="",N196=""),"",IF($B196=1,--(N196=1),""))</f>
        <v/>
      </c>
      <c r="BE196" s="4">
        <f>IF(OR($B196="",N196=""),"",IF($B196=0,--(N196=0),""))</f>
        <v/>
      </c>
      <c r="BF196" s="4">
        <f>IF(N196="","",--(N196=1))</f>
        <v/>
      </c>
    </row>
    <row r="197">
      <c r="A197" s="3" t="inlineStr">
        <is>
          <t>202115546</t>
        </is>
      </c>
      <c r="B197" s="3" t="inlineStr">
        <is>
          <t>0</t>
        </is>
      </c>
      <c r="C197" s="3" t="inlineStr">
        <is>
          <t>Direct</t>
        </is>
      </c>
      <c r="D197" s="3" t="inlineStr">
        <is>
          <t>1</t>
        </is>
      </c>
      <c r="E197" s="3" t="inlineStr">
        <is>
          <t>1</t>
        </is>
      </c>
      <c r="F197" s="3" t="inlineStr">
        <is>
          <t>0</t>
        </is>
      </c>
      <c r="G197" s="3" t="inlineStr">
        <is>
          <t>1</t>
        </is>
      </c>
      <c r="H197" s="3" t="inlineStr">
        <is>
          <t>1</t>
        </is>
      </c>
      <c r="I197" s="3" t="inlineStr">
        <is>
          <t>1</t>
        </is>
      </c>
      <c r="J197" s="3" t="inlineStr">
        <is>
          <t>1</t>
        </is>
      </c>
      <c r="K197" s="3" t="inlineStr">
        <is>
          <t>1</t>
        </is>
      </c>
      <c r="L197" s="3" t="inlineStr">
        <is>
          <t>0</t>
        </is>
      </c>
      <c r="M197" s="3" t="inlineStr">
        <is>
          <t>1</t>
        </is>
      </c>
      <c r="N197" s="3" t="inlineStr">
        <is>
          <t>1</t>
        </is>
      </c>
      <c r="O197" s="4">
        <f>IF(OR($B197="",D197=""),"",--(D197=$B197))</f>
        <v/>
      </c>
      <c r="P197" s="4">
        <f>IF(OR($B197="",D197=""),"",IF($B197=1,--(D197=1),""))</f>
        <v/>
      </c>
      <c r="Q197" s="4">
        <f>IF(OR($B197="",D197=""),"",IF($B197=0,--(D197=0),""))</f>
        <v/>
      </c>
      <c r="R197" s="4">
        <f>IF(D197="","",--(D197=1))</f>
        <v/>
      </c>
      <c r="S197" s="4">
        <f>IF(OR($B197="",E197=""),"",--(E197=$B197))</f>
        <v/>
      </c>
      <c r="T197" s="4">
        <f>IF(OR($B197="",E197=""),"",IF($B197=1,--(E197=1),""))</f>
        <v/>
      </c>
      <c r="U197" s="4">
        <f>IF(OR($B197="",E197=""),"",IF($B197=0,--(E197=0),""))</f>
        <v/>
      </c>
      <c r="V197" s="4">
        <f>IF(E197="","",--(E197=1))</f>
        <v/>
      </c>
      <c r="W197" s="4">
        <f>IF(OR($B197="",F197=""),"",--(F197=$B197))</f>
        <v/>
      </c>
      <c r="X197" s="4">
        <f>IF(OR($B197="",F197=""),"",IF($B197=1,--(F197=1),""))</f>
        <v/>
      </c>
      <c r="Y197" s="4">
        <f>IF(OR($B197="",F197=""),"",IF($B197=0,--(F197=0),""))</f>
        <v/>
      </c>
      <c r="Z197" s="4">
        <f>IF(F197="","",--(F197=1))</f>
        <v/>
      </c>
      <c r="AA197" s="4">
        <f>IF(OR($B197="",G197=""),"",--(G197=$B197))</f>
        <v/>
      </c>
      <c r="AB197" s="4">
        <f>IF(OR($B197="",G197=""),"",IF($B197=1,--(G197=1),""))</f>
        <v/>
      </c>
      <c r="AC197" s="4">
        <f>IF(OR($B197="",G197=""),"",IF($B197=0,--(G197=0),""))</f>
        <v/>
      </c>
      <c r="AD197" s="4">
        <f>IF(G197="","",--(G197=1))</f>
        <v/>
      </c>
      <c r="AE197" s="4">
        <f>IF(OR($B197="",H197=""),"",--(H197=$B197))</f>
        <v/>
      </c>
      <c r="AF197" s="4">
        <f>IF(OR($B197="",H197=""),"",IF($B197=1,--(H197=1),""))</f>
        <v/>
      </c>
      <c r="AG197" s="4">
        <f>IF(OR($B197="",H197=""),"",IF($B197=0,--(H197=0),""))</f>
        <v/>
      </c>
      <c r="AH197" s="4">
        <f>IF(H197="","",--(H197=1))</f>
        <v/>
      </c>
      <c r="AI197" s="4">
        <f>IF(OR($B197="",I197=""),"",--(I197=$B197))</f>
        <v/>
      </c>
      <c r="AJ197" s="4">
        <f>IF(OR($B197="",I197=""),"",IF($B197=1,--(I197=1),""))</f>
        <v/>
      </c>
      <c r="AK197" s="4">
        <f>IF(OR($B197="",I197=""),"",IF($B197=0,--(I197=0),""))</f>
        <v/>
      </c>
      <c r="AL197" s="4">
        <f>IF(I197="","",--(I197=1))</f>
        <v/>
      </c>
      <c r="AM197" s="4">
        <f>IF(OR($B197="",J197=""),"",--(J197=$B197))</f>
        <v/>
      </c>
      <c r="AN197" s="4">
        <f>IF(OR($B197="",J197=""),"",IF($B197=1,--(J197=1),""))</f>
        <v/>
      </c>
      <c r="AO197" s="4">
        <f>IF(OR($B197="",J197=""),"",IF($B197=0,--(J197=0),""))</f>
        <v/>
      </c>
      <c r="AP197" s="4">
        <f>IF(J197="","",--(J197=1))</f>
        <v/>
      </c>
      <c r="AQ197" s="4">
        <f>IF(OR($B197="",K197=""),"",--(K197=$B197))</f>
        <v/>
      </c>
      <c r="AR197" s="4">
        <f>IF(OR($B197="",K197=""),"",IF($B197=1,--(K197=1),""))</f>
        <v/>
      </c>
      <c r="AS197" s="4">
        <f>IF(OR($B197="",K197=""),"",IF($B197=0,--(K197=0),""))</f>
        <v/>
      </c>
      <c r="AT197" s="4">
        <f>IF(K197="","",--(K197=1))</f>
        <v/>
      </c>
      <c r="AU197" s="4">
        <f>IF(OR($B197="",L197=""),"",--(L197=$B197))</f>
        <v/>
      </c>
      <c r="AV197" s="4">
        <f>IF(OR($B197="",L197=""),"",IF($B197=1,--(L197=1),""))</f>
        <v/>
      </c>
      <c r="AW197" s="4">
        <f>IF(OR($B197="",L197=""),"",IF($B197=0,--(L197=0),""))</f>
        <v/>
      </c>
      <c r="AX197" s="4">
        <f>IF(L197="","",--(L197=1))</f>
        <v/>
      </c>
      <c r="AY197" s="4">
        <f>IF(OR($B197="",M197=""),"",--(M197=$B197))</f>
        <v/>
      </c>
      <c r="AZ197" s="4">
        <f>IF(OR($B197="",M197=""),"",IF($B197=1,--(M197=1),""))</f>
        <v/>
      </c>
      <c r="BA197" s="4">
        <f>IF(OR($B197="",M197=""),"",IF($B197=0,--(M197=0),""))</f>
        <v/>
      </c>
      <c r="BB197" s="4">
        <f>IF(M197="","",--(M197=1))</f>
        <v/>
      </c>
      <c r="BC197" s="4">
        <f>IF(OR($B197="",N197=""),"",--(N197=$B197))</f>
        <v/>
      </c>
      <c r="BD197" s="4">
        <f>IF(OR($B197="",N197=""),"",IF($B197=1,--(N197=1),""))</f>
        <v/>
      </c>
      <c r="BE197" s="4">
        <f>IF(OR($B197="",N197=""),"",IF($B197=0,--(N197=0),""))</f>
        <v/>
      </c>
      <c r="BF197" s="4">
        <f>IF(N197="","",--(N197=1))</f>
        <v/>
      </c>
    </row>
    <row r="198">
      <c r="A198" s="3" t="inlineStr">
        <is>
          <t>202115837</t>
        </is>
      </c>
      <c r="B198" s="3" t="inlineStr">
        <is>
          <t>1</t>
        </is>
      </c>
      <c r="C198" s="3" t="inlineStr">
        <is>
          <t>Direct</t>
        </is>
      </c>
      <c r="D198" s="3" t="inlineStr">
        <is>
          <t>1</t>
        </is>
      </c>
      <c r="E198" s="3" t="inlineStr">
        <is>
          <t>1</t>
        </is>
      </c>
      <c r="F198" s="3" t="inlineStr">
        <is>
          <t>1</t>
        </is>
      </c>
      <c r="G198" s="3" t="inlineStr">
        <is>
          <t>1</t>
        </is>
      </c>
      <c r="H198" s="3" t="inlineStr">
        <is>
          <t>1</t>
        </is>
      </c>
      <c r="I198" s="3" t="inlineStr">
        <is>
          <t>1</t>
        </is>
      </c>
      <c r="J198" s="3" t="inlineStr">
        <is>
          <t>1</t>
        </is>
      </c>
      <c r="K198" s="3" t="inlineStr">
        <is>
          <t>1</t>
        </is>
      </c>
      <c r="L198" s="3" t="inlineStr">
        <is>
          <t>1</t>
        </is>
      </c>
      <c r="M198" s="3" t="inlineStr">
        <is>
          <t>1</t>
        </is>
      </c>
      <c r="N198" s="3" t="inlineStr">
        <is>
          <t>1</t>
        </is>
      </c>
      <c r="O198" s="4">
        <f>IF(OR($B198="",D198=""),"",--(D198=$B198))</f>
        <v/>
      </c>
      <c r="P198" s="4">
        <f>IF(OR($B198="",D198=""),"",IF($B198=1,--(D198=1),""))</f>
        <v/>
      </c>
      <c r="Q198" s="4">
        <f>IF(OR($B198="",D198=""),"",IF($B198=0,--(D198=0),""))</f>
        <v/>
      </c>
      <c r="R198" s="4">
        <f>IF(D198="","",--(D198=1))</f>
        <v/>
      </c>
      <c r="S198" s="4">
        <f>IF(OR($B198="",E198=""),"",--(E198=$B198))</f>
        <v/>
      </c>
      <c r="T198" s="4">
        <f>IF(OR($B198="",E198=""),"",IF($B198=1,--(E198=1),""))</f>
        <v/>
      </c>
      <c r="U198" s="4">
        <f>IF(OR($B198="",E198=""),"",IF($B198=0,--(E198=0),""))</f>
        <v/>
      </c>
      <c r="V198" s="4">
        <f>IF(E198="","",--(E198=1))</f>
        <v/>
      </c>
      <c r="W198" s="4">
        <f>IF(OR($B198="",F198=""),"",--(F198=$B198))</f>
        <v/>
      </c>
      <c r="X198" s="4">
        <f>IF(OR($B198="",F198=""),"",IF($B198=1,--(F198=1),""))</f>
        <v/>
      </c>
      <c r="Y198" s="4">
        <f>IF(OR($B198="",F198=""),"",IF($B198=0,--(F198=0),""))</f>
        <v/>
      </c>
      <c r="Z198" s="4">
        <f>IF(F198="","",--(F198=1))</f>
        <v/>
      </c>
      <c r="AA198" s="4">
        <f>IF(OR($B198="",G198=""),"",--(G198=$B198))</f>
        <v/>
      </c>
      <c r="AB198" s="4">
        <f>IF(OR($B198="",G198=""),"",IF($B198=1,--(G198=1),""))</f>
        <v/>
      </c>
      <c r="AC198" s="4">
        <f>IF(OR($B198="",G198=""),"",IF($B198=0,--(G198=0),""))</f>
        <v/>
      </c>
      <c r="AD198" s="4">
        <f>IF(G198="","",--(G198=1))</f>
        <v/>
      </c>
      <c r="AE198" s="4">
        <f>IF(OR($B198="",H198=""),"",--(H198=$B198))</f>
        <v/>
      </c>
      <c r="AF198" s="4">
        <f>IF(OR($B198="",H198=""),"",IF($B198=1,--(H198=1),""))</f>
        <v/>
      </c>
      <c r="AG198" s="4">
        <f>IF(OR($B198="",H198=""),"",IF($B198=0,--(H198=0),""))</f>
        <v/>
      </c>
      <c r="AH198" s="4">
        <f>IF(H198="","",--(H198=1))</f>
        <v/>
      </c>
      <c r="AI198" s="4">
        <f>IF(OR($B198="",I198=""),"",--(I198=$B198))</f>
        <v/>
      </c>
      <c r="AJ198" s="4">
        <f>IF(OR($B198="",I198=""),"",IF($B198=1,--(I198=1),""))</f>
        <v/>
      </c>
      <c r="AK198" s="4">
        <f>IF(OR($B198="",I198=""),"",IF($B198=0,--(I198=0),""))</f>
        <v/>
      </c>
      <c r="AL198" s="4">
        <f>IF(I198="","",--(I198=1))</f>
        <v/>
      </c>
      <c r="AM198" s="4">
        <f>IF(OR($B198="",J198=""),"",--(J198=$B198))</f>
        <v/>
      </c>
      <c r="AN198" s="4">
        <f>IF(OR($B198="",J198=""),"",IF($B198=1,--(J198=1),""))</f>
        <v/>
      </c>
      <c r="AO198" s="4">
        <f>IF(OR($B198="",J198=""),"",IF($B198=0,--(J198=0),""))</f>
        <v/>
      </c>
      <c r="AP198" s="4">
        <f>IF(J198="","",--(J198=1))</f>
        <v/>
      </c>
      <c r="AQ198" s="4">
        <f>IF(OR($B198="",K198=""),"",--(K198=$B198))</f>
        <v/>
      </c>
      <c r="AR198" s="4">
        <f>IF(OR($B198="",K198=""),"",IF($B198=1,--(K198=1),""))</f>
        <v/>
      </c>
      <c r="AS198" s="4">
        <f>IF(OR($B198="",K198=""),"",IF($B198=0,--(K198=0),""))</f>
        <v/>
      </c>
      <c r="AT198" s="4">
        <f>IF(K198="","",--(K198=1))</f>
        <v/>
      </c>
      <c r="AU198" s="4">
        <f>IF(OR($B198="",L198=""),"",--(L198=$B198))</f>
        <v/>
      </c>
      <c r="AV198" s="4">
        <f>IF(OR($B198="",L198=""),"",IF($B198=1,--(L198=1),""))</f>
        <v/>
      </c>
      <c r="AW198" s="4">
        <f>IF(OR($B198="",L198=""),"",IF($B198=0,--(L198=0),""))</f>
        <v/>
      </c>
      <c r="AX198" s="4">
        <f>IF(L198="","",--(L198=1))</f>
        <v/>
      </c>
      <c r="AY198" s="4">
        <f>IF(OR($B198="",M198=""),"",--(M198=$B198))</f>
        <v/>
      </c>
      <c r="AZ198" s="4">
        <f>IF(OR($B198="",M198=""),"",IF($B198=1,--(M198=1),""))</f>
        <v/>
      </c>
      <c r="BA198" s="4">
        <f>IF(OR($B198="",M198=""),"",IF($B198=0,--(M198=0),""))</f>
        <v/>
      </c>
      <c r="BB198" s="4">
        <f>IF(M198="","",--(M198=1))</f>
        <v/>
      </c>
      <c r="BC198" s="4">
        <f>IF(OR($B198="",N198=""),"",--(N198=$B198))</f>
        <v/>
      </c>
      <c r="BD198" s="4">
        <f>IF(OR($B198="",N198=""),"",IF($B198=1,--(N198=1),""))</f>
        <v/>
      </c>
      <c r="BE198" s="4">
        <f>IF(OR($B198="",N198=""),"",IF($B198=0,--(N198=0),""))</f>
        <v/>
      </c>
      <c r="BF198" s="4">
        <f>IF(N198="","",--(N198=1))</f>
        <v/>
      </c>
    </row>
    <row r="199">
      <c r="A199" s="3" t="inlineStr">
        <is>
          <t>202115899</t>
        </is>
      </c>
      <c r="B199" s="3" t="inlineStr">
        <is>
          <t>0</t>
        </is>
      </c>
      <c r="C199" s="3" t="inlineStr">
        <is>
          <t>Direct</t>
        </is>
      </c>
      <c r="D199" s="3" t="inlineStr">
        <is>
          <t>1</t>
        </is>
      </c>
      <c r="E199" s="3" t="inlineStr">
        <is>
          <t>0</t>
        </is>
      </c>
      <c r="F199" s="3" t="inlineStr">
        <is>
          <t>0</t>
        </is>
      </c>
      <c r="G199" s="3" t="inlineStr">
        <is>
          <t>0</t>
        </is>
      </c>
      <c r="H199" s="3" t="inlineStr">
        <is>
          <t>0</t>
        </is>
      </c>
      <c r="I199" s="3" t="inlineStr">
        <is>
          <t>0</t>
        </is>
      </c>
      <c r="J199" s="3" t="inlineStr">
        <is>
          <t>0</t>
        </is>
      </c>
      <c r="K199" s="3" t="inlineStr">
        <is>
          <t>0</t>
        </is>
      </c>
      <c r="L199" s="3" t="inlineStr">
        <is>
          <t>0</t>
        </is>
      </c>
      <c r="M199" s="3" t="inlineStr">
        <is>
          <t>0</t>
        </is>
      </c>
      <c r="N199" s="3" t="inlineStr">
        <is>
          <t>1</t>
        </is>
      </c>
      <c r="O199" s="4">
        <f>IF(OR($B199="",D199=""),"",--(D199=$B199))</f>
        <v/>
      </c>
      <c r="P199" s="4">
        <f>IF(OR($B199="",D199=""),"",IF($B199=1,--(D199=1),""))</f>
        <v/>
      </c>
      <c r="Q199" s="4">
        <f>IF(OR($B199="",D199=""),"",IF($B199=0,--(D199=0),""))</f>
        <v/>
      </c>
      <c r="R199" s="4">
        <f>IF(D199="","",--(D199=1))</f>
        <v/>
      </c>
      <c r="S199" s="4">
        <f>IF(OR($B199="",E199=""),"",--(E199=$B199))</f>
        <v/>
      </c>
      <c r="T199" s="4">
        <f>IF(OR($B199="",E199=""),"",IF($B199=1,--(E199=1),""))</f>
        <v/>
      </c>
      <c r="U199" s="4">
        <f>IF(OR($B199="",E199=""),"",IF($B199=0,--(E199=0),""))</f>
        <v/>
      </c>
      <c r="V199" s="4">
        <f>IF(E199="","",--(E199=1))</f>
        <v/>
      </c>
      <c r="W199" s="4">
        <f>IF(OR($B199="",F199=""),"",--(F199=$B199))</f>
        <v/>
      </c>
      <c r="X199" s="4">
        <f>IF(OR($B199="",F199=""),"",IF($B199=1,--(F199=1),""))</f>
        <v/>
      </c>
      <c r="Y199" s="4">
        <f>IF(OR($B199="",F199=""),"",IF($B199=0,--(F199=0),""))</f>
        <v/>
      </c>
      <c r="Z199" s="4">
        <f>IF(F199="","",--(F199=1))</f>
        <v/>
      </c>
      <c r="AA199" s="4">
        <f>IF(OR($B199="",G199=""),"",--(G199=$B199))</f>
        <v/>
      </c>
      <c r="AB199" s="4">
        <f>IF(OR($B199="",G199=""),"",IF($B199=1,--(G199=1),""))</f>
        <v/>
      </c>
      <c r="AC199" s="4">
        <f>IF(OR($B199="",G199=""),"",IF($B199=0,--(G199=0),""))</f>
        <v/>
      </c>
      <c r="AD199" s="4">
        <f>IF(G199="","",--(G199=1))</f>
        <v/>
      </c>
      <c r="AE199" s="4">
        <f>IF(OR($B199="",H199=""),"",--(H199=$B199))</f>
        <v/>
      </c>
      <c r="AF199" s="4">
        <f>IF(OR($B199="",H199=""),"",IF($B199=1,--(H199=1),""))</f>
        <v/>
      </c>
      <c r="AG199" s="4">
        <f>IF(OR($B199="",H199=""),"",IF($B199=0,--(H199=0),""))</f>
        <v/>
      </c>
      <c r="AH199" s="4">
        <f>IF(H199="","",--(H199=1))</f>
        <v/>
      </c>
      <c r="AI199" s="4">
        <f>IF(OR($B199="",I199=""),"",--(I199=$B199))</f>
        <v/>
      </c>
      <c r="AJ199" s="4">
        <f>IF(OR($B199="",I199=""),"",IF($B199=1,--(I199=1),""))</f>
        <v/>
      </c>
      <c r="AK199" s="4">
        <f>IF(OR($B199="",I199=""),"",IF($B199=0,--(I199=0),""))</f>
        <v/>
      </c>
      <c r="AL199" s="4">
        <f>IF(I199="","",--(I199=1))</f>
        <v/>
      </c>
      <c r="AM199" s="4">
        <f>IF(OR($B199="",J199=""),"",--(J199=$B199))</f>
        <v/>
      </c>
      <c r="AN199" s="4">
        <f>IF(OR($B199="",J199=""),"",IF($B199=1,--(J199=1),""))</f>
        <v/>
      </c>
      <c r="AO199" s="4">
        <f>IF(OR($B199="",J199=""),"",IF($B199=0,--(J199=0),""))</f>
        <v/>
      </c>
      <c r="AP199" s="4">
        <f>IF(J199="","",--(J199=1))</f>
        <v/>
      </c>
      <c r="AQ199" s="4">
        <f>IF(OR($B199="",K199=""),"",--(K199=$B199))</f>
        <v/>
      </c>
      <c r="AR199" s="4">
        <f>IF(OR($B199="",K199=""),"",IF($B199=1,--(K199=1),""))</f>
        <v/>
      </c>
      <c r="AS199" s="4">
        <f>IF(OR($B199="",K199=""),"",IF($B199=0,--(K199=0),""))</f>
        <v/>
      </c>
      <c r="AT199" s="4">
        <f>IF(K199="","",--(K199=1))</f>
        <v/>
      </c>
      <c r="AU199" s="4">
        <f>IF(OR($B199="",L199=""),"",--(L199=$B199))</f>
        <v/>
      </c>
      <c r="AV199" s="4">
        <f>IF(OR($B199="",L199=""),"",IF($B199=1,--(L199=1),""))</f>
        <v/>
      </c>
      <c r="AW199" s="4">
        <f>IF(OR($B199="",L199=""),"",IF($B199=0,--(L199=0),""))</f>
        <v/>
      </c>
      <c r="AX199" s="4">
        <f>IF(L199="","",--(L199=1))</f>
        <v/>
      </c>
      <c r="AY199" s="4">
        <f>IF(OR($B199="",M199=""),"",--(M199=$B199))</f>
        <v/>
      </c>
      <c r="AZ199" s="4">
        <f>IF(OR($B199="",M199=""),"",IF($B199=1,--(M199=1),""))</f>
        <v/>
      </c>
      <c r="BA199" s="4">
        <f>IF(OR($B199="",M199=""),"",IF($B199=0,--(M199=0),""))</f>
        <v/>
      </c>
      <c r="BB199" s="4">
        <f>IF(M199="","",--(M199=1))</f>
        <v/>
      </c>
      <c r="BC199" s="4">
        <f>IF(OR($B199="",N199=""),"",--(N199=$B199))</f>
        <v/>
      </c>
      <c r="BD199" s="4">
        <f>IF(OR($B199="",N199=""),"",IF($B199=1,--(N199=1),""))</f>
        <v/>
      </c>
      <c r="BE199" s="4">
        <f>IF(OR($B199="",N199=""),"",IF($B199=0,--(N199=0),""))</f>
        <v/>
      </c>
      <c r="BF199" s="4">
        <f>IF(N199="","",--(N199=1))</f>
        <v/>
      </c>
    </row>
    <row r="200">
      <c r="A200" s="3" t="inlineStr">
        <is>
          <t>202117364</t>
        </is>
      </c>
      <c r="B200" s="3" t="inlineStr">
        <is>
          <t>1</t>
        </is>
      </c>
      <c r="C200" s="3" t="inlineStr">
        <is>
          <t>Direct</t>
        </is>
      </c>
      <c r="D200" s="3" t="inlineStr">
        <is>
          <t>1</t>
        </is>
      </c>
      <c r="E200" s="3" t="inlineStr">
        <is>
          <t>1</t>
        </is>
      </c>
      <c r="F200" s="3" t="inlineStr">
        <is>
          <t>1</t>
        </is>
      </c>
      <c r="G200" s="3" t="inlineStr">
        <is>
          <t>1</t>
        </is>
      </c>
      <c r="H200" s="3" t="inlineStr">
        <is>
          <t>1</t>
        </is>
      </c>
      <c r="I200" s="3" t="inlineStr">
        <is>
          <t>1</t>
        </is>
      </c>
      <c r="J200" s="3" t="inlineStr">
        <is>
          <t>1</t>
        </is>
      </c>
      <c r="K200" s="3" t="inlineStr">
        <is>
          <t>1</t>
        </is>
      </c>
      <c r="L200" s="3" t="inlineStr">
        <is>
          <t>1</t>
        </is>
      </c>
      <c r="M200" s="3" t="inlineStr">
        <is>
          <t>1</t>
        </is>
      </c>
      <c r="N200" s="3" t="inlineStr">
        <is>
          <t>1</t>
        </is>
      </c>
      <c r="O200" s="4">
        <f>IF(OR($B200="",D200=""),"",--(D200=$B200))</f>
        <v/>
      </c>
      <c r="P200" s="4">
        <f>IF(OR($B200="",D200=""),"",IF($B200=1,--(D200=1),""))</f>
        <v/>
      </c>
      <c r="Q200" s="4">
        <f>IF(OR($B200="",D200=""),"",IF($B200=0,--(D200=0),""))</f>
        <v/>
      </c>
      <c r="R200" s="4">
        <f>IF(D200="","",--(D200=1))</f>
        <v/>
      </c>
      <c r="S200" s="4">
        <f>IF(OR($B200="",E200=""),"",--(E200=$B200))</f>
        <v/>
      </c>
      <c r="T200" s="4">
        <f>IF(OR($B200="",E200=""),"",IF($B200=1,--(E200=1),""))</f>
        <v/>
      </c>
      <c r="U200" s="4">
        <f>IF(OR($B200="",E200=""),"",IF($B200=0,--(E200=0),""))</f>
        <v/>
      </c>
      <c r="V200" s="4">
        <f>IF(E200="","",--(E200=1))</f>
        <v/>
      </c>
      <c r="W200" s="4">
        <f>IF(OR($B200="",F200=""),"",--(F200=$B200))</f>
        <v/>
      </c>
      <c r="X200" s="4">
        <f>IF(OR($B200="",F200=""),"",IF($B200=1,--(F200=1),""))</f>
        <v/>
      </c>
      <c r="Y200" s="4">
        <f>IF(OR($B200="",F200=""),"",IF($B200=0,--(F200=0),""))</f>
        <v/>
      </c>
      <c r="Z200" s="4">
        <f>IF(F200="","",--(F200=1))</f>
        <v/>
      </c>
      <c r="AA200" s="4">
        <f>IF(OR($B200="",G200=""),"",--(G200=$B200))</f>
        <v/>
      </c>
      <c r="AB200" s="4">
        <f>IF(OR($B200="",G200=""),"",IF($B200=1,--(G200=1),""))</f>
        <v/>
      </c>
      <c r="AC200" s="4">
        <f>IF(OR($B200="",G200=""),"",IF($B200=0,--(G200=0),""))</f>
        <v/>
      </c>
      <c r="AD200" s="4">
        <f>IF(G200="","",--(G200=1))</f>
        <v/>
      </c>
      <c r="AE200" s="4">
        <f>IF(OR($B200="",H200=""),"",--(H200=$B200))</f>
        <v/>
      </c>
      <c r="AF200" s="4">
        <f>IF(OR($B200="",H200=""),"",IF($B200=1,--(H200=1),""))</f>
        <v/>
      </c>
      <c r="AG200" s="4">
        <f>IF(OR($B200="",H200=""),"",IF($B200=0,--(H200=0),""))</f>
        <v/>
      </c>
      <c r="AH200" s="4">
        <f>IF(H200="","",--(H200=1))</f>
        <v/>
      </c>
      <c r="AI200" s="4">
        <f>IF(OR($B200="",I200=""),"",--(I200=$B200))</f>
        <v/>
      </c>
      <c r="AJ200" s="4">
        <f>IF(OR($B200="",I200=""),"",IF($B200=1,--(I200=1),""))</f>
        <v/>
      </c>
      <c r="AK200" s="4">
        <f>IF(OR($B200="",I200=""),"",IF($B200=0,--(I200=0),""))</f>
        <v/>
      </c>
      <c r="AL200" s="4">
        <f>IF(I200="","",--(I200=1))</f>
        <v/>
      </c>
      <c r="AM200" s="4">
        <f>IF(OR($B200="",J200=""),"",--(J200=$B200))</f>
        <v/>
      </c>
      <c r="AN200" s="4">
        <f>IF(OR($B200="",J200=""),"",IF($B200=1,--(J200=1),""))</f>
        <v/>
      </c>
      <c r="AO200" s="4">
        <f>IF(OR($B200="",J200=""),"",IF($B200=0,--(J200=0),""))</f>
        <v/>
      </c>
      <c r="AP200" s="4">
        <f>IF(J200="","",--(J200=1))</f>
        <v/>
      </c>
      <c r="AQ200" s="4">
        <f>IF(OR($B200="",K200=""),"",--(K200=$B200))</f>
        <v/>
      </c>
      <c r="AR200" s="4">
        <f>IF(OR($B200="",K200=""),"",IF($B200=1,--(K200=1),""))</f>
        <v/>
      </c>
      <c r="AS200" s="4">
        <f>IF(OR($B200="",K200=""),"",IF($B200=0,--(K200=0),""))</f>
        <v/>
      </c>
      <c r="AT200" s="4">
        <f>IF(K200="","",--(K200=1))</f>
        <v/>
      </c>
      <c r="AU200" s="4">
        <f>IF(OR($B200="",L200=""),"",--(L200=$B200))</f>
        <v/>
      </c>
      <c r="AV200" s="4">
        <f>IF(OR($B200="",L200=""),"",IF($B200=1,--(L200=1),""))</f>
        <v/>
      </c>
      <c r="AW200" s="4">
        <f>IF(OR($B200="",L200=""),"",IF($B200=0,--(L200=0),""))</f>
        <v/>
      </c>
      <c r="AX200" s="4">
        <f>IF(L200="","",--(L200=1))</f>
        <v/>
      </c>
      <c r="AY200" s="4">
        <f>IF(OR($B200="",M200=""),"",--(M200=$B200))</f>
        <v/>
      </c>
      <c r="AZ200" s="4">
        <f>IF(OR($B200="",M200=""),"",IF($B200=1,--(M200=1),""))</f>
        <v/>
      </c>
      <c r="BA200" s="4">
        <f>IF(OR($B200="",M200=""),"",IF($B200=0,--(M200=0),""))</f>
        <v/>
      </c>
      <c r="BB200" s="4">
        <f>IF(M200="","",--(M200=1))</f>
        <v/>
      </c>
      <c r="BC200" s="4">
        <f>IF(OR($B200="",N200=""),"",--(N200=$B200))</f>
        <v/>
      </c>
      <c r="BD200" s="4">
        <f>IF(OR($B200="",N200=""),"",IF($B200=1,--(N200=1),""))</f>
        <v/>
      </c>
      <c r="BE200" s="4">
        <f>IF(OR($B200="",N200=""),"",IF($B200=0,--(N200=0),""))</f>
        <v/>
      </c>
      <c r="BF200" s="4">
        <f>IF(N200="","",--(N200=1))</f>
        <v/>
      </c>
    </row>
    <row r="201">
      <c r="A201" s="3" t="inlineStr">
        <is>
          <t>202117465</t>
        </is>
      </c>
      <c r="B201" s="3" t="inlineStr">
        <is>
          <t>1</t>
        </is>
      </c>
      <c r="C201" s="3" t="inlineStr">
        <is>
          <t>Direct</t>
        </is>
      </c>
      <c r="D201" s="3" t="inlineStr">
        <is>
          <t>1</t>
        </is>
      </c>
      <c r="E201" s="3" t="inlineStr">
        <is>
          <t>0</t>
        </is>
      </c>
      <c r="F201" s="3" t="inlineStr">
        <is>
          <t>0</t>
        </is>
      </c>
      <c r="G201" s="3" t="inlineStr">
        <is>
          <t>1</t>
        </is>
      </c>
      <c r="H201" s="3" t="inlineStr">
        <is>
          <t>0</t>
        </is>
      </c>
      <c r="I201" s="3" t="inlineStr">
        <is>
          <t>0</t>
        </is>
      </c>
      <c r="J201" s="3" t="inlineStr">
        <is>
          <t>0</t>
        </is>
      </c>
      <c r="K201" s="3" t="inlineStr">
        <is>
          <t>1</t>
        </is>
      </c>
      <c r="L201" s="3" t="inlineStr">
        <is>
          <t>0</t>
        </is>
      </c>
      <c r="M201" s="3" t="inlineStr">
        <is>
          <t>0</t>
        </is>
      </c>
      <c r="N201" s="3" t="inlineStr">
        <is>
          <t>1</t>
        </is>
      </c>
      <c r="O201" s="4">
        <f>IF(OR($B201="",D201=""),"",--(D201=$B201))</f>
        <v/>
      </c>
      <c r="P201" s="4">
        <f>IF(OR($B201="",D201=""),"",IF($B201=1,--(D201=1),""))</f>
        <v/>
      </c>
      <c r="Q201" s="4">
        <f>IF(OR($B201="",D201=""),"",IF($B201=0,--(D201=0),""))</f>
        <v/>
      </c>
      <c r="R201" s="4">
        <f>IF(D201="","",--(D201=1))</f>
        <v/>
      </c>
      <c r="S201" s="4">
        <f>IF(OR($B201="",E201=""),"",--(E201=$B201))</f>
        <v/>
      </c>
      <c r="T201" s="4">
        <f>IF(OR($B201="",E201=""),"",IF($B201=1,--(E201=1),""))</f>
        <v/>
      </c>
      <c r="U201" s="4">
        <f>IF(OR($B201="",E201=""),"",IF($B201=0,--(E201=0),""))</f>
        <v/>
      </c>
      <c r="V201" s="4">
        <f>IF(E201="","",--(E201=1))</f>
        <v/>
      </c>
      <c r="W201" s="4">
        <f>IF(OR($B201="",F201=""),"",--(F201=$B201))</f>
        <v/>
      </c>
      <c r="X201" s="4">
        <f>IF(OR($B201="",F201=""),"",IF($B201=1,--(F201=1),""))</f>
        <v/>
      </c>
      <c r="Y201" s="4">
        <f>IF(OR($B201="",F201=""),"",IF($B201=0,--(F201=0),""))</f>
        <v/>
      </c>
      <c r="Z201" s="4">
        <f>IF(F201="","",--(F201=1))</f>
        <v/>
      </c>
      <c r="AA201" s="4">
        <f>IF(OR($B201="",G201=""),"",--(G201=$B201))</f>
        <v/>
      </c>
      <c r="AB201" s="4">
        <f>IF(OR($B201="",G201=""),"",IF($B201=1,--(G201=1),""))</f>
        <v/>
      </c>
      <c r="AC201" s="4">
        <f>IF(OR($B201="",G201=""),"",IF($B201=0,--(G201=0),""))</f>
        <v/>
      </c>
      <c r="AD201" s="4">
        <f>IF(G201="","",--(G201=1))</f>
        <v/>
      </c>
      <c r="AE201" s="4">
        <f>IF(OR($B201="",H201=""),"",--(H201=$B201))</f>
        <v/>
      </c>
      <c r="AF201" s="4">
        <f>IF(OR($B201="",H201=""),"",IF($B201=1,--(H201=1),""))</f>
        <v/>
      </c>
      <c r="AG201" s="4">
        <f>IF(OR($B201="",H201=""),"",IF($B201=0,--(H201=0),""))</f>
        <v/>
      </c>
      <c r="AH201" s="4">
        <f>IF(H201="","",--(H201=1))</f>
        <v/>
      </c>
      <c r="AI201" s="4">
        <f>IF(OR($B201="",I201=""),"",--(I201=$B201))</f>
        <v/>
      </c>
      <c r="AJ201" s="4">
        <f>IF(OR($B201="",I201=""),"",IF($B201=1,--(I201=1),""))</f>
        <v/>
      </c>
      <c r="AK201" s="4">
        <f>IF(OR($B201="",I201=""),"",IF($B201=0,--(I201=0),""))</f>
        <v/>
      </c>
      <c r="AL201" s="4">
        <f>IF(I201="","",--(I201=1))</f>
        <v/>
      </c>
      <c r="AM201" s="4">
        <f>IF(OR($B201="",J201=""),"",--(J201=$B201))</f>
        <v/>
      </c>
      <c r="AN201" s="4">
        <f>IF(OR($B201="",J201=""),"",IF($B201=1,--(J201=1),""))</f>
        <v/>
      </c>
      <c r="AO201" s="4">
        <f>IF(OR($B201="",J201=""),"",IF($B201=0,--(J201=0),""))</f>
        <v/>
      </c>
      <c r="AP201" s="4">
        <f>IF(J201="","",--(J201=1))</f>
        <v/>
      </c>
      <c r="AQ201" s="4">
        <f>IF(OR($B201="",K201=""),"",--(K201=$B201))</f>
        <v/>
      </c>
      <c r="AR201" s="4">
        <f>IF(OR($B201="",K201=""),"",IF($B201=1,--(K201=1),""))</f>
        <v/>
      </c>
      <c r="AS201" s="4">
        <f>IF(OR($B201="",K201=""),"",IF($B201=0,--(K201=0),""))</f>
        <v/>
      </c>
      <c r="AT201" s="4">
        <f>IF(K201="","",--(K201=1))</f>
        <v/>
      </c>
      <c r="AU201" s="4">
        <f>IF(OR($B201="",L201=""),"",--(L201=$B201))</f>
        <v/>
      </c>
      <c r="AV201" s="4">
        <f>IF(OR($B201="",L201=""),"",IF($B201=1,--(L201=1),""))</f>
        <v/>
      </c>
      <c r="AW201" s="4">
        <f>IF(OR($B201="",L201=""),"",IF($B201=0,--(L201=0),""))</f>
        <v/>
      </c>
      <c r="AX201" s="4">
        <f>IF(L201="","",--(L201=1))</f>
        <v/>
      </c>
      <c r="AY201" s="4">
        <f>IF(OR($B201="",M201=""),"",--(M201=$B201))</f>
        <v/>
      </c>
      <c r="AZ201" s="4">
        <f>IF(OR($B201="",M201=""),"",IF($B201=1,--(M201=1),""))</f>
        <v/>
      </c>
      <c r="BA201" s="4">
        <f>IF(OR($B201="",M201=""),"",IF($B201=0,--(M201=0),""))</f>
        <v/>
      </c>
      <c r="BB201" s="4">
        <f>IF(M201="","",--(M201=1))</f>
        <v/>
      </c>
      <c r="BC201" s="4">
        <f>IF(OR($B201="",N201=""),"",--(N201=$B201))</f>
        <v/>
      </c>
      <c r="BD201" s="4">
        <f>IF(OR($B201="",N201=""),"",IF($B201=1,--(N201=1),""))</f>
        <v/>
      </c>
      <c r="BE201" s="4">
        <f>IF(OR($B201="",N201=""),"",IF($B201=0,--(N201=0),""))</f>
        <v/>
      </c>
      <c r="BF201" s="4">
        <f>IF(N201="","",--(N201=1))</f>
        <v/>
      </c>
    </row>
    <row r="202">
      <c r="A202" s="3" t="inlineStr">
        <is>
          <t>202117584</t>
        </is>
      </c>
      <c r="B202" s="3" t="inlineStr">
        <is>
          <t>1</t>
        </is>
      </c>
      <c r="C202" s="3" t="inlineStr">
        <is>
          <t>Direct</t>
        </is>
      </c>
      <c r="D202" s="3" t="inlineStr">
        <is>
          <t>0</t>
        </is>
      </c>
      <c r="E202" s="3" t="inlineStr">
        <is>
          <t>0</t>
        </is>
      </c>
      <c r="F202" s="3" t="inlineStr">
        <is>
          <t>0</t>
        </is>
      </c>
      <c r="G202" s="3" t="inlineStr">
        <is>
          <t>1</t>
        </is>
      </c>
      <c r="H202" s="3" t="inlineStr">
        <is>
          <t>1</t>
        </is>
      </c>
      <c r="I202" s="3" t="inlineStr">
        <is>
          <t>1</t>
        </is>
      </c>
      <c r="J202" s="3" t="inlineStr">
        <is>
          <t>1</t>
        </is>
      </c>
      <c r="K202" s="3" t="inlineStr">
        <is>
          <t>1</t>
        </is>
      </c>
      <c r="L202" s="3" t="inlineStr">
        <is>
          <t>1</t>
        </is>
      </c>
      <c r="M202" s="3" t="inlineStr">
        <is>
          <t>1</t>
        </is>
      </c>
      <c r="N202" s="3" t="inlineStr">
        <is>
          <t>1</t>
        </is>
      </c>
      <c r="O202" s="4">
        <f>IF(OR($B202="",D202=""),"",--(D202=$B202))</f>
        <v/>
      </c>
      <c r="P202" s="4">
        <f>IF(OR($B202="",D202=""),"",IF($B202=1,--(D202=1),""))</f>
        <v/>
      </c>
      <c r="Q202" s="4">
        <f>IF(OR($B202="",D202=""),"",IF($B202=0,--(D202=0),""))</f>
        <v/>
      </c>
      <c r="R202" s="4">
        <f>IF(D202="","",--(D202=1))</f>
        <v/>
      </c>
      <c r="S202" s="4">
        <f>IF(OR($B202="",E202=""),"",--(E202=$B202))</f>
        <v/>
      </c>
      <c r="T202" s="4">
        <f>IF(OR($B202="",E202=""),"",IF($B202=1,--(E202=1),""))</f>
        <v/>
      </c>
      <c r="U202" s="4">
        <f>IF(OR($B202="",E202=""),"",IF($B202=0,--(E202=0),""))</f>
        <v/>
      </c>
      <c r="V202" s="4">
        <f>IF(E202="","",--(E202=1))</f>
        <v/>
      </c>
      <c r="W202" s="4">
        <f>IF(OR($B202="",F202=""),"",--(F202=$B202))</f>
        <v/>
      </c>
      <c r="X202" s="4">
        <f>IF(OR($B202="",F202=""),"",IF($B202=1,--(F202=1),""))</f>
        <v/>
      </c>
      <c r="Y202" s="4">
        <f>IF(OR($B202="",F202=""),"",IF($B202=0,--(F202=0),""))</f>
        <v/>
      </c>
      <c r="Z202" s="4">
        <f>IF(F202="","",--(F202=1))</f>
        <v/>
      </c>
      <c r="AA202" s="4">
        <f>IF(OR($B202="",G202=""),"",--(G202=$B202))</f>
        <v/>
      </c>
      <c r="AB202" s="4">
        <f>IF(OR($B202="",G202=""),"",IF($B202=1,--(G202=1),""))</f>
        <v/>
      </c>
      <c r="AC202" s="4">
        <f>IF(OR($B202="",G202=""),"",IF($B202=0,--(G202=0),""))</f>
        <v/>
      </c>
      <c r="AD202" s="4">
        <f>IF(G202="","",--(G202=1))</f>
        <v/>
      </c>
      <c r="AE202" s="4">
        <f>IF(OR($B202="",H202=""),"",--(H202=$B202))</f>
        <v/>
      </c>
      <c r="AF202" s="4">
        <f>IF(OR($B202="",H202=""),"",IF($B202=1,--(H202=1),""))</f>
        <v/>
      </c>
      <c r="AG202" s="4">
        <f>IF(OR($B202="",H202=""),"",IF($B202=0,--(H202=0),""))</f>
        <v/>
      </c>
      <c r="AH202" s="4">
        <f>IF(H202="","",--(H202=1))</f>
        <v/>
      </c>
      <c r="AI202" s="4">
        <f>IF(OR($B202="",I202=""),"",--(I202=$B202))</f>
        <v/>
      </c>
      <c r="AJ202" s="4">
        <f>IF(OR($B202="",I202=""),"",IF($B202=1,--(I202=1),""))</f>
        <v/>
      </c>
      <c r="AK202" s="4">
        <f>IF(OR($B202="",I202=""),"",IF($B202=0,--(I202=0),""))</f>
        <v/>
      </c>
      <c r="AL202" s="4">
        <f>IF(I202="","",--(I202=1))</f>
        <v/>
      </c>
      <c r="AM202" s="4">
        <f>IF(OR($B202="",J202=""),"",--(J202=$B202))</f>
        <v/>
      </c>
      <c r="AN202" s="4">
        <f>IF(OR($B202="",J202=""),"",IF($B202=1,--(J202=1),""))</f>
        <v/>
      </c>
      <c r="AO202" s="4">
        <f>IF(OR($B202="",J202=""),"",IF($B202=0,--(J202=0),""))</f>
        <v/>
      </c>
      <c r="AP202" s="4">
        <f>IF(J202="","",--(J202=1))</f>
        <v/>
      </c>
      <c r="AQ202" s="4">
        <f>IF(OR($B202="",K202=""),"",--(K202=$B202))</f>
        <v/>
      </c>
      <c r="AR202" s="4">
        <f>IF(OR($B202="",K202=""),"",IF($B202=1,--(K202=1),""))</f>
        <v/>
      </c>
      <c r="AS202" s="4">
        <f>IF(OR($B202="",K202=""),"",IF($B202=0,--(K202=0),""))</f>
        <v/>
      </c>
      <c r="AT202" s="4">
        <f>IF(K202="","",--(K202=1))</f>
        <v/>
      </c>
      <c r="AU202" s="4">
        <f>IF(OR($B202="",L202=""),"",--(L202=$B202))</f>
        <v/>
      </c>
      <c r="AV202" s="4">
        <f>IF(OR($B202="",L202=""),"",IF($B202=1,--(L202=1),""))</f>
        <v/>
      </c>
      <c r="AW202" s="4">
        <f>IF(OR($B202="",L202=""),"",IF($B202=0,--(L202=0),""))</f>
        <v/>
      </c>
      <c r="AX202" s="4">
        <f>IF(L202="","",--(L202=1))</f>
        <v/>
      </c>
      <c r="AY202" s="4">
        <f>IF(OR($B202="",M202=""),"",--(M202=$B202))</f>
        <v/>
      </c>
      <c r="AZ202" s="4">
        <f>IF(OR($B202="",M202=""),"",IF($B202=1,--(M202=1),""))</f>
        <v/>
      </c>
      <c r="BA202" s="4">
        <f>IF(OR($B202="",M202=""),"",IF($B202=0,--(M202=0),""))</f>
        <v/>
      </c>
      <c r="BB202" s="4">
        <f>IF(M202="","",--(M202=1))</f>
        <v/>
      </c>
      <c r="BC202" s="4">
        <f>IF(OR($B202="",N202=""),"",--(N202=$B202))</f>
        <v/>
      </c>
      <c r="BD202" s="4">
        <f>IF(OR($B202="",N202=""),"",IF($B202=1,--(N202=1),""))</f>
        <v/>
      </c>
      <c r="BE202" s="4">
        <f>IF(OR($B202="",N202=""),"",IF($B202=0,--(N202=0),""))</f>
        <v/>
      </c>
      <c r="BF202" s="4">
        <f>IF(N202="","",--(N202=1))</f>
        <v/>
      </c>
    </row>
    <row r="203">
      <c r="A203" s="3" t="inlineStr">
        <is>
          <t>20211782</t>
        </is>
      </c>
      <c r="B203" s="3" t="inlineStr">
        <is>
          <t>1</t>
        </is>
      </c>
      <c r="C203" s="3" t="inlineStr">
        <is>
          <t>Direct</t>
        </is>
      </c>
      <c r="D203" s="3" t="inlineStr">
        <is>
          <t>1</t>
        </is>
      </c>
      <c r="E203" s="3" t="inlineStr">
        <is>
          <t>1</t>
        </is>
      </c>
      <c r="F203" s="3" t="inlineStr">
        <is>
          <t>0</t>
        </is>
      </c>
      <c r="G203" s="3" t="inlineStr">
        <is>
          <t>1</t>
        </is>
      </c>
      <c r="H203" s="3" t="inlineStr">
        <is>
          <t>0</t>
        </is>
      </c>
      <c r="I203" s="3" t="inlineStr">
        <is>
          <t>1</t>
        </is>
      </c>
      <c r="J203" s="3" t="inlineStr">
        <is>
          <t>1</t>
        </is>
      </c>
      <c r="K203" s="3" t="inlineStr">
        <is>
          <t>1</t>
        </is>
      </c>
      <c r="L203" s="3" t="inlineStr">
        <is>
          <t>1</t>
        </is>
      </c>
      <c r="M203" s="3" t="inlineStr">
        <is>
          <t>1</t>
        </is>
      </c>
      <c r="N203" s="3" t="inlineStr">
        <is>
          <t>1</t>
        </is>
      </c>
      <c r="O203" s="4">
        <f>IF(OR($B203="",D203=""),"",--(D203=$B203))</f>
        <v/>
      </c>
      <c r="P203" s="4">
        <f>IF(OR($B203="",D203=""),"",IF($B203=1,--(D203=1),""))</f>
        <v/>
      </c>
      <c r="Q203" s="4">
        <f>IF(OR($B203="",D203=""),"",IF($B203=0,--(D203=0),""))</f>
        <v/>
      </c>
      <c r="R203" s="4">
        <f>IF(D203="","",--(D203=1))</f>
        <v/>
      </c>
      <c r="S203" s="4">
        <f>IF(OR($B203="",E203=""),"",--(E203=$B203))</f>
        <v/>
      </c>
      <c r="T203" s="4">
        <f>IF(OR($B203="",E203=""),"",IF($B203=1,--(E203=1),""))</f>
        <v/>
      </c>
      <c r="U203" s="4">
        <f>IF(OR($B203="",E203=""),"",IF($B203=0,--(E203=0),""))</f>
        <v/>
      </c>
      <c r="V203" s="4">
        <f>IF(E203="","",--(E203=1))</f>
        <v/>
      </c>
      <c r="W203" s="4">
        <f>IF(OR($B203="",F203=""),"",--(F203=$B203))</f>
        <v/>
      </c>
      <c r="X203" s="4">
        <f>IF(OR($B203="",F203=""),"",IF($B203=1,--(F203=1),""))</f>
        <v/>
      </c>
      <c r="Y203" s="4">
        <f>IF(OR($B203="",F203=""),"",IF($B203=0,--(F203=0),""))</f>
        <v/>
      </c>
      <c r="Z203" s="4">
        <f>IF(F203="","",--(F203=1))</f>
        <v/>
      </c>
      <c r="AA203" s="4">
        <f>IF(OR($B203="",G203=""),"",--(G203=$B203))</f>
        <v/>
      </c>
      <c r="AB203" s="4">
        <f>IF(OR($B203="",G203=""),"",IF($B203=1,--(G203=1),""))</f>
        <v/>
      </c>
      <c r="AC203" s="4">
        <f>IF(OR($B203="",G203=""),"",IF($B203=0,--(G203=0),""))</f>
        <v/>
      </c>
      <c r="AD203" s="4">
        <f>IF(G203="","",--(G203=1))</f>
        <v/>
      </c>
      <c r="AE203" s="4">
        <f>IF(OR($B203="",H203=""),"",--(H203=$B203))</f>
        <v/>
      </c>
      <c r="AF203" s="4">
        <f>IF(OR($B203="",H203=""),"",IF($B203=1,--(H203=1),""))</f>
        <v/>
      </c>
      <c r="AG203" s="4">
        <f>IF(OR($B203="",H203=""),"",IF($B203=0,--(H203=0),""))</f>
        <v/>
      </c>
      <c r="AH203" s="4">
        <f>IF(H203="","",--(H203=1))</f>
        <v/>
      </c>
      <c r="AI203" s="4">
        <f>IF(OR($B203="",I203=""),"",--(I203=$B203))</f>
        <v/>
      </c>
      <c r="AJ203" s="4">
        <f>IF(OR($B203="",I203=""),"",IF($B203=1,--(I203=1),""))</f>
        <v/>
      </c>
      <c r="AK203" s="4">
        <f>IF(OR($B203="",I203=""),"",IF($B203=0,--(I203=0),""))</f>
        <v/>
      </c>
      <c r="AL203" s="4">
        <f>IF(I203="","",--(I203=1))</f>
        <v/>
      </c>
      <c r="AM203" s="4">
        <f>IF(OR($B203="",J203=""),"",--(J203=$B203))</f>
        <v/>
      </c>
      <c r="AN203" s="4">
        <f>IF(OR($B203="",J203=""),"",IF($B203=1,--(J203=1),""))</f>
        <v/>
      </c>
      <c r="AO203" s="4">
        <f>IF(OR($B203="",J203=""),"",IF($B203=0,--(J203=0),""))</f>
        <v/>
      </c>
      <c r="AP203" s="4">
        <f>IF(J203="","",--(J203=1))</f>
        <v/>
      </c>
      <c r="AQ203" s="4">
        <f>IF(OR($B203="",K203=""),"",--(K203=$B203))</f>
        <v/>
      </c>
      <c r="AR203" s="4">
        <f>IF(OR($B203="",K203=""),"",IF($B203=1,--(K203=1),""))</f>
        <v/>
      </c>
      <c r="AS203" s="4">
        <f>IF(OR($B203="",K203=""),"",IF($B203=0,--(K203=0),""))</f>
        <v/>
      </c>
      <c r="AT203" s="4">
        <f>IF(K203="","",--(K203=1))</f>
        <v/>
      </c>
      <c r="AU203" s="4">
        <f>IF(OR($B203="",L203=""),"",--(L203=$B203))</f>
        <v/>
      </c>
      <c r="AV203" s="4">
        <f>IF(OR($B203="",L203=""),"",IF($B203=1,--(L203=1),""))</f>
        <v/>
      </c>
      <c r="AW203" s="4">
        <f>IF(OR($B203="",L203=""),"",IF($B203=0,--(L203=0),""))</f>
        <v/>
      </c>
      <c r="AX203" s="4">
        <f>IF(L203="","",--(L203=1))</f>
        <v/>
      </c>
      <c r="AY203" s="4">
        <f>IF(OR($B203="",M203=""),"",--(M203=$B203))</f>
        <v/>
      </c>
      <c r="AZ203" s="4">
        <f>IF(OR($B203="",M203=""),"",IF($B203=1,--(M203=1),""))</f>
        <v/>
      </c>
      <c r="BA203" s="4">
        <f>IF(OR($B203="",M203=""),"",IF($B203=0,--(M203=0),""))</f>
        <v/>
      </c>
      <c r="BB203" s="4">
        <f>IF(M203="","",--(M203=1))</f>
        <v/>
      </c>
      <c r="BC203" s="4">
        <f>IF(OR($B203="",N203=""),"",--(N203=$B203))</f>
        <v/>
      </c>
      <c r="BD203" s="4">
        <f>IF(OR($B203="",N203=""),"",IF($B203=1,--(N203=1),""))</f>
        <v/>
      </c>
      <c r="BE203" s="4">
        <f>IF(OR($B203="",N203=""),"",IF($B203=0,--(N203=0),""))</f>
        <v/>
      </c>
      <c r="BF203" s="4">
        <f>IF(N203="","",--(N203=1))</f>
        <v/>
      </c>
    </row>
    <row r="204">
      <c r="A204" s="3" t="inlineStr">
        <is>
          <t>202117879</t>
        </is>
      </c>
      <c r="B204" s="3" t="inlineStr">
        <is>
          <t>0</t>
        </is>
      </c>
      <c r="C204" s="3" t="inlineStr">
        <is>
          <t>Direct</t>
        </is>
      </c>
      <c r="D204" s="3" t="inlineStr">
        <is>
          <t>0</t>
        </is>
      </c>
      <c r="E204" s="3" t="inlineStr">
        <is>
          <t>0</t>
        </is>
      </c>
      <c r="F204" s="3" t="inlineStr">
        <is>
          <t>0</t>
        </is>
      </c>
      <c r="G204" s="3" t="inlineStr">
        <is>
          <t>0</t>
        </is>
      </c>
      <c r="H204" s="3" t="inlineStr">
        <is>
          <t>0</t>
        </is>
      </c>
      <c r="I204" s="3" t="inlineStr">
        <is>
          <t>0</t>
        </is>
      </c>
      <c r="J204" s="3" t="inlineStr">
        <is>
          <t>1</t>
        </is>
      </c>
      <c r="K204" s="3" t="inlineStr">
        <is>
          <t>0</t>
        </is>
      </c>
      <c r="L204" s="3" t="inlineStr">
        <is>
          <t>0</t>
        </is>
      </c>
      <c r="M204" s="3" t="inlineStr">
        <is>
          <t>0</t>
        </is>
      </c>
      <c r="N204" s="3" t="inlineStr">
        <is>
          <t>0</t>
        </is>
      </c>
      <c r="O204" s="4">
        <f>IF(OR($B204="",D204=""),"",--(D204=$B204))</f>
        <v/>
      </c>
      <c r="P204" s="4">
        <f>IF(OR($B204="",D204=""),"",IF($B204=1,--(D204=1),""))</f>
        <v/>
      </c>
      <c r="Q204" s="4">
        <f>IF(OR($B204="",D204=""),"",IF($B204=0,--(D204=0),""))</f>
        <v/>
      </c>
      <c r="R204" s="4">
        <f>IF(D204="","",--(D204=1))</f>
        <v/>
      </c>
      <c r="S204" s="4">
        <f>IF(OR($B204="",E204=""),"",--(E204=$B204))</f>
        <v/>
      </c>
      <c r="T204" s="4">
        <f>IF(OR($B204="",E204=""),"",IF($B204=1,--(E204=1),""))</f>
        <v/>
      </c>
      <c r="U204" s="4">
        <f>IF(OR($B204="",E204=""),"",IF($B204=0,--(E204=0),""))</f>
        <v/>
      </c>
      <c r="V204" s="4">
        <f>IF(E204="","",--(E204=1))</f>
        <v/>
      </c>
      <c r="W204" s="4">
        <f>IF(OR($B204="",F204=""),"",--(F204=$B204))</f>
        <v/>
      </c>
      <c r="X204" s="4">
        <f>IF(OR($B204="",F204=""),"",IF($B204=1,--(F204=1),""))</f>
        <v/>
      </c>
      <c r="Y204" s="4">
        <f>IF(OR($B204="",F204=""),"",IF($B204=0,--(F204=0),""))</f>
        <v/>
      </c>
      <c r="Z204" s="4">
        <f>IF(F204="","",--(F204=1))</f>
        <v/>
      </c>
      <c r="AA204" s="4">
        <f>IF(OR($B204="",G204=""),"",--(G204=$B204))</f>
        <v/>
      </c>
      <c r="AB204" s="4">
        <f>IF(OR($B204="",G204=""),"",IF($B204=1,--(G204=1),""))</f>
        <v/>
      </c>
      <c r="AC204" s="4">
        <f>IF(OR($B204="",G204=""),"",IF($B204=0,--(G204=0),""))</f>
        <v/>
      </c>
      <c r="AD204" s="4">
        <f>IF(G204="","",--(G204=1))</f>
        <v/>
      </c>
      <c r="AE204" s="4">
        <f>IF(OR($B204="",H204=""),"",--(H204=$B204))</f>
        <v/>
      </c>
      <c r="AF204" s="4">
        <f>IF(OR($B204="",H204=""),"",IF($B204=1,--(H204=1),""))</f>
        <v/>
      </c>
      <c r="AG204" s="4">
        <f>IF(OR($B204="",H204=""),"",IF($B204=0,--(H204=0),""))</f>
        <v/>
      </c>
      <c r="AH204" s="4">
        <f>IF(H204="","",--(H204=1))</f>
        <v/>
      </c>
      <c r="AI204" s="4">
        <f>IF(OR($B204="",I204=""),"",--(I204=$B204))</f>
        <v/>
      </c>
      <c r="AJ204" s="4">
        <f>IF(OR($B204="",I204=""),"",IF($B204=1,--(I204=1),""))</f>
        <v/>
      </c>
      <c r="AK204" s="4">
        <f>IF(OR($B204="",I204=""),"",IF($B204=0,--(I204=0),""))</f>
        <v/>
      </c>
      <c r="AL204" s="4">
        <f>IF(I204="","",--(I204=1))</f>
        <v/>
      </c>
      <c r="AM204" s="4">
        <f>IF(OR($B204="",J204=""),"",--(J204=$B204))</f>
        <v/>
      </c>
      <c r="AN204" s="4">
        <f>IF(OR($B204="",J204=""),"",IF($B204=1,--(J204=1),""))</f>
        <v/>
      </c>
      <c r="AO204" s="4">
        <f>IF(OR($B204="",J204=""),"",IF($B204=0,--(J204=0),""))</f>
        <v/>
      </c>
      <c r="AP204" s="4">
        <f>IF(J204="","",--(J204=1))</f>
        <v/>
      </c>
      <c r="AQ204" s="4">
        <f>IF(OR($B204="",K204=""),"",--(K204=$B204))</f>
        <v/>
      </c>
      <c r="AR204" s="4">
        <f>IF(OR($B204="",K204=""),"",IF($B204=1,--(K204=1),""))</f>
        <v/>
      </c>
      <c r="AS204" s="4">
        <f>IF(OR($B204="",K204=""),"",IF($B204=0,--(K204=0),""))</f>
        <v/>
      </c>
      <c r="AT204" s="4">
        <f>IF(K204="","",--(K204=1))</f>
        <v/>
      </c>
      <c r="AU204" s="4">
        <f>IF(OR($B204="",L204=""),"",--(L204=$B204))</f>
        <v/>
      </c>
      <c r="AV204" s="4">
        <f>IF(OR($B204="",L204=""),"",IF($B204=1,--(L204=1),""))</f>
        <v/>
      </c>
      <c r="AW204" s="4">
        <f>IF(OR($B204="",L204=""),"",IF($B204=0,--(L204=0),""))</f>
        <v/>
      </c>
      <c r="AX204" s="4">
        <f>IF(L204="","",--(L204=1))</f>
        <v/>
      </c>
      <c r="AY204" s="4">
        <f>IF(OR($B204="",M204=""),"",--(M204=$B204))</f>
        <v/>
      </c>
      <c r="AZ204" s="4">
        <f>IF(OR($B204="",M204=""),"",IF($B204=1,--(M204=1),""))</f>
        <v/>
      </c>
      <c r="BA204" s="4">
        <f>IF(OR($B204="",M204=""),"",IF($B204=0,--(M204=0),""))</f>
        <v/>
      </c>
      <c r="BB204" s="4">
        <f>IF(M204="","",--(M204=1))</f>
        <v/>
      </c>
      <c r="BC204" s="4">
        <f>IF(OR($B204="",N204=""),"",--(N204=$B204))</f>
        <v/>
      </c>
      <c r="BD204" s="4">
        <f>IF(OR($B204="",N204=""),"",IF($B204=1,--(N204=1),""))</f>
        <v/>
      </c>
      <c r="BE204" s="4">
        <f>IF(OR($B204="",N204=""),"",IF($B204=0,--(N204=0),""))</f>
        <v/>
      </c>
      <c r="BF204" s="4">
        <f>IF(N204="","",--(N204=1))</f>
        <v/>
      </c>
    </row>
    <row r="205">
      <c r="A205" s="3" t="inlineStr">
        <is>
          <t>202117928</t>
        </is>
      </c>
      <c r="B205" s="3" t="inlineStr">
        <is>
          <t>1</t>
        </is>
      </c>
      <c r="C205" s="3" t="inlineStr">
        <is>
          <t>Direct</t>
        </is>
      </c>
      <c r="D205" s="3" t="inlineStr">
        <is>
          <t>1</t>
        </is>
      </c>
      <c r="E205" s="3" t="inlineStr">
        <is>
          <t>0</t>
        </is>
      </c>
      <c r="F205" s="3" t="inlineStr">
        <is>
          <t>1</t>
        </is>
      </c>
      <c r="G205" s="3" t="inlineStr">
        <is>
          <t>0</t>
        </is>
      </c>
      <c r="H205" s="3" t="inlineStr">
        <is>
          <t>1</t>
        </is>
      </c>
      <c r="I205" s="3" t="inlineStr">
        <is>
          <t>1</t>
        </is>
      </c>
      <c r="J205" s="3" t="inlineStr">
        <is>
          <t>1</t>
        </is>
      </c>
      <c r="K205" s="3" t="inlineStr">
        <is>
          <t>1</t>
        </is>
      </c>
      <c r="L205" s="3" t="inlineStr">
        <is>
          <t>1</t>
        </is>
      </c>
      <c r="M205" s="3" t="inlineStr">
        <is>
          <t>1</t>
        </is>
      </c>
      <c r="N205" s="3" t="inlineStr">
        <is>
          <t>1</t>
        </is>
      </c>
      <c r="O205" s="4">
        <f>IF(OR($B205="",D205=""),"",--(D205=$B205))</f>
        <v/>
      </c>
      <c r="P205" s="4">
        <f>IF(OR($B205="",D205=""),"",IF($B205=1,--(D205=1),""))</f>
        <v/>
      </c>
      <c r="Q205" s="4">
        <f>IF(OR($B205="",D205=""),"",IF($B205=0,--(D205=0),""))</f>
        <v/>
      </c>
      <c r="R205" s="4">
        <f>IF(D205="","",--(D205=1))</f>
        <v/>
      </c>
      <c r="S205" s="4">
        <f>IF(OR($B205="",E205=""),"",--(E205=$B205))</f>
        <v/>
      </c>
      <c r="T205" s="4">
        <f>IF(OR($B205="",E205=""),"",IF($B205=1,--(E205=1),""))</f>
        <v/>
      </c>
      <c r="U205" s="4">
        <f>IF(OR($B205="",E205=""),"",IF($B205=0,--(E205=0),""))</f>
        <v/>
      </c>
      <c r="V205" s="4">
        <f>IF(E205="","",--(E205=1))</f>
        <v/>
      </c>
      <c r="W205" s="4">
        <f>IF(OR($B205="",F205=""),"",--(F205=$B205))</f>
        <v/>
      </c>
      <c r="X205" s="4">
        <f>IF(OR($B205="",F205=""),"",IF($B205=1,--(F205=1),""))</f>
        <v/>
      </c>
      <c r="Y205" s="4">
        <f>IF(OR($B205="",F205=""),"",IF($B205=0,--(F205=0),""))</f>
        <v/>
      </c>
      <c r="Z205" s="4">
        <f>IF(F205="","",--(F205=1))</f>
        <v/>
      </c>
      <c r="AA205" s="4">
        <f>IF(OR($B205="",G205=""),"",--(G205=$B205))</f>
        <v/>
      </c>
      <c r="AB205" s="4">
        <f>IF(OR($B205="",G205=""),"",IF($B205=1,--(G205=1),""))</f>
        <v/>
      </c>
      <c r="AC205" s="4">
        <f>IF(OR($B205="",G205=""),"",IF($B205=0,--(G205=0),""))</f>
        <v/>
      </c>
      <c r="AD205" s="4">
        <f>IF(G205="","",--(G205=1))</f>
        <v/>
      </c>
      <c r="AE205" s="4">
        <f>IF(OR($B205="",H205=""),"",--(H205=$B205))</f>
        <v/>
      </c>
      <c r="AF205" s="4">
        <f>IF(OR($B205="",H205=""),"",IF($B205=1,--(H205=1),""))</f>
        <v/>
      </c>
      <c r="AG205" s="4">
        <f>IF(OR($B205="",H205=""),"",IF($B205=0,--(H205=0),""))</f>
        <v/>
      </c>
      <c r="AH205" s="4">
        <f>IF(H205="","",--(H205=1))</f>
        <v/>
      </c>
      <c r="AI205" s="4">
        <f>IF(OR($B205="",I205=""),"",--(I205=$B205))</f>
        <v/>
      </c>
      <c r="AJ205" s="4">
        <f>IF(OR($B205="",I205=""),"",IF($B205=1,--(I205=1),""))</f>
        <v/>
      </c>
      <c r="AK205" s="4">
        <f>IF(OR($B205="",I205=""),"",IF($B205=0,--(I205=0),""))</f>
        <v/>
      </c>
      <c r="AL205" s="4">
        <f>IF(I205="","",--(I205=1))</f>
        <v/>
      </c>
      <c r="AM205" s="4">
        <f>IF(OR($B205="",J205=""),"",--(J205=$B205))</f>
        <v/>
      </c>
      <c r="AN205" s="4">
        <f>IF(OR($B205="",J205=""),"",IF($B205=1,--(J205=1),""))</f>
        <v/>
      </c>
      <c r="AO205" s="4">
        <f>IF(OR($B205="",J205=""),"",IF($B205=0,--(J205=0),""))</f>
        <v/>
      </c>
      <c r="AP205" s="4">
        <f>IF(J205="","",--(J205=1))</f>
        <v/>
      </c>
      <c r="AQ205" s="4">
        <f>IF(OR($B205="",K205=""),"",--(K205=$B205))</f>
        <v/>
      </c>
      <c r="AR205" s="4">
        <f>IF(OR($B205="",K205=""),"",IF($B205=1,--(K205=1),""))</f>
        <v/>
      </c>
      <c r="AS205" s="4">
        <f>IF(OR($B205="",K205=""),"",IF($B205=0,--(K205=0),""))</f>
        <v/>
      </c>
      <c r="AT205" s="4">
        <f>IF(K205="","",--(K205=1))</f>
        <v/>
      </c>
      <c r="AU205" s="4">
        <f>IF(OR($B205="",L205=""),"",--(L205=$B205))</f>
        <v/>
      </c>
      <c r="AV205" s="4">
        <f>IF(OR($B205="",L205=""),"",IF($B205=1,--(L205=1),""))</f>
        <v/>
      </c>
      <c r="AW205" s="4">
        <f>IF(OR($B205="",L205=""),"",IF($B205=0,--(L205=0),""))</f>
        <v/>
      </c>
      <c r="AX205" s="4">
        <f>IF(L205="","",--(L205=1))</f>
        <v/>
      </c>
      <c r="AY205" s="4">
        <f>IF(OR($B205="",M205=""),"",--(M205=$B205))</f>
        <v/>
      </c>
      <c r="AZ205" s="4">
        <f>IF(OR($B205="",M205=""),"",IF($B205=1,--(M205=1),""))</f>
        <v/>
      </c>
      <c r="BA205" s="4">
        <f>IF(OR($B205="",M205=""),"",IF($B205=0,--(M205=0),""))</f>
        <v/>
      </c>
      <c r="BB205" s="4">
        <f>IF(M205="","",--(M205=1))</f>
        <v/>
      </c>
      <c r="BC205" s="4">
        <f>IF(OR($B205="",N205=""),"",--(N205=$B205))</f>
        <v/>
      </c>
      <c r="BD205" s="4">
        <f>IF(OR($B205="",N205=""),"",IF($B205=1,--(N205=1),""))</f>
        <v/>
      </c>
      <c r="BE205" s="4">
        <f>IF(OR($B205="",N205=""),"",IF($B205=0,--(N205=0),""))</f>
        <v/>
      </c>
      <c r="BF205" s="4">
        <f>IF(N205="","",--(N205=1))</f>
        <v/>
      </c>
    </row>
    <row r="206">
      <c r="A206" s="3" t="inlineStr">
        <is>
          <t>202118189</t>
        </is>
      </c>
      <c r="B206" s="3" t="inlineStr">
        <is>
          <t>1</t>
        </is>
      </c>
      <c r="C206" s="3" t="inlineStr">
        <is>
          <t>Direct</t>
        </is>
      </c>
      <c r="D206" s="3" t="inlineStr">
        <is>
          <t>1</t>
        </is>
      </c>
      <c r="E206" s="3" t="inlineStr">
        <is>
          <t>1</t>
        </is>
      </c>
      <c r="F206" s="3" t="inlineStr">
        <is>
          <t>0</t>
        </is>
      </c>
      <c r="G206" s="3" t="inlineStr">
        <is>
          <t>0</t>
        </is>
      </c>
      <c r="H206" s="3" t="inlineStr">
        <is>
          <t>0</t>
        </is>
      </c>
      <c r="I206" s="3" t="inlineStr">
        <is>
          <t>0</t>
        </is>
      </c>
      <c r="J206" s="3" t="inlineStr">
        <is>
          <t>0</t>
        </is>
      </c>
      <c r="K206" s="3" t="inlineStr">
        <is>
          <t>0</t>
        </is>
      </c>
      <c r="L206" s="3" t="inlineStr">
        <is>
          <t>0</t>
        </is>
      </c>
      <c r="M206" s="3" t="inlineStr">
        <is>
          <t>0</t>
        </is>
      </c>
      <c r="N206" s="3" t="inlineStr">
        <is>
          <t>0</t>
        </is>
      </c>
      <c r="O206" s="4">
        <f>IF(OR($B206="",D206=""),"",--(D206=$B206))</f>
        <v/>
      </c>
      <c r="P206" s="4">
        <f>IF(OR($B206="",D206=""),"",IF($B206=1,--(D206=1),""))</f>
        <v/>
      </c>
      <c r="Q206" s="4">
        <f>IF(OR($B206="",D206=""),"",IF($B206=0,--(D206=0),""))</f>
        <v/>
      </c>
      <c r="R206" s="4">
        <f>IF(D206="","",--(D206=1))</f>
        <v/>
      </c>
      <c r="S206" s="4">
        <f>IF(OR($B206="",E206=""),"",--(E206=$B206))</f>
        <v/>
      </c>
      <c r="T206" s="4">
        <f>IF(OR($B206="",E206=""),"",IF($B206=1,--(E206=1),""))</f>
        <v/>
      </c>
      <c r="U206" s="4">
        <f>IF(OR($B206="",E206=""),"",IF($B206=0,--(E206=0),""))</f>
        <v/>
      </c>
      <c r="V206" s="4">
        <f>IF(E206="","",--(E206=1))</f>
        <v/>
      </c>
      <c r="W206" s="4">
        <f>IF(OR($B206="",F206=""),"",--(F206=$B206))</f>
        <v/>
      </c>
      <c r="X206" s="4">
        <f>IF(OR($B206="",F206=""),"",IF($B206=1,--(F206=1),""))</f>
        <v/>
      </c>
      <c r="Y206" s="4">
        <f>IF(OR($B206="",F206=""),"",IF($B206=0,--(F206=0),""))</f>
        <v/>
      </c>
      <c r="Z206" s="4">
        <f>IF(F206="","",--(F206=1))</f>
        <v/>
      </c>
      <c r="AA206" s="4">
        <f>IF(OR($B206="",G206=""),"",--(G206=$B206))</f>
        <v/>
      </c>
      <c r="AB206" s="4">
        <f>IF(OR($B206="",G206=""),"",IF($B206=1,--(G206=1),""))</f>
        <v/>
      </c>
      <c r="AC206" s="4">
        <f>IF(OR($B206="",G206=""),"",IF($B206=0,--(G206=0),""))</f>
        <v/>
      </c>
      <c r="AD206" s="4">
        <f>IF(G206="","",--(G206=1))</f>
        <v/>
      </c>
      <c r="AE206" s="4">
        <f>IF(OR($B206="",H206=""),"",--(H206=$B206))</f>
        <v/>
      </c>
      <c r="AF206" s="4">
        <f>IF(OR($B206="",H206=""),"",IF($B206=1,--(H206=1),""))</f>
        <v/>
      </c>
      <c r="AG206" s="4">
        <f>IF(OR($B206="",H206=""),"",IF($B206=0,--(H206=0),""))</f>
        <v/>
      </c>
      <c r="AH206" s="4">
        <f>IF(H206="","",--(H206=1))</f>
        <v/>
      </c>
      <c r="AI206" s="4">
        <f>IF(OR($B206="",I206=""),"",--(I206=$B206))</f>
        <v/>
      </c>
      <c r="AJ206" s="4">
        <f>IF(OR($B206="",I206=""),"",IF($B206=1,--(I206=1),""))</f>
        <v/>
      </c>
      <c r="AK206" s="4">
        <f>IF(OR($B206="",I206=""),"",IF($B206=0,--(I206=0),""))</f>
        <v/>
      </c>
      <c r="AL206" s="4">
        <f>IF(I206="","",--(I206=1))</f>
        <v/>
      </c>
      <c r="AM206" s="4">
        <f>IF(OR($B206="",J206=""),"",--(J206=$B206))</f>
        <v/>
      </c>
      <c r="AN206" s="4">
        <f>IF(OR($B206="",J206=""),"",IF($B206=1,--(J206=1),""))</f>
        <v/>
      </c>
      <c r="AO206" s="4">
        <f>IF(OR($B206="",J206=""),"",IF($B206=0,--(J206=0),""))</f>
        <v/>
      </c>
      <c r="AP206" s="4">
        <f>IF(J206="","",--(J206=1))</f>
        <v/>
      </c>
      <c r="AQ206" s="4">
        <f>IF(OR($B206="",K206=""),"",--(K206=$B206))</f>
        <v/>
      </c>
      <c r="AR206" s="4">
        <f>IF(OR($B206="",K206=""),"",IF($B206=1,--(K206=1),""))</f>
        <v/>
      </c>
      <c r="AS206" s="4">
        <f>IF(OR($B206="",K206=""),"",IF($B206=0,--(K206=0),""))</f>
        <v/>
      </c>
      <c r="AT206" s="4">
        <f>IF(K206="","",--(K206=1))</f>
        <v/>
      </c>
      <c r="AU206" s="4">
        <f>IF(OR($B206="",L206=""),"",--(L206=$B206))</f>
        <v/>
      </c>
      <c r="AV206" s="4">
        <f>IF(OR($B206="",L206=""),"",IF($B206=1,--(L206=1),""))</f>
        <v/>
      </c>
      <c r="AW206" s="4">
        <f>IF(OR($B206="",L206=""),"",IF($B206=0,--(L206=0),""))</f>
        <v/>
      </c>
      <c r="AX206" s="4">
        <f>IF(L206="","",--(L206=1))</f>
        <v/>
      </c>
      <c r="AY206" s="4">
        <f>IF(OR($B206="",M206=""),"",--(M206=$B206))</f>
        <v/>
      </c>
      <c r="AZ206" s="4">
        <f>IF(OR($B206="",M206=""),"",IF($B206=1,--(M206=1),""))</f>
        <v/>
      </c>
      <c r="BA206" s="4">
        <f>IF(OR($B206="",M206=""),"",IF($B206=0,--(M206=0),""))</f>
        <v/>
      </c>
      <c r="BB206" s="4">
        <f>IF(M206="","",--(M206=1))</f>
        <v/>
      </c>
      <c r="BC206" s="4">
        <f>IF(OR($B206="",N206=""),"",--(N206=$B206))</f>
        <v/>
      </c>
      <c r="BD206" s="4">
        <f>IF(OR($B206="",N206=""),"",IF($B206=1,--(N206=1),""))</f>
        <v/>
      </c>
      <c r="BE206" s="4">
        <f>IF(OR($B206="",N206=""),"",IF($B206=0,--(N206=0),""))</f>
        <v/>
      </c>
      <c r="BF206" s="4">
        <f>IF(N206="","",--(N206=1))</f>
        <v/>
      </c>
    </row>
    <row r="207">
      <c r="A207" s="3" t="inlineStr">
        <is>
          <t>202118561</t>
        </is>
      </c>
      <c r="B207" s="3" t="inlineStr">
        <is>
          <t>1</t>
        </is>
      </c>
      <c r="C207" s="3" t="inlineStr">
        <is>
          <t>Direct</t>
        </is>
      </c>
      <c r="D207" s="3" t="inlineStr">
        <is>
          <t>1</t>
        </is>
      </c>
      <c r="E207" s="3" t="inlineStr">
        <is>
          <t>1</t>
        </is>
      </c>
      <c r="F207" s="3" t="inlineStr">
        <is>
          <t>0</t>
        </is>
      </c>
      <c r="G207" s="3" t="inlineStr">
        <is>
          <t>0</t>
        </is>
      </c>
      <c r="H207" s="3" t="inlineStr">
        <is>
          <t>1</t>
        </is>
      </c>
      <c r="I207" s="3" t="inlineStr">
        <is>
          <t>1</t>
        </is>
      </c>
      <c r="J207" s="3" t="inlineStr">
        <is>
          <t>0</t>
        </is>
      </c>
      <c r="K207" s="3" t="inlineStr">
        <is>
          <t>1</t>
        </is>
      </c>
      <c r="L207" s="3" t="inlineStr">
        <is>
          <t>1</t>
        </is>
      </c>
      <c r="M207" s="3" t="inlineStr">
        <is>
          <t>1</t>
        </is>
      </c>
      <c r="N207" s="3" t="inlineStr">
        <is>
          <t>1</t>
        </is>
      </c>
      <c r="O207" s="4">
        <f>IF(OR($B207="",D207=""),"",--(D207=$B207))</f>
        <v/>
      </c>
      <c r="P207" s="4">
        <f>IF(OR($B207="",D207=""),"",IF($B207=1,--(D207=1),""))</f>
        <v/>
      </c>
      <c r="Q207" s="4">
        <f>IF(OR($B207="",D207=""),"",IF($B207=0,--(D207=0),""))</f>
        <v/>
      </c>
      <c r="R207" s="4">
        <f>IF(D207="","",--(D207=1))</f>
        <v/>
      </c>
      <c r="S207" s="4">
        <f>IF(OR($B207="",E207=""),"",--(E207=$B207))</f>
        <v/>
      </c>
      <c r="T207" s="4">
        <f>IF(OR($B207="",E207=""),"",IF($B207=1,--(E207=1),""))</f>
        <v/>
      </c>
      <c r="U207" s="4">
        <f>IF(OR($B207="",E207=""),"",IF($B207=0,--(E207=0),""))</f>
        <v/>
      </c>
      <c r="V207" s="4">
        <f>IF(E207="","",--(E207=1))</f>
        <v/>
      </c>
      <c r="W207" s="4">
        <f>IF(OR($B207="",F207=""),"",--(F207=$B207))</f>
        <v/>
      </c>
      <c r="X207" s="4">
        <f>IF(OR($B207="",F207=""),"",IF($B207=1,--(F207=1),""))</f>
        <v/>
      </c>
      <c r="Y207" s="4">
        <f>IF(OR($B207="",F207=""),"",IF($B207=0,--(F207=0),""))</f>
        <v/>
      </c>
      <c r="Z207" s="4">
        <f>IF(F207="","",--(F207=1))</f>
        <v/>
      </c>
      <c r="AA207" s="4">
        <f>IF(OR($B207="",G207=""),"",--(G207=$B207))</f>
        <v/>
      </c>
      <c r="AB207" s="4">
        <f>IF(OR($B207="",G207=""),"",IF($B207=1,--(G207=1),""))</f>
        <v/>
      </c>
      <c r="AC207" s="4">
        <f>IF(OR($B207="",G207=""),"",IF($B207=0,--(G207=0),""))</f>
        <v/>
      </c>
      <c r="AD207" s="4">
        <f>IF(G207="","",--(G207=1))</f>
        <v/>
      </c>
      <c r="AE207" s="4">
        <f>IF(OR($B207="",H207=""),"",--(H207=$B207))</f>
        <v/>
      </c>
      <c r="AF207" s="4">
        <f>IF(OR($B207="",H207=""),"",IF($B207=1,--(H207=1),""))</f>
        <v/>
      </c>
      <c r="AG207" s="4">
        <f>IF(OR($B207="",H207=""),"",IF($B207=0,--(H207=0),""))</f>
        <v/>
      </c>
      <c r="AH207" s="4">
        <f>IF(H207="","",--(H207=1))</f>
        <v/>
      </c>
      <c r="AI207" s="4">
        <f>IF(OR($B207="",I207=""),"",--(I207=$B207))</f>
        <v/>
      </c>
      <c r="AJ207" s="4">
        <f>IF(OR($B207="",I207=""),"",IF($B207=1,--(I207=1),""))</f>
        <v/>
      </c>
      <c r="AK207" s="4">
        <f>IF(OR($B207="",I207=""),"",IF($B207=0,--(I207=0),""))</f>
        <v/>
      </c>
      <c r="AL207" s="4">
        <f>IF(I207="","",--(I207=1))</f>
        <v/>
      </c>
      <c r="AM207" s="4">
        <f>IF(OR($B207="",J207=""),"",--(J207=$B207))</f>
        <v/>
      </c>
      <c r="AN207" s="4">
        <f>IF(OR($B207="",J207=""),"",IF($B207=1,--(J207=1),""))</f>
        <v/>
      </c>
      <c r="AO207" s="4">
        <f>IF(OR($B207="",J207=""),"",IF($B207=0,--(J207=0),""))</f>
        <v/>
      </c>
      <c r="AP207" s="4">
        <f>IF(J207="","",--(J207=1))</f>
        <v/>
      </c>
      <c r="AQ207" s="4">
        <f>IF(OR($B207="",K207=""),"",--(K207=$B207))</f>
        <v/>
      </c>
      <c r="AR207" s="4">
        <f>IF(OR($B207="",K207=""),"",IF($B207=1,--(K207=1),""))</f>
        <v/>
      </c>
      <c r="AS207" s="4">
        <f>IF(OR($B207="",K207=""),"",IF($B207=0,--(K207=0),""))</f>
        <v/>
      </c>
      <c r="AT207" s="4">
        <f>IF(K207="","",--(K207=1))</f>
        <v/>
      </c>
      <c r="AU207" s="4">
        <f>IF(OR($B207="",L207=""),"",--(L207=$B207))</f>
        <v/>
      </c>
      <c r="AV207" s="4">
        <f>IF(OR($B207="",L207=""),"",IF($B207=1,--(L207=1),""))</f>
        <v/>
      </c>
      <c r="AW207" s="4">
        <f>IF(OR($B207="",L207=""),"",IF($B207=0,--(L207=0),""))</f>
        <v/>
      </c>
      <c r="AX207" s="4">
        <f>IF(L207="","",--(L207=1))</f>
        <v/>
      </c>
      <c r="AY207" s="4">
        <f>IF(OR($B207="",M207=""),"",--(M207=$B207))</f>
        <v/>
      </c>
      <c r="AZ207" s="4">
        <f>IF(OR($B207="",M207=""),"",IF($B207=1,--(M207=1),""))</f>
        <v/>
      </c>
      <c r="BA207" s="4">
        <f>IF(OR($B207="",M207=""),"",IF($B207=0,--(M207=0),""))</f>
        <v/>
      </c>
      <c r="BB207" s="4">
        <f>IF(M207="","",--(M207=1))</f>
        <v/>
      </c>
      <c r="BC207" s="4">
        <f>IF(OR($B207="",N207=""),"",--(N207=$B207))</f>
        <v/>
      </c>
      <c r="BD207" s="4">
        <f>IF(OR($B207="",N207=""),"",IF($B207=1,--(N207=1),""))</f>
        <v/>
      </c>
      <c r="BE207" s="4">
        <f>IF(OR($B207="",N207=""),"",IF($B207=0,--(N207=0),""))</f>
        <v/>
      </c>
      <c r="BF207" s="4">
        <f>IF(N207="","",--(N207=1))</f>
        <v/>
      </c>
    </row>
    <row r="208">
      <c r="A208" s="3" t="inlineStr">
        <is>
          <t>202118662</t>
        </is>
      </c>
      <c r="B208" s="3" t="inlineStr">
        <is>
          <t>0</t>
        </is>
      </c>
      <c r="C208" s="3" t="inlineStr">
        <is>
          <t>Direct</t>
        </is>
      </c>
      <c r="D208" s="3" t="inlineStr">
        <is>
          <t>1</t>
        </is>
      </c>
      <c r="E208" s="3" t="inlineStr">
        <is>
          <t>0</t>
        </is>
      </c>
      <c r="F208" s="3" t="inlineStr">
        <is>
          <t>0</t>
        </is>
      </c>
      <c r="G208" s="3" t="inlineStr">
        <is>
          <t>1</t>
        </is>
      </c>
      <c r="H208" s="3" t="inlineStr">
        <is>
          <t>1</t>
        </is>
      </c>
      <c r="I208" s="3" t="inlineStr">
        <is>
          <t>1</t>
        </is>
      </c>
      <c r="J208" s="3" t="inlineStr">
        <is>
          <t>0</t>
        </is>
      </c>
      <c r="K208" s="3" t="inlineStr">
        <is>
          <t>0</t>
        </is>
      </c>
      <c r="L208" s="3" t="inlineStr">
        <is>
          <t>0</t>
        </is>
      </c>
      <c r="M208" s="3" t="inlineStr">
        <is>
          <t>0</t>
        </is>
      </c>
      <c r="N208" s="3" t="inlineStr">
        <is>
          <t>1</t>
        </is>
      </c>
      <c r="O208" s="4">
        <f>IF(OR($B208="",D208=""),"",--(D208=$B208))</f>
        <v/>
      </c>
      <c r="P208" s="4">
        <f>IF(OR($B208="",D208=""),"",IF($B208=1,--(D208=1),""))</f>
        <v/>
      </c>
      <c r="Q208" s="4">
        <f>IF(OR($B208="",D208=""),"",IF($B208=0,--(D208=0),""))</f>
        <v/>
      </c>
      <c r="R208" s="4">
        <f>IF(D208="","",--(D208=1))</f>
        <v/>
      </c>
      <c r="S208" s="4">
        <f>IF(OR($B208="",E208=""),"",--(E208=$B208))</f>
        <v/>
      </c>
      <c r="T208" s="4">
        <f>IF(OR($B208="",E208=""),"",IF($B208=1,--(E208=1),""))</f>
        <v/>
      </c>
      <c r="U208" s="4">
        <f>IF(OR($B208="",E208=""),"",IF($B208=0,--(E208=0),""))</f>
        <v/>
      </c>
      <c r="V208" s="4">
        <f>IF(E208="","",--(E208=1))</f>
        <v/>
      </c>
      <c r="W208" s="4">
        <f>IF(OR($B208="",F208=""),"",--(F208=$B208))</f>
        <v/>
      </c>
      <c r="X208" s="4">
        <f>IF(OR($B208="",F208=""),"",IF($B208=1,--(F208=1),""))</f>
        <v/>
      </c>
      <c r="Y208" s="4">
        <f>IF(OR($B208="",F208=""),"",IF($B208=0,--(F208=0),""))</f>
        <v/>
      </c>
      <c r="Z208" s="4">
        <f>IF(F208="","",--(F208=1))</f>
        <v/>
      </c>
      <c r="AA208" s="4">
        <f>IF(OR($B208="",G208=""),"",--(G208=$B208))</f>
        <v/>
      </c>
      <c r="AB208" s="4">
        <f>IF(OR($B208="",G208=""),"",IF($B208=1,--(G208=1),""))</f>
        <v/>
      </c>
      <c r="AC208" s="4">
        <f>IF(OR($B208="",G208=""),"",IF($B208=0,--(G208=0),""))</f>
        <v/>
      </c>
      <c r="AD208" s="4">
        <f>IF(G208="","",--(G208=1))</f>
        <v/>
      </c>
      <c r="AE208" s="4">
        <f>IF(OR($B208="",H208=""),"",--(H208=$B208))</f>
        <v/>
      </c>
      <c r="AF208" s="4">
        <f>IF(OR($B208="",H208=""),"",IF($B208=1,--(H208=1),""))</f>
        <v/>
      </c>
      <c r="AG208" s="4">
        <f>IF(OR($B208="",H208=""),"",IF($B208=0,--(H208=0),""))</f>
        <v/>
      </c>
      <c r="AH208" s="4">
        <f>IF(H208="","",--(H208=1))</f>
        <v/>
      </c>
      <c r="AI208" s="4">
        <f>IF(OR($B208="",I208=""),"",--(I208=$B208))</f>
        <v/>
      </c>
      <c r="AJ208" s="4">
        <f>IF(OR($B208="",I208=""),"",IF($B208=1,--(I208=1),""))</f>
        <v/>
      </c>
      <c r="AK208" s="4">
        <f>IF(OR($B208="",I208=""),"",IF($B208=0,--(I208=0),""))</f>
        <v/>
      </c>
      <c r="AL208" s="4">
        <f>IF(I208="","",--(I208=1))</f>
        <v/>
      </c>
      <c r="AM208" s="4">
        <f>IF(OR($B208="",J208=""),"",--(J208=$B208))</f>
        <v/>
      </c>
      <c r="AN208" s="4">
        <f>IF(OR($B208="",J208=""),"",IF($B208=1,--(J208=1),""))</f>
        <v/>
      </c>
      <c r="AO208" s="4">
        <f>IF(OR($B208="",J208=""),"",IF($B208=0,--(J208=0),""))</f>
        <v/>
      </c>
      <c r="AP208" s="4">
        <f>IF(J208="","",--(J208=1))</f>
        <v/>
      </c>
      <c r="AQ208" s="4">
        <f>IF(OR($B208="",K208=""),"",--(K208=$B208))</f>
        <v/>
      </c>
      <c r="AR208" s="4">
        <f>IF(OR($B208="",K208=""),"",IF($B208=1,--(K208=1),""))</f>
        <v/>
      </c>
      <c r="AS208" s="4">
        <f>IF(OR($B208="",K208=""),"",IF($B208=0,--(K208=0),""))</f>
        <v/>
      </c>
      <c r="AT208" s="4">
        <f>IF(K208="","",--(K208=1))</f>
        <v/>
      </c>
      <c r="AU208" s="4">
        <f>IF(OR($B208="",L208=""),"",--(L208=$B208))</f>
        <v/>
      </c>
      <c r="AV208" s="4">
        <f>IF(OR($B208="",L208=""),"",IF($B208=1,--(L208=1),""))</f>
        <v/>
      </c>
      <c r="AW208" s="4">
        <f>IF(OR($B208="",L208=""),"",IF($B208=0,--(L208=0),""))</f>
        <v/>
      </c>
      <c r="AX208" s="4">
        <f>IF(L208="","",--(L208=1))</f>
        <v/>
      </c>
      <c r="AY208" s="4">
        <f>IF(OR($B208="",M208=""),"",--(M208=$B208))</f>
        <v/>
      </c>
      <c r="AZ208" s="4">
        <f>IF(OR($B208="",M208=""),"",IF($B208=1,--(M208=1),""))</f>
        <v/>
      </c>
      <c r="BA208" s="4">
        <f>IF(OR($B208="",M208=""),"",IF($B208=0,--(M208=0),""))</f>
        <v/>
      </c>
      <c r="BB208" s="4">
        <f>IF(M208="","",--(M208=1))</f>
        <v/>
      </c>
      <c r="BC208" s="4">
        <f>IF(OR($B208="",N208=""),"",--(N208=$B208))</f>
        <v/>
      </c>
      <c r="BD208" s="4">
        <f>IF(OR($B208="",N208=""),"",IF($B208=1,--(N208=1),""))</f>
        <v/>
      </c>
      <c r="BE208" s="4">
        <f>IF(OR($B208="",N208=""),"",IF($B208=0,--(N208=0),""))</f>
        <v/>
      </c>
      <c r="BF208" s="4">
        <f>IF(N208="","",--(N208=1))</f>
        <v/>
      </c>
    </row>
    <row r="209">
      <c r="A209" s="3" t="inlineStr">
        <is>
          <t>202118890</t>
        </is>
      </c>
      <c r="B209" s="3" t="inlineStr">
        <is>
          <t>0</t>
        </is>
      </c>
      <c r="C209" s="3" t="inlineStr">
        <is>
          <t>Direct</t>
        </is>
      </c>
      <c r="D209" s="3" t="inlineStr">
        <is>
          <t>0</t>
        </is>
      </c>
      <c r="E209" s="3" t="inlineStr">
        <is>
          <t>0</t>
        </is>
      </c>
      <c r="F209" s="3" t="inlineStr">
        <is>
          <t>0</t>
        </is>
      </c>
      <c r="G209" s="3" t="inlineStr">
        <is>
          <t>0</t>
        </is>
      </c>
      <c r="H209" s="3" t="inlineStr">
        <is>
          <t>0</t>
        </is>
      </c>
      <c r="I209" s="3" t="inlineStr">
        <is>
          <t>0</t>
        </is>
      </c>
      <c r="J209" s="3" t="inlineStr">
        <is>
          <t>0</t>
        </is>
      </c>
      <c r="K209" s="3" t="inlineStr">
        <is>
          <t>0</t>
        </is>
      </c>
      <c r="L209" s="3" t="inlineStr">
        <is>
          <t>1</t>
        </is>
      </c>
      <c r="M209" s="3" t="inlineStr">
        <is>
          <t>0</t>
        </is>
      </c>
      <c r="N209" s="3" t="inlineStr">
        <is>
          <t>1</t>
        </is>
      </c>
      <c r="O209" s="4">
        <f>IF(OR($B209="",D209=""),"",--(D209=$B209))</f>
        <v/>
      </c>
      <c r="P209" s="4">
        <f>IF(OR($B209="",D209=""),"",IF($B209=1,--(D209=1),""))</f>
        <v/>
      </c>
      <c r="Q209" s="4">
        <f>IF(OR($B209="",D209=""),"",IF($B209=0,--(D209=0),""))</f>
        <v/>
      </c>
      <c r="R209" s="4">
        <f>IF(D209="","",--(D209=1))</f>
        <v/>
      </c>
      <c r="S209" s="4">
        <f>IF(OR($B209="",E209=""),"",--(E209=$B209))</f>
        <v/>
      </c>
      <c r="T209" s="4">
        <f>IF(OR($B209="",E209=""),"",IF($B209=1,--(E209=1),""))</f>
        <v/>
      </c>
      <c r="U209" s="4">
        <f>IF(OR($B209="",E209=""),"",IF($B209=0,--(E209=0),""))</f>
        <v/>
      </c>
      <c r="V209" s="4">
        <f>IF(E209="","",--(E209=1))</f>
        <v/>
      </c>
      <c r="W209" s="4">
        <f>IF(OR($B209="",F209=""),"",--(F209=$B209))</f>
        <v/>
      </c>
      <c r="X209" s="4">
        <f>IF(OR($B209="",F209=""),"",IF($B209=1,--(F209=1),""))</f>
        <v/>
      </c>
      <c r="Y209" s="4">
        <f>IF(OR($B209="",F209=""),"",IF($B209=0,--(F209=0),""))</f>
        <v/>
      </c>
      <c r="Z209" s="4">
        <f>IF(F209="","",--(F209=1))</f>
        <v/>
      </c>
      <c r="AA209" s="4">
        <f>IF(OR($B209="",G209=""),"",--(G209=$B209))</f>
        <v/>
      </c>
      <c r="AB209" s="4">
        <f>IF(OR($B209="",G209=""),"",IF($B209=1,--(G209=1),""))</f>
        <v/>
      </c>
      <c r="AC209" s="4">
        <f>IF(OR($B209="",G209=""),"",IF($B209=0,--(G209=0),""))</f>
        <v/>
      </c>
      <c r="AD209" s="4">
        <f>IF(G209="","",--(G209=1))</f>
        <v/>
      </c>
      <c r="AE209" s="4">
        <f>IF(OR($B209="",H209=""),"",--(H209=$B209))</f>
        <v/>
      </c>
      <c r="AF209" s="4">
        <f>IF(OR($B209="",H209=""),"",IF($B209=1,--(H209=1),""))</f>
        <v/>
      </c>
      <c r="AG209" s="4">
        <f>IF(OR($B209="",H209=""),"",IF($B209=0,--(H209=0),""))</f>
        <v/>
      </c>
      <c r="AH209" s="4">
        <f>IF(H209="","",--(H209=1))</f>
        <v/>
      </c>
      <c r="AI209" s="4">
        <f>IF(OR($B209="",I209=""),"",--(I209=$B209))</f>
        <v/>
      </c>
      <c r="AJ209" s="4">
        <f>IF(OR($B209="",I209=""),"",IF($B209=1,--(I209=1),""))</f>
        <v/>
      </c>
      <c r="AK209" s="4">
        <f>IF(OR($B209="",I209=""),"",IF($B209=0,--(I209=0),""))</f>
        <v/>
      </c>
      <c r="AL209" s="4">
        <f>IF(I209="","",--(I209=1))</f>
        <v/>
      </c>
      <c r="AM209" s="4">
        <f>IF(OR($B209="",J209=""),"",--(J209=$B209))</f>
        <v/>
      </c>
      <c r="AN209" s="4">
        <f>IF(OR($B209="",J209=""),"",IF($B209=1,--(J209=1),""))</f>
        <v/>
      </c>
      <c r="AO209" s="4">
        <f>IF(OR($B209="",J209=""),"",IF($B209=0,--(J209=0),""))</f>
        <v/>
      </c>
      <c r="AP209" s="4">
        <f>IF(J209="","",--(J209=1))</f>
        <v/>
      </c>
      <c r="AQ209" s="4">
        <f>IF(OR($B209="",K209=""),"",--(K209=$B209))</f>
        <v/>
      </c>
      <c r="AR209" s="4">
        <f>IF(OR($B209="",K209=""),"",IF($B209=1,--(K209=1),""))</f>
        <v/>
      </c>
      <c r="AS209" s="4">
        <f>IF(OR($B209="",K209=""),"",IF($B209=0,--(K209=0),""))</f>
        <v/>
      </c>
      <c r="AT209" s="4">
        <f>IF(K209="","",--(K209=1))</f>
        <v/>
      </c>
      <c r="AU209" s="4">
        <f>IF(OR($B209="",L209=""),"",--(L209=$B209))</f>
        <v/>
      </c>
      <c r="AV209" s="4">
        <f>IF(OR($B209="",L209=""),"",IF($B209=1,--(L209=1),""))</f>
        <v/>
      </c>
      <c r="AW209" s="4">
        <f>IF(OR($B209="",L209=""),"",IF($B209=0,--(L209=0),""))</f>
        <v/>
      </c>
      <c r="AX209" s="4">
        <f>IF(L209="","",--(L209=1))</f>
        <v/>
      </c>
      <c r="AY209" s="4">
        <f>IF(OR($B209="",M209=""),"",--(M209=$B209))</f>
        <v/>
      </c>
      <c r="AZ209" s="4">
        <f>IF(OR($B209="",M209=""),"",IF($B209=1,--(M209=1),""))</f>
        <v/>
      </c>
      <c r="BA209" s="4">
        <f>IF(OR($B209="",M209=""),"",IF($B209=0,--(M209=0),""))</f>
        <v/>
      </c>
      <c r="BB209" s="4">
        <f>IF(M209="","",--(M209=1))</f>
        <v/>
      </c>
      <c r="BC209" s="4">
        <f>IF(OR($B209="",N209=""),"",--(N209=$B209))</f>
        <v/>
      </c>
      <c r="BD209" s="4">
        <f>IF(OR($B209="",N209=""),"",IF($B209=1,--(N209=1),""))</f>
        <v/>
      </c>
      <c r="BE209" s="4">
        <f>IF(OR($B209="",N209=""),"",IF($B209=0,--(N209=0),""))</f>
        <v/>
      </c>
      <c r="BF209" s="4">
        <f>IF(N209="","",--(N209=1))</f>
        <v/>
      </c>
    </row>
    <row r="210">
      <c r="A210" s="3" t="inlineStr">
        <is>
          <t>202119333</t>
        </is>
      </c>
      <c r="B210" s="3" t="inlineStr">
        <is>
          <t>1</t>
        </is>
      </c>
      <c r="C210" s="3" t="inlineStr">
        <is>
          <t>Direct</t>
        </is>
      </c>
      <c r="D210" s="3" t="inlineStr">
        <is>
          <t>1</t>
        </is>
      </c>
      <c r="E210" s="3" t="inlineStr">
        <is>
          <t>1</t>
        </is>
      </c>
      <c r="F210" s="3" t="inlineStr">
        <is>
          <t>0</t>
        </is>
      </c>
      <c r="G210" s="3" t="inlineStr">
        <is>
          <t>0</t>
        </is>
      </c>
      <c r="H210" s="3" t="inlineStr">
        <is>
          <t>1</t>
        </is>
      </c>
      <c r="I210" s="3" t="inlineStr">
        <is>
          <t>1</t>
        </is>
      </c>
      <c r="J210" s="3" t="inlineStr">
        <is>
          <t>0</t>
        </is>
      </c>
      <c r="K210" s="3" t="inlineStr">
        <is>
          <t>1</t>
        </is>
      </c>
      <c r="L210" s="3" t="inlineStr">
        <is>
          <t>1</t>
        </is>
      </c>
      <c r="M210" s="3" t="inlineStr">
        <is>
          <t>1</t>
        </is>
      </c>
      <c r="N210" s="3" t="inlineStr">
        <is>
          <t>1</t>
        </is>
      </c>
      <c r="O210" s="4">
        <f>IF(OR($B210="",D210=""),"",--(D210=$B210))</f>
        <v/>
      </c>
      <c r="P210" s="4">
        <f>IF(OR($B210="",D210=""),"",IF($B210=1,--(D210=1),""))</f>
        <v/>
      </c>
      <c r="Q210" s="4">
        <f>IF(OR($B210="",D210=""),"",IF($B210=0,--(D210=0),""))</f>
        <v/>
      </c>
      <c r="R210" s="4">
        <f>IF(D210="","",--(D210=1))</f>
        <v/>
      </c>
      <c r="S210" s="4">
        <f>IF(OR($B210="",E210=""),"",--(E210=$B210))</f>
        <v/>
      </c>
      <c r="T210" s="4">
        <f>IF(OR($B210="",E210=""),"",IF($B210=1,--(E210=1),""))</f>
        <v/>
      </c>
      <c r="U210" s="4">
        <f>IF(OR($B210="",E210=""),"",IF($B210=0,--(E210=0),""))</f>
        <v/>
      </c>
      <c r="V210" s="4">
        <f>IF(E210="","",--(E210=1))</f>
        <v/>
      </c>
      <c r="W210" s="4">
        <f>IF(OR($B210="",F210=""),"",--(F210=$B210))</f>
        <v/>
      </c>
      <c r="X210" s="4">
        <f>IF(OR($B210="",F210=""),"",IF($B210=1,--(F210=1),""))</f>
        <v/>
      </c>
      <c r="Y210" s="4">
        <f>IF(OR($B210="",F210=""),"",IF($B210=0,--(F210=0),""))</f>
        <v/>
      </c>
      <c r="Z210" s="4">
        <f>IF(F210="","",--(F210=1))</f>
        <v/>
      </c>
      <c r="AA210" s="4">
        <f>IF(OR($B210="",G210=""),"",--(G210=$B210))</f>
        <v/>
      </c>
      <c r="AB210" s="4">
        <f>IF(OR($B210="",G210=""),"",IF($B210=1,--(G210=1),""))</f>
        <v/>
      </c>
      <c r="AC210" s="4">
        <f>IF(OR($B210="",G210=""),"",IF($B210=0,--(G210=0),""))</f>
        <v/>
      </c>
      <c r="AD210" s="4">
        <f>IF(G210="","",--(G210=1))</f>
        <v/>
      </c>
      <c r="AE210" s="4">
        <f>IF(OR($B210="",H210=""),"",--(H210=$B210))</f>
        <v/>
      </c>
      <c r="AF210" s="4">
        <f>IF(OR($B210="",H210=""),"",IF($B210=1,--(H210=1),""))</f>
        <v/>
      </c>
      <c r="AG210" s="4">
        <f>IF(OR($B210="",H210=""),"",IF($B210=0,--(H210=0),""))</f>
        <v/>
      </c>
      <c r="AH210" s="4">
        <f>IF(H210="","",--(H210=1))</f>
        <v/>
      </c>
      <c r="AI210" s="4">
        <f>IF(OR($B210="",I210=""),"",--(I210=$B210))</f>
        <v/>
      </c>
      <c r="AJ210" s="4">
        <f>IF(OR($B210="",I210=""),"",IF($B210=1,--(I210=1),""))</f>
        <v/>
      </c>
      <c r="AK210" s="4">
        <f>IF(OR($B210="",I210=""),"",IF($B210=0,--(I210=0),""))</f>
        <v/>
      </c>
      <c r="AL210" s="4">
        <f>IF(I210="","",--(I210=1))</f>
        <v/>
      </c>
      <c r="AM210" s="4">
        <f>IF(OR($B210="",J210=""),"",--(J210=$B210))</f>
        <v/>
      </c>
      <c r="AN210" s="4">
        <f>IF(OR($B210="",J210=""),"",IF($B210=1,--(J210=1),""))</f>
        <v/>
      </c>
      <c r="AO210" s="4">
        <f>IF(OR($B210="",J210=""),"",IF($B210=0,--(J210=0),""))</f>
        <v/>
      </c>
      <c r="AP210" s="4">
        <f>IF(J210="","",--(J210=1))</f>
        <v/>
      </c>
      <c r="AQ210" s="4">
        <f>IF(OR($B210="",K210=""),"",--(K210=$B210))</f>
        <v/>
      </c>
      <c r="AR210" s="4">
        <f>IF(OR($B210="",K210=""),"",IF($B210=1,--(K210=1),""))</f>
        <v/>
      </c>
      <c r="AS210" s="4">
        <f>IF(OR($B210="",K210=""),"",IF($B210=0,--(K210=0),""))</f>
        <v/>
      </c>
      <c r="AT210" s="4">
        <f>IF(K210="","",--(K210=1))</f>
        <v/>
      </c>
      <c r="AU210" s="4">
        <f>IF(OR($B210="",L210=""),"",--(L210=$B210))</f>
        <v/>
      </c>
      <c r="AV210" s="4">
        <f>IF(OR($B210="",L210=""),"",IF($B210=1,--(L210=1),""))</f>
        <v/>
      </c>
      <c r="AW210" s="4">
        <f>IF(OR($B210="",L210=""),"",IF($B210=0,--(L210=0),""))</f>
        <v/>
      </c>
      <c r="AX210" s="4">
        <f>IF(L210="","",--(L210=1))</f>
        <v/>
      </c>
      <c r="AY210" s="4">
        <f>IF(OR($B210="",M210=""),"",--(M210=$B210))</f>
        <v/>
      </c>
      <c r="AZ210" s="4">
        <f>IF(OR($B210="",M210=""),"",IF($B210=1,--(M210=1),""))</f>
        <v/>
      </c>
      <c r="BA210" s="4">
        <f>IF(OR($B210="",M210=""),"",IF($B210=0,--(M210=0),""))</f>
        <v/>
      </c>
      <c r="BB210" s="4">
        <f>IF(M210="","",--(M210=1))</f>
        <v/>
      </c>
      <c r="BC210" s="4">
        <f>IF(OR($B210="",N210=""),"",--(N210=$B210))</f>
        <v/>
      </c>
      <c r="BD210" s="4">
        <f>IF(OR($B210="",N210=""),"",IF($B210=1,--(N210=1),""))</f>
        <v/>
      </c>
      <c r="BE210" s="4">
        <f>IF(OR($B210="",N210=""),"",IF($B210=0,--(N210=0),""))</f>
        <v/>
      </c>
      <c r="BF210" s="4">
        <f>IF(N210="","",--(N210=1))</f>
        <v/>
      </c>
    </row>
    <row r="211">
      <c r="A211" s="3" t="inlineStr">
        <is>
          <t>202119693</t>
        </is>
      </c>
      <c r="B211" s="3" t="inlineStr">
        <is>
          <t>1</t>
        </is>
      </c>
      <c r="C211" s="3" t="inlineStr">
        <is>
          <t>Direct</t>
        </is>
      </c>
      <c r="D211" s="3" t="inlineStr">
        <is>
          <t>1</t>
        </is>
      </c>
      <c r="E211" s="3" t="inlineStr">
        <is>
          <t>1</t>
        </is>
      </c>
      <c r="F211" s="3" t="inlineStr">
        <is>
          <t>0</t>
        </is>
      </c>
      <c r="G211" s="3" t="inlineStr">
        <is>
          <t>0</t>
        </is>
      </c>
      <c r="H211" s="3" t="inlineStr">
        <is>
          <t>1</t>
        </is>
      </c>
      <c r="I211" s="3" t="inlineStr">
        <is>
          <t>0</t>
        </is>
      </c>
      <c r="J211" s="3" t="inlineStr">
        <is>
          <t>0</t>
        </is>
      </c>
      <c r="K211" s="3" t="inlineStr">
        <is>
          <t>1</t>
        </is>
      </c>
      <c r="L211" s="3" t="inlineStr">
        <is>
          <t>1</t>
        </is>
      </c>
      <c r="M211" s="3" t="inlineStr">
        <is>
          <t>1</t>
        </is>
      </c>
      <c r="N211" s="3" t="inlineStr">
        <is>
          <t>1</t>
        </is>
      </c>
      <c r="O211" s="4">
        <f>IF(OR($B211="",D211=""),"",--(D211=$B211))</f>
        <v/>
      </c>
      <c r="P211" s="4">
        <f>IF(OR($B211="",D211=""),"",IF($B211=1,--(D211=1),""))</f>
        <v/>
      </c>
      <c r="Q211" s="4">
        <f>IF(OR($B211="",D211=""),"",IF($B211=0,--(D211=0),""))</f>
        <v/>
      </c>
      <c r="R211" s="4">
        <f>IF(D211="","",--(D211=1))</f>
        <v/>
      </c>
      <c r="S211" s="4">
        <f>IF(OR($B211="",E211=""),"",--(E211=$B211))</f>
        <v/>
      </c>
      <c r="T211" s="4">
        <f>IF(OR($B211="",E211=""),"",IF($B211=1,--(E211=1),""))</f>
        <v/>
      </c>
      <c r="U211" s="4">
        <f>IF(OR($B211="",E211=""),"",IF($B211=0,--(E211=0),""))</f>
        <v/>
      </c>
      <c r="V211" s="4">
        <f>IF(E211="","",--(E211=1))</f>
        <v/>
      </c>
      <c r="W211" s="4">
        <f>IF(OR($B211="",F211=""),"",--(F211=$B211))</f>
        <v/>
      </c>
      <c r="X211" s="4">
        <f>IF(OR($B211="",F211=""),"",IF($B211=1,--(F211=1),""))</f>
        <v/>
      </c>
      <c r="Y211" s="4">
        <f>IF(OR($B211="",F211=""),"",IF($B211=0,--(F211=0),""))</f>
        <v/>
      </c>
      <c r="Z211" s="4">
        <f>IF(F211="","",--(F211=1))</f>
        <v/>
      </c>
      <c r="AA211" s="4">
        <f>IF(OR($B211="",G211=""),"",--(G211=$B211))</f>
        <v/>
      </c>
      <c r="AB211" s="4">
        <f>IF(OR($B211="",G211=""),"",IF($B211=1,--(G211=1),""))</f>
        <v/>
      </c>
      <c r="AC211" s="4">
        <f>IF(OR($B211="",G211=""),"",IF($B211=0,--(G211=0),""))</f>
        <v/>
      </c>
      <c r="AD211" s="4">
        <f>IF(G211="","",--(G211=1))</f>
        <v/>
      </c>
      <c r="AE211" s="4">
        <f>IF(OR($B211="",H211=""),"",--(H211=$B211))</f>
        <v/>
      </c>
      <c r="AF211" s="4">
        <f>IF(OR($B211="",H211=""),"",IF($B211=1,--(H211=1),""))</f>
        <v/>
      </c>
      <c r="AG211" s="4">
        <f>IF(OR($B211="",H211=""),"",IF($B211=0,--(H211=0),""))</f>
        <v/>
      </c>
      <c r="AH211" s="4">
        <f>IF(H211="","",--(H211=1))</f>
        <v/>
      </c>
      <c r="AI211" s="4">
        <f>IF(OR($B211="",I211=""),"",--(I211=$B211))</f>
        <v/>
      </c>
      <c r="AJ211" s="4">
        <f>IF(OR($B211="",I211=""),"",IF($B211=1,--(I211=1),""))</f>
        <v/>
      </c>
      <c r="AK211" s="4">
        <f>IF(OR($B211="",I211=""),"",IF($B211=0,--(I211=0),""))</f>
        <v/>
      </c>
      <c r="AL211" s="4">
        <f>IF(I211="","",--(I211=1))</f>
        <v/>
      </c>
      <c r="AM211" s="4">
        <f>IF(OR($B211="",J211=""),"",--(J211=$B211))</f>
        <v/>
      </c>
      <c r="AN211" s="4">
        <f>IF(OR($B211="",J211=""),"",IF($B211=1,--(J211=1),""))</f>
        <v/>
      </c>
      <c r="AO211" s="4">
        <f>IF(OR($B211="",J211=""),"",IF($B211=0,--(J211=0),""))</f>
        <v/>
      </c>
      <c r="AP211" s="4">
        <f>IF(J211="","",--(J211=1))</f>
        <v/>
      </c>
      <c r="AQ211" s="4">
        <f>IF(OR($B211="",K211=""),"",--(K211=$B211))</f>
        <v/>
      </c>
      <c r="AR211" s="4">
        <f>IF(OR($B211="",K211=""),"",IF($B211=1,--(K211=1),""))</f>
        <v/>
      </c>
      <c r="AS211" s="4">
        <f>IF(OR($B211="",K211=""),"",IF($B211=0,--(K211=0),""))</f>
        <v/>
      </c>
      <c r="AT211" s="4">
        <f>IF(K211="","",--(K211=1))</f>
        <v/>
      </c>
      <c r="AU211" s="4">
        <f>IF(OR($B211="",L211=""),"",--(L211=$B211))</f>
        <v/>
      </c>
      <c r="AV211" s="4">
        <f>IF(OR($B211="",L211=""),"",IF($B211=1,--(L211=1),""))</f>
        <v/>
      </c>
      <c r="AW211" s="4">
        <f>IF(OR($B211="",L211=""),"",IF($B211=0,--(L211=0),""))</f>
        <v/>
      </c>
      <c r="AX211" s="4">
        <f>IF(L211="","",--(L211=1))</f>
        <v/>
      </c>
      <c r="AY211" s="4">
        <f>IF(OR($B211="",M211=""),"",--(M211=$B211))</f>
        <v/>
      </c>
      <c r="AZ211" s="4">
        <f>IF(OR($B211="",M211=""),"",IF($B211=1,--(M211=1),""))</f>
        <v/>
      </c>
      <c r="BA211" s="4">
        <f>IF(OR($B211="",M211=""),"",IF($B211=0,--(M211=0),""))</f>
        <v/>
      </c>
      <c r="BB211" s="4">
        <f>IF(M211="","",--(M211=1))</f>
        <v/>
      </c>
      <c r="BC211" s="4">
        <f>IF(OR($B211="",N211=""),"",--(N211=$B211))</f>
        <v/>
      </c>
      <c r="BD211" s="4">
        <f>IF(OR($B211="",N211=""),"",IF($B211=1,--(N211=1),""))</f>
        <v/>
      </c>
      <c r="BE211" s="4">
        <f>IF(OR($B211="",N211=""),"",IF($B211=0,--(N211=0),""))</f>
        <v/>
      </c>
      <c r="BF211" s="4">
        <f>IF(N211="","",--(N211=1))</f>
        <v/>
      </c>
    </row>
    <row r="212">
      <c r="A212" s="3" t="inlineStr">
        <is>
          <t>202119783</t>
        </is>
      </c>
      <c r="B212" s="3" t="inlineStr">
        <is>
          <t>1</t>
        </is>
      </c>
      <c r="C212" s="3" t="inlineStr">
        <is>
          <t>Direct</t>
        </is>
      </c>
      <c r="D212" s="3" t="inlineStr">
        <is>
          <t>0</t>
        </is>
      </c>
      <c r="E212" s="3" t="inlineStr">
        <is>
          <t>0</t>
        </is>
      </c>
      <c r="F212" s="3" t="inlineStr">
        <is>
          <t>0</t>
        </is>
      </c>
      <c r="G212" s="3" t="inlineStr">
        <is>
          <t>0</t>
        </is>
      </c>
      <c r="H212" s="3" t="inlineStr">
        <is>
          <t>0</t>
        </is>
      </c>
      <c r="I212" s="3" t="inlineStr">
        <is>
          <t>0</t>
        </is>
      </c>
      <c r="J212" s="3" t="inlineStr">
        <is>
          <t>0</t>
        </is>
      </c>
      <c r="K212" s="3" t="inlineStr">
        <is>
          <t>0</t>
        </is>
      </c>
      <c r="L212" s="3" t="inlineStr">
        <is>
          <t>0</t>
        </is>
      </c>
      <c r="M212" s="3" t="inlineStr">
        <is>
          <t>0</t>
        </is>
      </c>
      <c r="N212" s="3" t="inlineStr">
        <is>
          <t>1</t>
        </is>
      </c>
      <c r="O212" s="4">
        <f>IF(OR($B212="",D212=""),"",--(D212=$B212))</f>
        <v/>
      </c>
      <c r="P212" s="4">
        <f>IF(OR($B212="",D212=""),"",IF($B212=1,--(D212=1),""))</f>
        <v/>
      </c>
      <c r="Q212" s="4">
        <f>IF(OR($B212="",D212=""),"",IF($B212=0,--(D212=0),""))</f>
        <v/>
      </c>
      <c r="R212" s="4">
        <f>IF(D212="","",--(D212=1))</f>
        <v/>
      </c>
      <c r="S212" s="4">
        <f>IF(OR($B212="",E212=""),"",--(E212=$B212))</f>
        <v/>
      </c>
      <c r="T212" s="4">
        <f>IF(OR($B212="",E212=""),"",IF($B212=1,--(E212=1),""))</f>
        <v/>
      </c>
      <c r="U212" s="4">
        <f>IF(OR($B212="",E212=""),"",IF($B212=0,--(E212=0),""))</f>
        <v/>
      </c>
      <c r="V212" s="4">
        <f>IF(E212="","",--(E212=1))</f>
        <v/>
      </c>
      <c r="W212" s="4">
        <f>IF(OR($B212="",F212=""),"",--(F212=$B212))</f>
        <v/>
      </c>
      <c r="X212" s="4">
        <f>IF(OR($B212="",F212=""),"",IF($B212=1,--(F212=1),""))</f>
        <v/>
      </c>
      <c r="Y212" s="4">
        <f>IF(OR($B212="",F212=""),"",IF($B212=0,--(F212=0),""))</f>
        <v/>
      </c>
      <c r="Z212" s="4">
        <f>IF(F212="","",--(F212=1))</f>
        <v/>
      </c>
      <c r="AA212" s="4">
        <f>IF(OR($B212="",G212=""),"",--(G212=$B212))</f>
        <v/>
      </c>
      <c r="AB212" s="4">
        <f>IF(OR($B212="",G212=""),"",IF($B212=1,--(G212=1),""))</f>
        <v/>
      </c>
      <c r="AC212" s="4">
        <f>IF(OR($B212="",G212=""),"",IF($B212=0,--(G212=0),""))</f>
        <v/>
      </c>
      <c r="AD212" s="4">
        <f>IF(G212="","",--(G212=1))</f>
        <v/>
      </c>
      <c r="AE212" s="4">
        <f>IF(OR($B212="",H212=""),"",--(H212=$B212))</f>
        <v/>
      </c>
      <c r="AF212" s="4">
        <f>IF(OR($B212="",H212=""),"",IF($B212=1,--(H212=1),""))</f>
        <v/>
      </c>
      <c r="AG212" s="4">
        <f>IF(OR($B212="",H212=""),"",IF($B212=0,--(H212=0),""))</f>
        <v/>
      </c>
      <c r="AH212" s="4">
        <f>IF(H212="","",--(H212=1))</f>
        <v/>
      </c>
      <c r="AI212" s="4">
        <f>IF(OR($B212="",I212=""),"",--(I212=$B212))</f>
        <v/>
      </c>
      <c r="AJ212" s="4">
        <f>IF(OR($B212="",I212=""),"",IF($B212=1,--(I212=1),""))</f>
        <v/>
      </c>
      <c r="AK212" s="4">
        <f>IF(OR($B212="",I212=""),"",IF($B212=0,--(I212=0),""))</f>
        <v/>
      </c>
      <c r="AL212" s="4">
        <f>IF(I212="","",--(I212=1))</f>
        <v/>
      </c>
      <c r="AM212" s="4">
        <f>IF(OR($B212="",J212=""),"",--(J212=$B212))</f>
        <v/>
      </c>
      <c r="AN212" s="4">
        <f>IF(OR($B212="",J212=""),"",IF($B212=1,--(J212=1),""))</f>
        <v/>
      </c>
      <c r="AO212" s="4">
        <f>IF(OR($B212="",J212=""),"",IF($B212=0,--(J212=0),""))</f>
        <v/>
      </c>
      <c r="AP212" s="4">
        <f>IF(J212="","",--(J212=1))</f>
        <v/>
      </c>
      <c r="AQ212" s="4">
        <f>IF(OR($B212="",K212=""),"",--(K212=$B212))</f>
        <v/>
      </c>
      <c r="AR212" s="4">
        <f>IF(OR($B212="",K212=""),"",IF($B212=1,--(K212=1),""))</f>
        <v/>
      </c>
      <c r="AS212" s="4">
        <f>IF(OR($B212="",K212=""),"",IF($B212=0,--(K212=0),""))</f>
        <v/>
      </c>
      <c r="AT212" s="4">
        <f>IF(K212="","",--(K212=1))</f>
        <v/>
      </c>
      <c r="AU212" s="4">
        <f>IF(OR($B212="",L212=""),"",--(L212=$B212))</f>
        <v/>
      </c>
      <c r="AV212" s="4">
        <f>IF(OR($B212="",L212=""),"",IF($B212=1,--(L212=1),""))</f>
        <v/>
      </c>
      <c r="AW212" s="4">
        <f>IF(OR($B212="",L212=""),"",IF($B212=0,--(L212=0),""))</f>
        <v/>
      </c>
      <c r="AX212" s="4">
        <f>IF(L212="","",--(L212=1))</f>
        <v/>
      </c>
      <c r="AY212" s="4">
        <f>IF(OR($B212="",M212=""),"",--(M212=$B212))</f>
        <v/>
      </c>
      <c r="AZ212" s="4">
        <f>IF(OR($B212="",M212=""),"",IF($B212=1,--(M212=1),""))</f>
        <v/>
      </c>
      <c r="BA212" s="4">
        <f>IF(OR($B212="",M212=""),"",IF($B212=0,--(M212=0),""))</f>
        <v/>
      </c>
      <c r="BB212" s="4">
        <f>IF(M212="","",--(M212=1))</f>
        <v/>
      </c>
      <c r="BC212" s="4">
        <f>IF(OR($B212="",N212=""),"",--(N212=$B212))</f>
        <v/>
      </c>
      <c r="BD212" s="4">
        <f>IF(OR($B212="",N212=""),"",IF($B212=1,--(N212=1),""))</f>
        <v/>
      </c>
      <c r="BE212" s="4">
        <f>IF(OR($B212="",N212=""),"",IF($B212=0,--(N212=0),""))</f>
        <v/>
      </c>
      <c r="BF212" s="4">
        <f>IF(N212="","",--(N212=1))</f>
        <v/>
      </c>
    </row>
    <row r="213">
      <c r="A213" s="3" t="inlineStr">
        <is>
          <t>20211997</t>
        </is>
      </c>
      <c r="B213" s="3" t="inlineStr">
        <is>
          <t>1</t>
        </is>
      </c>
      <c r="C213" s="3" t="inlineStr">
        <is>
          <t>Direct</t>
        </is>
      </c>
      <c r="D213" s="3" t="inlineStr">
        <is>
          <t>1</t>
        </is>
      </c>
      <c r="E213" s="3" t="inlineStr">
        <is>
          <t>1</t>
        </is>
      </c>
      <c r="F213" s="3" t="inlineStr">
        <is>
          <t>1</t>
        </is>
      </c>
      <c r="G213" s="3" t="inlineStr">
        <is>
          <t>1</t>
        </is>
      </c>
      <c r="H213" s="3" t="inlineStr">
        <is>
          <t>1</t>
        </is>
      </c>
      <c r="I213" s="3" t="inlineStr">
        <is>
          <t>1</t>
        </is>
      </c>
      <c r="J213" s="3" t="inlineStr">
        <is>
          <t>1</t>
        </is>
      </c>
      <c r="K213" s="3" t="inlineStr">
        <is>
          <t>1</t>
        </is>
      </c>
      <c r="L213" s="3" t="inlineStr">
        <is>
          <t>1</t>
        </is>
      </c>
      <c r="M213" s="3" t="inlineStr">
        <is>
          <t>1</t>
        </is>
      </c>
      <c r="N213" s="3" t="inlineStr">
        <is>
          <t>1</t>
        </is>
      </c>
      <c r="O213" s="4">
        <f>IF(OR($B213="",D213=""),"",--(D213=$B213))</f>
        <v/>
      </c>
      <c r="P213" s="4">
        <f>IF(OR($B213="",D213=""),"",IF($B213=1,--(D213=1),""))</f>
        <v/>
      </c>
      <c r="Q213" s="4">
        <f>IF(OR($B213="",D213=""),"",IF($B213=0,--(D213=0),""))</f>
        <v/>
      </c>
      <c r="R213" s="4">
        <f>IF(D213="","",--(D213=1))</f>
        <v/>
      </c>
      <c r="S213" s="4">
        <f>IF(OR($B213="",E213=""),"",--(E213=$B213))</f>
        <v/>
      </c>
      <c r="T213" s="4">
        <f>IF(OR($B213="",E213=""),"",IF($B213=1,--(E213=1),""))</f>
        <v/>
      </c>
      <c r="U213" s="4">
        <f>IF(OR($B213="",E213=""),"",IF($B213=0,--(E213=0),""))</f>
        <v/>
      </c>
      <c r="V213" s="4">
        <f>IF(E213="","",--(E213=1))</f>
        <v/>
      </c>
      <c r="W213" s="4">
        <f>IF(OR($B213="",F213=""),"",--(F213=$B213))</f>
        <v/>
      </c>
      <c r="X213" s="4">
        <f>IF(OR($B213="",F213=""),"",IF($B213=1,--(F213=1),""))</f>
        <v/>
      </c>
      <c r="Y213" s="4">
        <f>IF(OR($B213="",F213=""),"",IF($B213=0,--(F213=0),""))</f>
        <v/>
      </c>
      <c r="Z213" s="4">
        <f>IF(F213="","",--(F213=1))</f>
        <v/>
      </c>
      <c r="AA213" s="4">
        <f>IF(OR($B213="",G213=""),"",--(G213=$B213))</f>
        <v/>
      </c>
      <c r="AB213" s="4">
        <f>IF(OR($B213="",G213=""),"",IF($B213=1,--(G213=1),""))</f>
        <v/>
      </c>
      <c r="AC213" s="4">
        <f>IF(OR($B213="",G213=""),"",IF($B213=0,--(G213=0),""))</f>
        <v/>
      </c>
      <c r="AD213" s="4">
        <f>IF(G213="","",--(G213=1))</f>
        <v/>
      </c>
      <c r="AE213" s="4">
        <f>IF(OR($B213="",H213=""),"",--(H213=$B213))</f>
        <v/>
      </c>
      <c r="AF213" s="4">
        <f>IF(OR($B213="",H213=""),"",IF($B213=1,--(H213=1),""))</f>
        <v/>
      </c>
      <c r="AG213" s="4">
        <f>IF(OR($B213="",H213=""),"",IF($B213=0,--(H213=0),""))</f>
        <v/>
      </c>
      <c r="AH213" s="4">
        <f>IF(H213="","",--(H213=1))</f>
        <v/>
      </c>
      <c r="AI213" s="4">
        <f>IF(OR($B213="",I213=""),"",--(I213=$B213))</f>
        <v/>
      </c>
      <c r="AJ213" s="4">
        <f>IF(OR($B213="",I213=""),"",IF($B213=1,--(I213=1),""))</f>
        <v/>
      </c>
      <c r="AK213" s="4">
        <f>IF(OR($B213="",I213=""),"",IF($B213=0,--(I213=0),""))</f>
        <v/>
      </c>
      <c r="AL213" s="4">
        <f>IF(I213="","",--(I213=1))</f>
        <v/>
      </c>
      <c r="AM213" s="4">
        <f>IF(OR($B213="",J213=""),"",--(J213=$B213))</f>
        <v/>
      </c>
      <c r="AN213" s="4">
        <f>IF(OR($B213="",J213=""),"",IF($B213=1,--(J213=1),""))</f>
        <v/>
      </c>
      <c r="AO213" s="4">
        <f>IF(OR($B213="",J213=""),"",IF($B213=0,--(J213=0),""))</f>
        <v/>
      </c>
      <c r="AP213" s="4">
        <f>IF(J213="","",--(J213=1))</f>
        <v/>
      </c>
      <c r="AQ213" s="4">
        <f>IF(OR($B213="",K213=""),"",--(K213=$B213))</f>
        <v/>
      </c>
      <c r="AR213" s="4">
        <f>IF(OR($B213="",K213=""),"",IF($B213=1,--(K213=1),""))</f>
        <v/>
      </c>
      <c r="AS213" s="4">
        <f>IF(OR($B213="",K213=""),"",IF($B213=0,--(K213=0),""))</f>
        <v/>
      </c>
      <c r="AT213" s="4">
        <f>IF(K213="","",--(K213=1))</f>
        <v/>
      </c>
      <c r="AU213" s="4">
        <f>IF(OR($B213="",L213=""),"",--(L213=$B213))</f>
        <v/>
      </c>
      <c r="AV213" s="4">
        <f>IF(OR($B213="",L213=""),"",IF($B213=1,--(L213=1),""))</f>
        <v/>
      </c>
      <c r="AW213" s="4">
        <f>IF(OR($B213="",L213=""),"",IF($B213=0,--(L213=0),""))</f>
        <v/>
      </c>
      <c r="AX213" s="4">
        <f>IF(L213="","",--(L213=1))</f>
        <v/>
      </c>
      <c r="AY213" s="4">
        <f>IF(OR($B213="",M213=""),"",--(M213=$B213))</f>
        <v/>
      </c>
      <c r="AZ213" s="4">
        <f>IF(OR($B213="",M213=""),"",IF($B213=1,--(M213=1),""))</f>
        <v/>
      </c>
      <c r="BA213" s="4">
        <f>IF(OR($B213="",M213=""),"",IF($B213=0,--(M213=0),""))</f>
        <v/>
      </c>
      <c r="BB213" s="4">
        <f>IF(M213="","",--(M213=1))</f>
        <v/>
      </c>
      <c r="BC213" s="4">
        <f>IF(OR($B213="",N213=""),"",--(N213=$B213))</f>
        <v/>
      </c>
      <c r="BD213" s="4">
        <f>IF(OR($B213="",N213=""),"",IF($B213=1,--(N213=1),""))</f>
        <v/>
      </c>
      <c r="BE213" s="4">
        <f>IF(OR($B213="",N213=""),"",IF($B213=0,--(N213=0),""))</f>
        <v/>
      </c>
      <c r="BF213" s="4">
        <f>IF(N213="","",--(N213=1))</f>
        <v/>
      </c>
    </row>
    <row r="214">
      <c r="A214" s="3" t="inlineStr">
        <is>
          <t>20212004</t>
        </is>
      </c>
      <c r="B214" s="3" t="inlineStr">
        <is>
          <t>0</t>
        </is>
      </c>
      <c r="C214" s="3" t="inlineStr">
        <is>
          <t>Direct</t>
        </is>
      </c>
      <c r="D214" s="3" t="inlineStr">
        <is>
          <t>1</t>
        </is>
      </c>
      <c r="E214" s="3" t="inlineStr">
        <is>
          <t>0</t>
        </is>
      </c>
      <c r="F214" s="3" t="inlineStr">
        <is>
          <t>0</t>
        </is>
      </c>
      <c r="G214" s="3" t="inlineStr">
        <is>
          <t>1</t>
        </is>
      </c>
      <c r="H214" s="3" t="inlineStr">
        <is>
          <t>1</t>
        </is>
      </c>
      <c r="I214" s="3" t="inlineStr">
        <is>
          <t>0</t>
        </is>
      </c>
      <c r="J214" s="3" t="inlineStr">
        <is>
          <t>0</t>
        </is>
      </c>
      <c r="K214" s="3" t="inlineStr">
        <is>
          <t>1</t>
        </is>
      </c>
      <c r="L214" s="3" t="inlineStr">
        <is>
          <t>0</t>
        </is>
      </c>
      <c r="M214" s="3" t="inlineStr">
        <is>
          <t>0</t>
        </is>
      </c>
      <c r="N214" s="3" t="inlineStr">
        <is>
          <t>0</t>
        </is>
      </c>
      <c r="O214" s="4">
        <f>IF(OR($B214="",D214=""),"",--(D214=$B214))</f>
        <v/>
      </c>
      <c r="P214" s="4">
        <f>IF(OR($B214="",D214=""),"",IF($B214=1,--(D214=1),""))</f>
        <v/>
      </c>
      <c r="Q214" s="4">
        <f>IF(OR($B214="",D214=""),"",IF($B214=0,--(D214=0),""))</f>
        <v/>
      </c>
      <c r="R214" s="4">
        <f>IF(D214="","",--(D214=1))</f>
        <v/>
      </c>
      <c r="S214" s="4">
        <f>IF(OR($B214="",E214=""),"",--(E214=$B214))</f>
        <v/>
      </c>
      <c r="T214" s="4">
        <f>IF(OR($B214="",E214=""),"",IF($B214=1,--(E214=1),""))</f>
        <v/>
      </c>
      <c r="U214" s="4">
        <f>IF(OR($B214="",E214=""),"",IF($B214=0,--(E214=0),""))</f>
        <v/>
      </c>
      <c r="V214" s="4">
        <f>IF(E214="","",--(E214=1))</f>
        <v/>
      </c>
      <c r="W214" s="4">
        <f>IF(OR($B214="",F214=""),"",--(F214=$B214))</f>
        <v/>
      </c>
      <c r="X214" s="4">
        <f>IF(OR($B214="",F214=""),"",IF($B214=1,--(F214=1),""))</f>
        <v/>
      </c>
      <c r="Y214" s="4">
        <f>IF(OR($B214="",F214=""),"",IF($B214=0,--(F214=0),""))</f>
        <v/>
      </c>
      <c r="Z214" s="4">
        <f>IF(F214="","",--(F214=1))</f>
        <v/>
      </c>
      <c r="AA214" s="4">
        <f>IF(OR($B214="",G214=""),"",--(G214=$B214))</f>
        <v/>
      </c>
      <c r="AB214" s="4">
        <f>IF(OR($B214="",G214=""),"",IF($B214=1,--(G214=1),""))</f>
        <v/>
      </c>
      <c r="AC214" s="4">
        <f>IF(OR($B214="",G214=""),"",IF($B214=0,--(G214=0),""))</f>
        <v/>
      </c>
      <c r="AD214" s="4">
        <f>IF(G214="","",--(G214=1))</f>
        <v/>
      </c>
      <c r="AE214" s="4">
        <f>IF(OR($B214="",H214=""),"",--(H214=$B214))</f>
        <v/>
      </c>
      <c r="AF214" s="4">
        <f>IF(OR($B214="",H214=""),"",IF($B214=1,--(H214=1),""))</f>
        <v/>
      </c>
      <c r="AG214" s="4">
        <f>IF(OR($B214="",H214=""),"",IF($B214=0,--(H214=0),""))</f>
        <v/>
      </c>
      <c r="AH214" s="4">
        <f>IF(H214="","",--(H214=1))</f>
        <v/>
      </c>
      <c r="AI214" s="4">
        <f>IF(OR($B214="",I214=""),"",--(I214=$B214))</f>
        <v/>
      </c>
      <c r="AJ214" s="4">
        <f>IF(OR($B214="",I214=""),"",IF($B214=1,--(I214=1),""))</f>
        <v/>
      </c>
      <c r="AK214" s="4">
        <f>IF(OR($B214="",I214=""),"",IF($B214=0,--(I214=0),""))</f>
        <v/>
      </c>
      <c r="AL214" s="4">
        <f>IF(I214="","",--(I214=1))</f>
        <v/>
      </c>
      <c r="AM214" s="4">
        <f>IF(OR($B214="",J214=""),"",--(J214=$B214))</f>
        <v/>
      </c>
      <c r="AN214" s="4">
        <f>IF(OR($B214="",J214=""),"",IF($B214=1,--(J214=1),""))</f>
        <v/>
      </c>
      <c r="AO214" s="4">
        <f>IF(OR($B214="",J214=""),"",IF($B214=0,--(J214=0),""))</f>
        <v/>
      </c>
      <c r="AP214" s="4">
        <f>IF(J214="","",--(J214=1))</f>
        <v/>
      </c>
      <c r="AQ214" s="4">
        <f>IF(OR($B214="",K214=""),"",--(K214=$B214))</f>
        <v/>
      </c>
      <c r="AR214" s="4">
        <f>IF(OR($B214="",K214=""),"",IF($B214=1,--(K214=1),""))</f>
        <v/>
      </c>
      <c r="AS214" s="4">
        <f>IF(OR($B214="",K214=""),"",IF($B214=0,--(K214=0),""))</f>
        <v/>
      </c>
      <c r="AT214" s="4">
        <f>IF(K214="","",--(K214=1))</f>
        <v/>
      </c>
      <c r="AU214" s="4">
        <f>IF(OR($B214="",L214=""),"",--(L214=$B214))</f>
        <v/>
      </c>
      <c r="AV214" s="4">
        <f>IF(OR($B214="",L214=""),"",IF($B214=1,--(L214=1),""))</f>
        <v/>
      </c>
      <c r="AW214" s="4">
        <f>IF(OR($B214="",L214=""),"",IF($B214=0,--(L214=0),""))</f>
        <v/>
      </c>
      <c r="AX214" s="4">
        <f>IF(L214="","",--(L214=1))</f>
        <v/>
      </c>
      <c r="AY214" s="4">
        <f>IF(OR($B214="",M214=""),"",--(M214=$B214))</f>
        <v/>
      </c>
      <c r="AZ214" s="4">
        <f>IF(OR($B214="",M214=""),"",IF($B214=1,--(M214=1),""))</f>
        <v/>
      </c>
      <c r="BA214" s="4">
        <f>IF(OR($B214="",M214=""),"",IF($B214=0,--(M214=0),""))</f>
        <v/>
      </c>
      <c r="BB214" s="4">
        <f>IF(M214="","",--(M214=1))</f>
        <v/>
      </c>
      <c r="BC214" s="4">
        <f>IF(OR($B214="",N214=""),"",--(N214=$B214))</f>
        <v/>
      </c>
      <c r="BD214" s="4">
        <f>IF(OR($B214="",N214=""),"",IF($B214=1,--(N214=1),""))</f>
        <v/>
      </c>
      <c r="BE214" s="4">
        <f>IF(OR($B214="",N214=""),"",IF($B214=0,--(N214=0),""))</f>
        <v/>
      </c>
      <c r="BF214" s="4">
        <f>IF(N214="","",--(N214=1))</f>
        <v/>
      </c>
    </row>
    <row r="215">
      <c r="A215" s="3" t="inlineStr">
        <is>
          <t>202120057</t>
        </is>
      </c>
      <c r="B215" s="3" t="inlineStr">
        <is>
          <t>0</t>
        </is>
      </c>
      <c r="C215" s="3" t="inlineStr">
        <is>
          <t>Direct</t>
        </is>
      </c>
      <c r="D215" s="3" t="inlineStr">
        <is>
          <t>0</t>
        </is>
      </c>
      <c r="E215" s="3" t="inlineStr">
        <is>
          <t>1</t>
        </is>
      </c>
      <c r="F215" s="3" t="inlineStr">
        <is>
          <t>1</t>
        </is>
      </c>
      <c r="G215" s="3" t="inlineStr">
        <is>
          <t>1</t>
        </is>
      </c>
      <c r="H215" s="3" t="inlineStr">
        <is>
          <t>1</t>
        </is>
      </c>
      <c r="I215" s="3" t="inlineStr">
        <is>
          <t>1</t>
        </is>
      </c>
      <c r="J215" s="3" t="inlineStr">
        <is>
          <t>1</t>
        </is>
      </c>
      <c r="K215" s="3" t="inlineStr">
        <is>
          <t>1</t>
        </is>
      </c>
      <c r="L215" s="3" t="inlineStr">
        <is>
          <t>1</t>
        </is>
      </c>
      <c r="M215" s="3" t="inlineStr">
        <is>
          <t>1</t>
        </is>
      </c>
      <c r="N215" s="3" t="inlineStr">
        <is>
          <t>1</t>
        </is>
      </c>
      <c r="O215" s="4">
        <f>IF(OR($B215="",D215=""),"",--(D215=$B215))</f>
        <v/>
      </c>
      <c r="P215" s="4">
        <f>IF(OR($B215="",D215=""),"",IF($B215=1,--(D215=1),""))</f>
        <v/>
      </c>
      <c r="Q215" s="4">
        <f>IF(OR($B215="",D215=""),"",IF($B215=0,--(D215=0),""))</f>
        <v/>
      </c>
      <c r="R215" s="4">
        <f>IF(D215="","",--(D215=1))</f>
        <v/>
      </c>
      <c r="S215" s="4">
        <f>IF(OR($B215="",E215=""),"",--(E215=$B215))</f>
        <v/>
      </c>
      <c r="T215" s="4">
        <f>IF(OR($B215="",E215=""),"",IF($B215=1,--(E215=1),""))</f>
        <v/>
      </c>
      <c r="U215" s="4">
        <f>IF(OR($B215="",E215=""),"",IF($B215=0,--(E215=0),""))</f>
        <v/>
      </c>
      <c r="V215" s="4">
        <f>IF(E215="","",--(E215=1))</f>
        <v/>
      </c>
      <c r="W215" s="4">
        <f>IF(OR($B215="",F215=""),"",--(F215=$B215))</f>
        <v/>
      </c>
      <c r="X215" s="4">
        <f>IF(OR($B215="",F215=""),"",IF($B215=1,--(F215=1),""))</f>
        <v/>
      </c>
      <c r="Y215" s="4">
        <f>IF(OR($B215="",F215=""),"",IF($B215=0,--(F215=0),""))</f>
        <v/>
      </c>
      <c r="Z215" s="4">
        <f>IF(F215="","",--(F215=1))</f>
        <v/>
      </c>
      <c r="AA215" s="4">
        <f>IF(OR($B215="",G215=""),"",--(G215=$B215))</f>
        <v/>
      </c>
      <c r="AB215" s="4">
        <f>IF(OR($B215="",G215=""),"",IF($B215=1,--(G215=1),""))</f>
        <v/>
      </c>
      <c r="AC215" s="4">
        <f>IF(OR($B215="",G215=""),"",IF($B215=0,--(G215=0),""))</f>
        <v/>
      </c>
      <c r="AD215" s="4">
        <f>IF(G215="","",--(G215=1))</f>
        <v/>
      </c>
      <c r="AE215" s="4">
        <f>IF(OR($B215="",H215=""),"",--(H215=$B215))</f>
        <v/>
      </c>
      <c r="AF215" s="4">
        <f>IF(OR($B215="",H215=""),"",IF($B215=1,--(H215=1),""))</f>
        <v/>
      </c>
      <c r="AG215" s="4">
        <f>IF(OR($B215="",H215=""),"",IF($B215=0,--(H215=0),""))</f>
        <v/>
      </c>
      <c r="AH215" s="4">
        <f>IF(H215="","",--(H215=1))</f>
        <v/>
      </c>
      <c r="AI215" s="4">
        <f>IF(OR($B215="",I215=""),"",--(I215=$B215))</f>
        <v/>
      </c>
      <c r="AJ215" s="4">
        <f>IF(OR($B215="",I215=""),"",IF($B215=1,--(I215=1),""))</f>
        <v/>
      </c>
      <c r="AK215" s="4">
        <f>IF(OR($B215="",I215=""),"",IF($B215=0,--(I215=0),""))</f>
        <v/>
      </c>
      <c r="AL215" s="4">
        <f>IF(I215="","",--(I215=1))</f>
        <v/>
      </c>
      <c r="AM215" s="4">
        <f>IF(OR($B215="",J215=""),"",--(J215=$B215))</f>
        <v/>
      </c>
      <c r="AN215" s="4">
        <f>IF(OR($B215="",J215=""),"",IF($B215=1,--(J215=1),""))</f>
        <v/>
      </c>
      <c r="AO215" s="4">
        <f>IF(OR($B215="",J215=""),"",IF($B215=0,--(J215=0),""))</f>
        <v/>
      </c>
      <c r="AP215" s="4">
        <f>IF(J215="","",--(J215=1))</f>
        <v/>
      </c>
      <c r="AQ215" s="4">
        <f>IF(OR($B215="",K215=""),"",--(K215=$B215))</f>
        <v/>
      </c>
      <c r="AR215" s="4">
        <f>IF(OR($B215="",K215=""),"",IF($B215=1,--(K215=1),""))</f>
        <v/>
      </c>
      <c r="AS215" s="4">
        <f>IF(OR($B215="",K215=""),"",IF($B215=0,--(K215=0),""))</f>
        <v/>
      </c>
      <c r="AT215" s="4">
        <f>IF(K215="","",--(K215=1))</f>
        <v/>
      </c>
      <c r="AU215" s="4">
        <f>IF(OR($B215="",L215=""),"",--(L215=$B215))</f>
        <v/>
      </c>
      <c r="AV215" s="4">
        <f>IF(OR($B215="",L215=""),"",IF($B215=1,--(L215=1),""))</f>
        <v/>
      </c>
      <c r="AW215" s="4">
        <f>IF(OR($B215="",L215=""),"",IF($B215=0,--(L215=0),""))</f>
        <v/>
      </c>
      <c r="AX215" s="4">
        <f>IF(L215="","",--(L215=1))</f>
        <v/>
      </c>
      <c r="AY215" s="4">
        <f>IF(OR($B215="",M215=""),"",--(M215=$B215))</f>
        <v/>
      </c>
      <c r="AZ215" s="4">
        <f>IF(OR($B215="",M215=""),"",IF($B215=1,--(M215=1),""))</f>
        <v/>
      </c>
      <c r="BA215" s="4">
        <f>IF(OR($B215="",M215=""),"",IF($B215=0,--(M215=0),""))</f>
        <v/>
      </c>
      <c r="BB215" s="4">
        <f>IF(M215="","",--(M215=1))</f>
        <v/>
      </c>
      <c r="BC215" s="4">
        <f>IF(OR($B215="",N215=""),"",--(N215=$B215))</f>
        <v/>
      </c>
      <c r="BD215" s="4">
        <f>IF(OR($B215="",N215=""),"",IF($B215=1,--(N215=1),""))</f>
        <v/>
      </c>
      <c r="BE215" s="4">
        <f>IF(OR($B215="",N215=""),"",IF($B215=0,--(N215=0),""))</f>
        <v/>
      </c>
      <c r="BF215" s="4">
        <f>IF(N215="","",--(N215=1))</f>
        <v/>
      </c>
    </row>
    <row r="216">
      <c r="A216" s="3" t="inlineStr">
        <is>
          <t>202120239</t>
        </is>
      </c>
      <c r="B216" s="3" t="inlineStr">
        <is>
          <t>1</t>
        </is>
      </c>
      <c r="C216" s="3" t="inlineStr">
        <is>
          <t>Direct</t>
        </is>
      </c>
      <c r="D216" s="3" t="inlineStr">
        <is>
          <t>1</t>
        </is>
      </c>
      <c r="E216" s="3" t="inlineStr">
        <is>
          <t>1</t>
        </is>
      </c>
      <c r="F216" s="3" t="inlineStr">
        <is>
          <t>0</t>
        </is>
      </c>
      <c r="G216" s="3" t="inlineStr">
        <is>
          <t>0</t>
        </is>
      </c>
      <c r="H216" s="3" t="inlineStr">
        <is>
          <t>1</t>
        </is>
      </c>
      <c r="I216" s="3" t="inlineStr">
        <is>
          <t>1</t>
        </is>
      </c>
      <c r="J216" s="3" t="inlineStr">
        <is>
          <t>0</t>
        </is>
      </c>
      <c r="K216" s="3" t="inlineStr">
        <is>
          <t>1</t>
        </is>
      </c>
      <c r="L216" s="3" t="inlineStr">
        <is>
          <t>1</t>
        </is>
      </c>
      <c r="M216" s="3" t="inlineStr">
        <is>
          <t>1</t>
        </is>
      </c>
      <c r="N216" s="3" t="inlineStr">
        <is>
          <t>1</t>
        </is>
      </c>
      <c r="O216" s="4">
        <f>IF(OR($B216="",D216=""),"",--(D216=$B216))</f>
        <v/>
      </c>
      <c r="P216" s="4">
        <f>IF(OR($B216="",D216=""),"",IF($B216=1,--(D216=1),""))</f>
        <v/>
      </c>
      <c r="Q216" s="4">
        <f>IF(OR($B216="",D216=""),"",IF($B216=0,--(D216=0),""))</f>
        <v/>
      </c>
      <c r="R216" s="4">
        <f>IF(D216="","",--(D216=1))</f>
        <v/>
      </c>
      <c r="S216" s="4">
        <f>IF(OR($B216="",E216=""),"",--(E216=$B216))</f>
        <v/>
      </c>
      <c r="T216" s="4">
        <f>IF(OR($B216="",E216=""),"",IF($B216=1,--(E216=1),""))</f>
        <v/>
      </c>
      <c r="U216" s="4">
        <f>IF(OR($B216="",E216=""),"",IF($B216=0,--(E216=0),""))</f>
        <v/>
      </c>
      <c r="V216" s="4">
        <f>IF(E216="","",--(E216=1))</f>
        <v/>
      </c>
      <c r="W216" s="4">
        <f>IF(OR($B216="",F216=""),"",--(F216=$B216))</f>
        <v/>
      </c>
      <c r="X216" s="4">
        <f>IF(OR($B216="",F216=""),"",IF($B216=1,--(F216=1),""))</f>
        <v/>
      </c>
      <c r="Y216" s="4">
        <f>IF(OR($B216="",F216=""),"",IF($B216=0,--(F216=0),""))</f>
        <v/>
      </c>
      <c r="Z216" s="4">
        <f>IF(F216="","",--(F216=1))</f>
        <v/>
      </c>
      <c r="AA216" s="4">
        <f>IF(OR($B216="",G216=""),"",--(G216=$B216))</f>
        <v/>
      </c>
      <c r="AB216" s="4">
        <f>IF(OR($B216="",G216=""),"",IF($B216=1,--(G216=1),""))</f>
        <v/>
      </c>
      <c r="AC216" s="4">
        <f>IF(OR($B216="",G216=""),"",IF($B216=0,--(G216=0),""))</f>
        <v/>
      </c>
      <c r="AD216" s="4">
        <f>IF(G216="","",--(G216=1))</f>
        <v/>
      </c>
      <c r="AE216" s="4">
        <f>IF(OR($B216="",H216=""),"",--(H216=$B216))</f>
        <v/>
      </c>
      <c r="AF216" s="4">
        <f>IF(OR($B216="",H216=""),"",IF($B216=1,--(H216=1),""))</f>
        <v/>
      </c>
      <c r="AG216" s="4">
        <f>IF(OR($B216="",H216=""),"",IF($B216=0,--(H216=0),""))</f>
        <v/>
      </c>
      <c r="AH216" s="4">
        <f>IF(H216="","",--(H216=1))</f>
        <v/>
      </c>
      <c r="AI216" s="4">
        <f>IF(OR($B216="",I216=""),"",--(I216=$B216))</f>
        <v/>
      </c>
      <c r="AJ216" s="4">
        <f>IF(OR($B216="",I216=""),"",IF($B216=1,--(I216=1),""))</f>
        <v/>
      </c>
      <c r="AK216" s="4">
        <f>IF(OR($B216="",I216=""),"",IF($B216=0,--(I216=0),""))</f>
        <v/>
      </c>
      <c r="AL216" s="4">
        <f>IF(I216="","",--(I216=1))</f>
        <v/>
      </c>
      <c r="AM216" s="4">
        <f>IF(OR($B216="",J216=""),"",--(J216=$B216))</f>
        <v/>
      </c>
      <c r="AN216" s="4">
        <f>IF(OR($B216="",J216=""),"",IF($B216=1,--(J216=1),""))</f>
        <v/>
      </c>
      <c r="AO216" s="4">
        <f>IF(OR($B216="",J216=""),"",IF($B216=0,--(J216=0),""))</f>
        <v/>
      </c>
      <c r="AP216" s="4">
        <f>IF(J216="","",--(J216=1))</f>
        <v/>
      </c>
      <c r="AQ216" s="4">
        <f>IF(OR($B216="",K216=""),"",--(K216=$B216))</f>
        <v/>
      </c>
      <c r="AR216" s="4">
        <f>IF(OR($B216="",K216=""),"",IF($B216=1,--(K216=1),""))</f>
        <v/>
      </c>
      <c r="AS216" s="4">
        <f>IF(OR($B216="",K216=""),"",IF($B216=0,--(K216=0),""))</f>
        <v/>
      </c>
      <c r="AT216" s="4">
        <f>IF(K216="","",--(K216=1))</f>
        <v/>
      </c>
      <c r="AU216" s="4">
        <f>IF(OR($B216="",L216=""),"",--(L216=$B216))</f>
        <v/>
      </c>
      <c r="AV216" s="4">
        <f>IF(OR($B216="",L216=""),"",IF($B216=1,--(L216=1),""))</f>
        <v/>
      </c>
      <c r="AW216" s="4">
        <f>IF(OR($B216="",L216=""),"",IF($B216=0,--(L216=0),""))</f>
        <v/>
      </c>
      <c r="AX216" s="4">
        <f>IF(L216="","",--(L216=1))</f>
        <v/>
      </c>
      <c r="AY216" s="4">
        <f>IF(OR($B216="",M216=""),"",--(M216=$B216))</f>
        <v/>
      </c>
      <c r="AZ216" s="4">
        <f>IF(OR($B216="",M216=""),"",IF($B216=1,--(M216=1),""))</f>
        <v/>
      </c>
      <c r="BA216" s="4">
        <f>IF(OR($B216="",M216=""),"",IF($B216=0,--(M216=0),""))</f>
        <v/>
      </c>
      <c r="BB216" s="4">
        <f>IF(M216="","",--(M216=1))</f>
        <v/>
      </c>
      <c r="BC216" s="4">
        <f>IF(OR($B216="",N216=""),"",--(N216=$B216))</f>
        <v/>
      </c>
      <c r="BD216" s="4">
        <f>IF(OR($B216="",N216=""),"",IF($B216=1,--(N216=1),""))</f>
        <v/>
      </c>
      <c r="BE216" s="4">
        <f>IF(OR($B216="",N216=""),"",IF($B216=0,--(N216=0),""))</f>
        <v/>
      </c>
      <c r="BF216" s="4">
        <f>IF(N216="","",--(N216=1))</f>
        <v/>
      </c>
    </row>
    <row r="217">
      <c r="A217" s="3" t="inlineStr">
        <is>
          <t>202120410</t>
        </is>
      </c>
      <c r="B217" s="3" t="inlineStr">
        <is>
          <t>1</t>
        </is>
      </c>
      <c r="C217" s="3" t="inlineStr">
        <is>
          <t>Direct</t>
        </is>
      </c>
      <c r="D217" s="3" t="inlineStr">
        <is>
          <t>1</t>
        </is>
      </c>
      <c r="E217" s="3" t="inlineStr">
        <is>
          <t>0</t>
        </is>
      </c>
      <c r="F217" s="3" t="inlineStr">
        <is>
          <t>0</t>
        </is>
      </c>
      <c r="G217" s="3" t="inlineStr">
        <is>
          <t>0</t>
        </is>
      </c>
      <c r="H217" s="3" t="inlineStr">
        <is>
          <t>1</t>
        </is>
      </c>
      <c r="I217" s="3" t="inlineStr">
        <is>
          <t>1</t>
        </is>
      </c>
      <c r="J217" s="3" t="inlineStr">
        <is>
          <t>0</t>
        </is>
      </c>
      <c r="K217" s="3" t="inlineStr">
        <is>
          <t>1</t>
        </is>
      </c>
      <c r="L217" s="3" t="inlineStr">
        <is>
          <t>1</t>
        </is>
      </c>
      <c r="M217" s="3" t="inlineStr">
        <is>
          <t>1</t>
        </is>
      </c>
      <c r="N217" s="3" t="inlineStr">
        <is>
          <t>1</t>
        </is>
      </c>
      <c r="O217" s="4">
        <f>IF(OR($B217="",D217=""),"",--(D217=$B217))</f>
        <v/>
      </c>
      <c r="P217" s="4">
        <f>IF(OR($B217="",D217=""),"",IF($B217=1,--(D217=1),""))</f>
        <v/>
      </c>
      <c r="Q217" s="4">
        <f>IF(OR($B217="",D217=""),"",IF($B217=0,--(D217=0),""))</f>
        <v/>
      </c>
      <c r="R217" s="4">
        <f>IF(D217="","",--(D217=1))</f>
        <v/>
      </c>
      <c r="S217" s="4">
        <f>IF(OR($B217="",E217=""),"",--(E217=$B217))</f>
        <v/>
      </c>
      <c r="T217" s="4">
        <f>IF(OR($B217="",E217=""),"",IF($B217=1,--(E217=1),""))</f>
        <v/>
      </c>
      <c r="U217" s="4">
        <f>IF(OR($B217="",E217=""),"",IF($B217=0,--(E217=0),""))</f>
        <v/>
      </c>
      <c r="V217" s="4">
        <f>IF(E217="","",--(E217=1))</f>
        <v/>
      </c>
      <c r="W217" s="4">
        <f>IF(OR($B217="",F217=""),"",--(F217=$B217))</f>
        <v/>
      </c>
      <c r="X217" s="4">
        <f>IF(OR($B217="",F217=""),"",IF($B217=1,--(F217=1),""))</f>
        <v/>
      </c>
      <c r="Y217" s="4">
        <f>IF(OR($B217="",F217=""),"",IF($B217=0,--(F217=0),""))</f>
        <v/>
      </c>
      <c r="Z217" s="4">
        <f>IF(F217="","",--(F217=1))</f>
        <v/>
      </c>
      <c r="AA217" s="4">
        <f>IF(OR($B217="",G217=""),"",--(G217=$B217))</f>
        <v/>
      </c>
      <c r="AB217" s="4">
        <f>IF(OR($B217="",G217=""),"",IF($B217=1,--(G217=1),""))</f>
        <v/>
      </c>
      <c r="AC217" s="4">
        <f>IF(OR($B217="",G217=""),"",IF($B217=0,--(G217=0),""))</f>
        <v/>
      </c>
      <c r="AD217" s="4">
        <f>IF(G217="","",--(G217=1))</f>
        <v/>
      </c>
      <c r="AE217" s="4">
        <f>IF(OR($B217="",H217=""),"",--(H217=$B217))</f>
        <v/>
      </c>
      <c r="AF217" s="4">
        <f>IF(OR($B217="",H217=""),"",IF($B217=1,--(H217=1),""))</f>
        <v/>
      </c>
      <c r="AG217" s="4">
        <f>IF(OR($B217="",H217=""),"",IF($B217=0,--(H217=0),""))</f>
        <v/>
      </c>
      <c r="AH217" s="4">
        <f>IF(H217="","",--(H217=1))</f>
        <v/>
      </c>
      <c r="AI217" s="4">
        <f>IF(OR($B217="",I217=""),"",--(I217=$B217))</f>
        <v/>
      </c>
      <c r="AJ217" s="4">
        <f>IF(OR($B217="",I217=""),"",IF($B217=1,--(I217=1),""))</f>
        <v/>
      </c>
      <c r="AK217" s="4">
        <f>IF(OR($B217="",I217=""),"",IF($B217=0,--(I217=0),""))</f>
        <v/>
      </c>
      <c r="AL217" s="4">
        <f>IF(I217="","",--(I217=1))</f>
        <v/>
      </c>
      <c r="AM217" s="4">
        <f>IF(OR($B217="",J217=""),"",--(J217=$B217))</f>
        <v/>
      </c>
      <c r="AN217" s="4">
        <f>IF(OR($B217="",J217=""),"",IF($B217=1,--(J217=1),""))</f>
        <v/>
      </c>
      <c r="AO217" s="4">
        <f>IF(OR($B217="",J217=""),"",IF($B217=0,--(J217=0),""))</f>
        <v/>
      </c>
      <c r="AP217" s="4">
        <f>IF(J217="","",--(J217=1))</f>
        <v/>
      </c>
      <c r="AQ217" s="4">
        <f>IF(OR($B217="",K217=""),"",--(K217=$B217))</f>
        <v/>
      </c>
      <c r="AR217" s="4">
        <f>IF(OR($B217="",K217=""),"",IF($B217=1,--(K217=1),""))</f>
        <v/>
      </c>
      <c r="AS217" s="4">
        <f>IF(OR($B217="",K217=""),"",IF($B217=0,--(K217=0),""))</f>
        <v/>
      </c>
      <c r="AT217" s="4">
        <f>IF(K217="","",--(K217=1))</f>
        <v/>
      </c>
      <c r="AU217" s="4">
        <f>IF(OR($B217="",L217=""),"",--(L217=$B217))</f>
        <v/>
      </c>
      <c r="AV217" s="4">
        <f>IF(OR($B217="",L217=""),"",IF($B217=1,--(L217=1),""))</f>
        <v/>
      </c>
      <c r="AW217" s="4">
        <f>IF(OR($B217="",L217=""),"",IF($B217=0,--(L217=0),""))</f>
        <v/>
      </c>
      <c r="AX217" s="4">
        <f>IF(L217="","",--(L217=1))</f>
        <v/>
      </c>
      <c r="AY217" s="4">
        <f>IF(OR($B217="",M217=""),"",--(M217=$B217))</f>
        <v/>
      </c>
      <c r="AZ217" s="4">
        <f>IF(OR($B217="",M217=""),"",IF($B217=1,--(M217=1),""))</f>
        <v/>
      </c>
      <c r="BA217" s="4">
        <f>IF(OR($B217="",M217=""),"",IF($B217=0,--(M217=0),""))</f>
        <v/>
      </c>
      <c r="BB217" s="4">
        <f>IF(M217="","",--(M217=1))</f>
        <v/>
      </c>
      <c r="BC217" s="4">
        <f>IF(OR($B217="",N217=""),"",--(N217=$B217))</f>
        <v/>
      </c>
      <c r="BD217" s="4">
        <f>IF(OR($B217="",N217=""),"",IF($B217=1,--(N217=1),""))</f>
        <v/>
      </c>
      <c r="BE217" s="4">
        <f>IF(OR($B217="",N217=""),"",IF($B217=0,--(N217=0),""))</f>
        <v/>
      </c>
      <c r="BF217" s="4">
        <f>IF(N217="","",--(N217=1))</f>
        <v/>
      </c>
    </row>
    <row r="218">
      <c r="A218" s="3" t="inlineStr">
        <is>
          <t>202120630</t>
        </is>
      </c>
      <c r="B218" s="3" t="inlineStr">
        <is>
          <t>1</t>
        </is>
      </c>
      <c r="C218" s="3" t="inlineStr">
        <is>
          <t>Direct</t>
        </is>
      </c>
      <c r="D218" s="3" t="inlineStr">
        <is>
          <t>1</t>
        </is>
      </c>
      <c r="E218" s="3" t="inlineStr">
        <is>
          <t>1</t>
        </is>
      </c>
      <c r="F218" s="3" t="inlineStr">
        <is>
          <t>1</t>
        </is>
      </c>
      <c r="G218" s="3" t="inlineStr">
        <is>
          <t>1</t>
        </is>
      </c>
      <c r="H218" s="3" t="inlineStr">
        <is>
          <t>1</t>
        </is>
      </c>
      <c r="I218" s="3" t="inlineStr">
        <is>
          <t>1</t>
        </is>
      </c>
      <c r="J218" s="3" t="inlineStr">
        <is>
          <t>1</t>
        </is>
      </c>
      <c r="K218" s="3" t="inlineStr">
        <is>
          <t>1</t>
        </is>
      </c>
      <c r="L218" s="3" t="inlineStr">
        <is>
          <t>1</t>
        </is>
      </c>
      <c r="M218" s="3" t="inlineStr">
        <is>
          <t>1</t>
        </is>
      </c>
      <c r="N218" s="3" t="inlineStr">
        <is>
          <t>1</t>
        </is>
      </c>
      <c r="O218" s="4">
        <f>IF(OR($B218="",D218=""),"",--(D218=$B218))</f>
        <v/>
      </c>
      <c r="P218" s="4">
        <f>IF(OR($B218="",D218=""),"",IF($B218=1,--(D218=1),""))</f>
        <v/>
      </c>
      <c r="Q218" s="4">
        <f>IF(OR($B218="",D218=""),"",IF($B218=0,--(D218=0),""))</f>
        <v/>
      </c>
      <c r="R218" s="4">
        <f>IF(D218="","",--(D218=1))</f>
        <v/>
      </c>
      <c r="S218" s="4">
        <f>IF(OR($B218="",E218=""),"",--(E218=$B218))</f>
        <v/>
      </c>
      <c r="T218" s="4">
        <f>IF(OR($B218="",E218=""),"",IF($B218=1,--(E218=1),""))</f>
        <v/>
      </c>
      <c r="U218" s="4">
        <f>IF(OR($B218="",E218=""),"",IF($B218=0,--(E218=0),""))</f>
        <v/>
      </c>
      <c r="V218" s="4">
        <f>IF(E218="","",--(E218=1))</f>
        <v/>
      </c>
      <c r="W218" s="4">
        <f>IF(OR($B218="",F218=""),"",--(F218=$B218))</f>
        <v/>
      </c>
      <c r="X218" s="4">
        <f>IF(OR($B218="",F218=""),"",IF($B218=1,--(F218=1),""))</f>
        <v/>
      </c>
      <c r="Y218" s="4">
        <f>IF(OR($B218="",F218=""),"",IF($B218=0,--(F218=0),""))</f>
        <v/>
      </c>
      <c r="Z218" s="4">
        <f>IF(F218="","",--(F218=1))</f>
        <v/>
      </c>
      <c r="AA218" s="4">
        <f>IF(OR($B218="",G218=""),"",--(G218=$B218))</f>
        <v/>
      </c>
      <c r="AB218" s="4">
        <f>IF(OR($B218="",G218=""),"",IF($B218=1,--(G218=1),""))</f>
        <v/>
      </c>
      <c r="AC218" s="4">
        <f>IF(OR($B218="",G218=""),"",IF($B218=0,--(G218=0),""))</f>
        <v/>
      </c>
      <c r="AD218" s="4">
        <f>IF(G218="","",--(G218=1))</f>
        <v/>
      </c>
      <c r="AE218" s="4">
        <f>IF(OR($B218="",H218=""),"",--(H218=$B218))</f>
        <v/>
      </c>
      <c r="AF218" s="4">
        <f>IF(OR($B218="",H218=""),"",IF($B218=1,--(H218=1),""))</f>
        <v/>
      </c>
      <c r="AG218" s="4">
        <f>IF(OR($B218="",H218=""),"",IF($B218=0,--(H218=0),""))</f>
        <v/>
      </c>
      <c r="AH218" s="4">
        <f>IF(H218="","",--(H218=1))</f>
        <v/>
      </c>
      <c r="AI218" s="4">
        <f>IF(OR($B218="",I218=""),"",--(I218=$B218))</f>
        <v/>
      </c>
      <c r="AJ218" s="4">
        <f>IF(OR($B218="",I218=""),"",IF($B218=1,--(I218=1),""))</f>
        <v/>
      </c>
      <c r="AK218" s="4">
        <f>IF(OR($B218="",I218=""),"",IF($B218=0,--(I218=0),""))</f>
        <v/>
      </c>
      <c r="AL218" s="4">
        <f>IF(I218="","",--(I218=1))</f>
        <v/>
      </c>
      <c r="AM218" s="4">
        <f>IF(OR($B218="",J218=""),"",--(J218=$B218))</f>
        <v/>
      </c>
      <c r="AN218" s="4">
        <f>IF(OR($B218="",J218=""),"",IF($B218=1,--(J218=1),""))</f>
        <v/>
      </c>
      <c r="AO218" s="4">
        <f>IF(OR($B218="",J218=""),"",IF($B218=0,--(J218=0),""))</f>
        <v/>
      </c>
      <c r="AP218" s="4">
        <f>IF(J218="","",--(J218=1))</f>
        <v/>
      </c>
      <c r="AQ218" s="4">
        <f>IF(OR($B218="",K218=""),"",--(K218=$B218))</f>
        <v/>
      </c>
      <c r="AR218" s="4">
        <f>IF(OR($B218="",K218=""),"",IF($B218=1,--(K218=1),""))</f>
        <v/>
      </c>
      <c r="AS218" s="4">
        <f>IF(OR($B218="",K218=""),"",IF($B218=0,--(K218=0),""))</f>
        <v/>
      </c>
      <c r="AT218" s="4">
        <f>IF(K218="","",--(K218=1))</f>
        <v/>
      </c>
      <c r="AU218" s="4">
        <f>IF(OR($B218="",L218=""),"",--(L218=$B218))</f>
        <v/>
      </c>
      <c r="AV218" s="4">
        <f>IF(OR($B218="",L218=""),"",IF($B218=1,--(L218=1),""))</f>
        <v/>
      </c>
      <c r="AW218" s="4">
        <f>IF(OR($B218="",L218=""),"",IF($B218=0,--(L218=0),""))</f>
        <v/>
      </c>
      <c r="AX218" s="4">
        <f>IF(L218="","",--(L218=1))</f>
        <v/>
      </c>
      <c r="AY218" s="4">
        <f>IF(OR($B218="",M218=""),"",--(M218=$B218))</f>
        <v/>
      </c>
      <c r="AZ218" s="4">
        <f>IF(OR($B218="",M218=""),"",IF($B218=1,--(M218=1),""))</f>
        <v/>
      </c>
      <c r="BA218" s="4">
        <f>IF(OR($B218="",M218=""),"",IF($B218=0,--(M218=0),""))</f>
        <v/>
      </c>
      <c r="BB218" s="4">
        <f>IF(M218="","",--(M218=1))</f>
        <v/>
      </c>
      <c r="BC218" s="4">
        <f>IF(OR($B218="",N218=""),"",--(N218=$B218))</f>
        <v/>
      </c>
      <c r="BD218" s="4">
        <f>IF(OR($B218="",N218=""),"",IF($B218=1,--(N218=1),""))</f>
        <v/>
      </c>
      <c r="BE218" s="4">
        <f>IF(OR($B218="",N218=""),"",IF($B218=0,--(N218=0),""))</f>
        <v/>
      </c>
      <c r="BF218" s="4">
        <f>IF(N218="","",--(N218=1))</f>
        <v/>
      </c>
    </row>
    <row r="219">
      <c r="A219" s="3" t="inlineStr">
        <is>
          <t>202121297</t>
        </is>
      </c>
      <c r="B219" s="3" t="inlineStr">
        <is>
          <t>0</t>
        </is>
      </c>
      <c r="C219" s="3" t="inlineStr">
        <is>
          <t>Direct</t>
        </is>
      </c>
      <c r="D219" s="3" t="inlineStr">
        <is>
          <t>0</t>
        </is>
      </c>
      <c r="E219" s="3" t="inlineStr">
        <is>
          <t>0</t>
        </is>
      </c>
      <c r="F219" s="3" t="inlineStr">
        <is>
          <t>0</t>
        </is>
      </c>
      <c r="G219" s="3" t="inlineStr">
        <is>
          <t>1</t>
        </is>
      </c>
      <c r="H219" s="3" t="inlineStr">
        <is>
          <t>0</t>
        </is>
      </c>
      <c r="I219" s="3" t="inlineStr">
        <is>
          <t>0</t>
        </is>
      </c>
      <c r="J219" s="3" t="inlineStr">
        <is>
          <t>0</t>
        </is>
      </c>
      <c r="K219" s="3" t="inlineStr">
        <is>
          <t>1</t>
        </is>
      </c>
      <c r="L219" s="3" t="inlineStr">
        <is>
          <t>0</t>
        </is>
      </c>
      <c r="M219" s="3" t="inlineStr">
        <is>
          <t>1</t>
        </is>
      </c>
      <c r="N219" s="3" t="inlineStr">
        <is>
          <t>1</t>
        </is>
      </c>
      <c r="O219" s="4">
        <f>IF(OR($B219="",D219=""),"",--(D219=$B219))</f>
        <v/>
      </c>
      <c r="P219" s="4">
        <f>IF(OR($B219="",D219=""),"",IF($B219=1,--(D219=1),""))</f>
        <v/>
      </c>
      <c r="Q219" s="4">
        <f>IF(OR($B219="",D219=""),"",IF($B219=0,--(D219=0),""))</f>
        <v/>
      </c>
      <c r="R219" s="4">
        <f>IF(D219="","",--(D219=1))</f>
        <v/>
      </c>
      <c r="S219" s="4">
        <f>IF(OR($B219="",E219=""),"",--(E219=$B219))</f>
        <v/>
      </c>
      <c r="T219" s="4">
        <f>IF(OR($B219="",E219=""),"",IF($B219=1,--(E219=1),""))</f>
        <v/>
      </c>
      <c r="U219" s="4">
        <f>IF(OR($B219="",E219=""),"",IF($B219=0,--(E219=0),""))</f>
        <v/>
      </c>
      <c r="V219" s="4">
        <f>IF(E219="","",--(E219=1))</f>
        <v/>
      </c>
      <c r="W219" s="4">
        <f>IF(OR($B219="",F219=""),"",--(F219=$B219))</f>
        <v/>
      </c>
      <c r="X219" s="4">
        <f>IF(OR($B219="",F219=""),"",IF($B219=1,--(F219=1),""))</f>
        <v/>
      </c>
      <c r="Y219" s="4">
        <f>IF(OR($B219="",F219=""),"",IF($B219=0,--(F219=0),""))</f>
        <v/>
      </c>
      <c r="Z219" s="4">
        <f>IF(F219="","",--(F219=1))</f>
        <v/>
      </c>
      <c r="AA219" s="4">
        <f>IF(OR($B219="",G219=""),"",--(G219=$B219))</f>
        <v/>
      </c>
      <c r="AB219" s="4">
        <f>IF(OR($B219="",G219=""),"",IF($B219=1,--(G219=1),""))</f>
        <v/>
      </c>
      <c r="AC219" s="4">
        <f>IF(OR($B219="",G219=""),"",IF($B219=0,--(G219=0),""))</f>
        <v/>
      </c>
      <c r="AD219" s="4">
        <f>IF(G219="","",--(G219=1))</f>
        <v/>
      </c>
      <c r="AE219" s="4">
        <f>IF(OR($B219="",H219=""),"",--(H219=$B219))</f>
        <v/>
      </c>
      <c r="AF219" s="4">
        <f>IF(OR($B219="",H219=""),"",IF($B219=1,--(H219=1),""))</f>
        <v/>
      </c>
      <c r="AG219" s="4">
        <f>IF(OR($B219="",H219=""),"",IF($B219=0,--(H219=0),""))</f>
        <v/>
      </c>
      <c r="AH219" s="4">
        <f>IF(H219="","",--(H219=1))</f>
        <v/>
      </c>
      <c r="AI219" s="4">
        <f>IF(OR($B219="",I219=""),"",--(I219=$B219))</f>
        <v/>
      </c>
      <c r="AJ219" s="4">
        <f>IF(OR($B219="",I219=""),"",IF($B219=1,--(I219=1),""))</f>
        <v/>
      </c>
      <c r="AK219" s="4">
        <f>IF(OR($B219="",I219=""),"",IF($B219=0,--(I219=0),""))</f>
        <v/>
      </c>
      <c r="AL219" s="4">
        <f>IF(I219="","",--(I219=1))</f>
        <v/>
      </c>
      <c r="AM219" s="4">
        <f>IF(OR($B219="",J219=""),"",--(J219=$B219))</f>
        <v/>
      </c>
      <c r="AN219" s="4">
        <f>IF(OR($B219="",J219=""),"",IF($B219=1,--(J219=1),""))</f>
        <v/>
      </c>
      <c r="AO219" s="4">
        <f>IF(OR($B219="",J219=""),"",IF($B219=0,--(J219=0),""))</f>
        <v/>
      </c>
      <c r="AP219" s="4">
        <f>IF(J219="","",--(J219=1))</f>
        <v/>
      </c>
      <c r="AQ219" s="4">
        <f>IF(OR($B219="",K219=""),"",--(K219=$B219))</f>
        <v/>
      </c>
      <c r="AR219" s="4">
        <f>IF(OR($B219="",K219=""),"",IF($B219=1,--(K219=1),""))</f>
        <v/>
      </c>
      <c r="AS219" s="4">
        <f>IF(OR($B219="",K219=""),"",IF($B219=0,--(K219=0),""))</f>
        <v/>
      </c>
      <c r="AT219" s="4">
        <f>IF(K219="","",--(K219=1))</f>
        <v/>
      </c>
      <c r="AU219" s="4">
        <f>IF(OR($B219="",L219=""),"",--(L219=$B219))</f>
        <v/>
      </c>
      <c r="AV219" s="4">
        <f>IF(OR($B219="",L219=""),"",IF($B219=1,--(L219=1),""))</f>
        <v/>
      </c>
      <c r="AW219" s="4">
        <f>IF(OR($B219="",L219=""),"",IF($B219=0,--(L219=0),""))</f>
        <v/>
      </c>
      <c r="AX219" s="4">
        <f>IF(L219="","",--(L219=1))</f>
        <v/>
      </c>
      <c r="AY219" s="4">
        <f>IF(OR($B219="",M219=""),"",--(M219=$B219))</f>
        <v/>
      </c>
      <c r="AZ219" s="4">
        <f>IF(OR($B219="",M219=""),"",IF($B219=1,--(M219=1),""))</f>
        <v/>
      </c>
      <c r="BA219" s="4">
        <f>IF(OR($B219="",M219=""),"",IF($B219=0,--(M219=0),""))</f>
        <v/>
      </c>
      <c r="BB219" s="4">
        <f>IF(M219="","",--(M219=1))</f>
        <v/>
      </c>
      <c r="BC219" s="4">
        <f>IF(OR($B219="",N219=""),"",--(N219=$B219))</f>
        <v/>
      </c>
      <c r="BD219" s="4">
        <f>IF(OR($B219="",N219=""),"",IF($B219=1,--(N219=1),""))</f>
        <v/>
      </c>
      <c r="BE219" s="4">
        <f>IF(OR($B219="",N219=""),"",IF($B219=0,--(N219=0),""))</f>
        <v/>
      </c>
      <c r="BF219" s="4">
        <f>IF(N219="","",--(N219=1))</f>
        <v/>
      </c>
    </row>
    <row r="220">
      <c r="A220" s="3" t="inlineStr">
        <is>
          <t>202121459</t>
        </is>
      </c>
      <c r="B220" s="3" t="inlineStr">
        <is>
          <t>1</t>
        </is>
      </c>
      <c r="C220" s="3" t="inlineStr">
        <is>
          <t>Direct</t>
        </is>
      </c>
      <c r="D220" s="3" t="inlineStr">
        <is>
          <t>1</t>
        </is>
      </c>
      <c r="E220" s="3" t="inlineStr">
        <is>
          <t>0</t>
        </is>
      </c>
      <c r="F220" s="3" t="inlineStr">
        <is>
          <t>0</t>
        </is>
      </c>
      <c r="G220" s="3" t="inlineStr">
        <is>
          <t>1</t>
        </is>
      </c>
      <c r="H220" s="3" t="inlineStr">
        <is>
          <t>1</t>
        </is>
      </c>
      <c r="I220" s="3" t="inlineStr">
        <is>
          <t>0</t>
        </is>
      </c>
      <c r="J220" s="3" t="inlineStr">
        <is>
          <t>0</t>
        </is>
      </c>
      <c r="K220" s="3" t="inlineStr">
        <is>
          <t>1</t>
        </is>
      </c>
      <c r="L220" s="3" t="inlineStr">
        <is>
          <t>1</t>
        </is>
      </c>
      <c r="M220" s="3" t="inlineStr">
        <is>
          <t>1</t>
        </is>
      </c>
      <c r="N220" s="3" t="inlineStr">
        <is>
          <t>1</t>
        </is>
      </c>
      <c r="O220" s="4">
        <f>IF(OR($B220="",D220=""),"",--(D220=$B220))</f>
        <v/>
      </c>
      <c r="P220" s="4">
        <f>IF(OR($B220="",D220=""),"",IF($B220=1,--(D220=1),""))</f>
        <v/>
      </c>
      <c r="Q220" s="4">
        <f>IF(OR($B220="",D220=""),"",IF($B220=0,--(D220=0),""))</f>
        <v/>
      </c>
      <c r="R220" s="4">
        <f>IF(D220="","",--(D220=1))</f>
        <v/>
      </c>
      <c r="S220" s="4">
        <f>IF(OR($B220="",E220=""),"",--(E220=$B220))</f>
        <v/>
      </c>
      <c r="T220" s="4">
        <f>IF(OR($B220="",E220=""),"",IF($B220=1,--(E220=1),""))</f>
        <v/>
      </c>
      <c r="U220" s="4">
        <f>IF(OR($B220="",E220=""),"",IF($B220=0,--(E220=0),""))</f>
        <v/>
      </c>
      <c r="V220" s="4">
        <f>IF(E220="","",--(E220=1))</f>
        <v/>
      </c>
      <c r="W220" s="4">
        <f>IF(OR($B220="",F220=""),"",--(F220=$B220))</f>
        <v/>
      </c>
      <c r="X220" s="4">
        <f>IF(OR($B220="",F220=""),"",IF($B220=1,--(F220=1),""))</f>
        <v/>
      </c>
      <c r="Y220" s="4">
        <f>IF(OR($B220="",F220=""),"",IF($B220=0,--(F220=0),""))</f>
        <v/>
      </c>
      <c r="Z220" s="4">
        <f>IF(F220="","",--(F220=1))</f>
        <v/>
      </c>
      <c r="AA220" s="4">
        <f>IF(OR($B220="",G220=""),"",--(G220=$B220))</f>
        <v/>
      </c>
      <c r="AB220" s="4">
        <f>IF(OR($B220="",G220=""),"",IF($B220=1,--(G220=1),""))</f>
        <v/>
      </c>
      <c r="AC220" s="4">
        <f>IF(OR($B220="",G220=""),"",IF($B220=0,--(G220=0),""))</f>
        <v/>
      </c>
      <c r="AD220" s="4">
        <f>IF(G220="","",--(G220=1))</f>
        <v/>
      </c>
      <c r="AE220" s="4">
        <f>IF(OR($B220="",H220=""),"",--(H220=$B220))</f>
        <v/>
      </c>
      <c r="AF220" s="4">
        <f>IF(OR($B220="",H220=""),"",IF($B220=1,--(H220=1),""))</f>
        <v/>
      </c>
      <c r="AG220" s="4">
        <f>IF(OR($B220="",H220=""),"",IF($B220=0,--(H220=0),""))</f>
        <v/>
      </c>
      <c r="AH220" s="4">
        <f>IF(H220="","",--(H220=1))</f>
        <v/>
      </c>
      <c r="AI220" s="4">
        <f>IF(OR($B220="",I220=""),"",--(I220=$B220))</f>
        <v/>
      </c>
      <c r="AJ220" s="4">
        <f>IF(OR($B220="",I220=""),"",IF($B220=1,--(I220=1),""))</f>
        <v/>
      </c>
      <c r="AK220" s="4">
        <f>IF(OR($B220="",I220=""),"",IF($B220=0,--(I220=0),""))</f>
        <v/>
      </c>
      <c r="AL220" s="4">
        <f>IF(I220="","",--(I220=1))</f>
        <v/>
      </c>
      <c r="AM220" s="4">
        <f>IF(OR($B220="",J220=""),"",--(J220=$B220))</f>
        <v/>
      </c>
      <c r="AN220" s="4">
        <f>IF(OR($B220="",J220=""),"",IF($B220=1,--(J220=1),""))</f>
        <v/>
      </c>
      <c r="AO220" s="4">
        <f>IF(OR($B220="",J220=""),"",IF($B220=0,--(J220=0),""))</f>
        <v/>
      </c>
      <c r="AP220" s="4">
        <f>IF(J220="","",--(J220=1))</f>
        <v/>
      </c>
      <c r="AQ220" s="4">
        <f>IF(OR($B220="",K220=""),"",--(K220=$B220))</f>
        <v/>
      </c>
      <c r="AR220" s="4">
        <f>IF(OR($B220="",K220=""),"",IF($B220=1,--(K220=1),""))</f>
        <v/>
      </c>
      <c r="AS220" s="4">
        <f>IF(OR($B220="",K220=""),"",IF($B220=0,--(K220=0),""))</f>
        <v/>
      </c>
      <c r="AT220" s="4">
        <f>IF(K220="","",--(K220=1))</f>
        <v/>
      </c>
      <c r="AU220" s="4">
        <f>IF(OR($B220="",L220=""),"",--(L220=$B220))</f>
        <v/>
      </c>
      <c r="AV220" s="4">
        <f>IF(OR($B220="",L220=""),"",IF($B220=1,--(L220=1),""))</f>
        <v/>
      </c>
      <c r="AW220" s="4">
        <f>IF(OR($B220="",L220=""),"",IF($B220=0,--(L220=0),""))</f>
        <v/>
      </c>
      <c r="AX220" s="4">
        <f>IF(L220="","",--(L220=1))</f>
        <v/>
      </c>
      <c r="AY220" s="4">
        <f>IF(OR($B220="",M220=""),"",--(M220=$B220))</f>
        <v/>
      </c>
      <c r="AZ220" s="4">
        <f>IF(OR($B220="",M220=""),"",IF($B220=1,--(M220=1),""))</f>
        <v/>
      </c>
      <c r="BA220" s="4">
        <f>IF(OR($B220="",M220=""),"",IF($B220=0,--(M220=0),""))</f>
        <v/>
      </c>
      <c r="BB220" s="4">
        <f>IF(M220="","",--(M220=1))</f>
        <v/>
      </c>
      <c r="BC220" s="4">
        <f>IF(OR($B220="",N220=""),"",--(N220=$B220))</f>
        <v/>
      </c>
      <c r="BD220" s="4">
        <f>IF(OR($B220="",N220=""),"",IF($B220=1,--(N220=1),""))</f>
        <v/>
      </c>
      <c r="BE220" s="4">
        <f>IF(OR($B220="",N220=""),"",IF($B220=0,--(N220=0),""))</f>
        <v/>
      </c>
      <c r="BF220" s="4">
        <f>IF(N220="","",--(N220=1))</f>
        <v/>
      </c>
    </row>
    <row r="221">
      <c r="A221" s="3" t="inlineStr">
        <is>
          <t>202121526</t>
        </is>
      </c>
      <c r="B221" s="3" t="inlineStr">
        <is>
          <t>0</t>
        </is>
      </c>
      <c r="C221" s="3" t="inlineStr">
        <is>
          <t>Direct</t>
        </is>
      </c>
      <c r="D221" s="3" t="inlineStr">
        <is>
          <t>1</t>
        </is>
      </c>
      <c r="E221" s="3" t="inlineStr">
        <is>
          <t>1</t>
        </is>
      </c>
      <c r="F221" s="3" t="inlineStr">
        <is>
          <t>1</t>
        </is>
      </c>
      <c r="G221" s="3" t="inlineStr">
        <is>
          <t>0</t>
        </is>
      </c>
      <c r="H221" s="3" t="inlineStr">
        <is>
          <t>0</t>
        </is>
      </c>
      <c r="I221" s="3" t="inlineStr">
        <is>
          <t>1</t>
        </is>
      </c>
      <c r="J221" s="3" t="inlineStr">
        <is>
          <t>1</t>
        </is>
      </c>
      <c r="K221" s="3" t="inlineStr">
        <is>
          <t>1</t>
        </is>
      </c>
      <c r="L221" s="3" t="inlineStr">
        <is>
          <t>1</t>
        </is>
      </c>
      <c r="M221" s="3" t="inlineStr">
        <is>
          <t>1</t>
        </is>
      </c>
      <c r="N221" s="3" t="inlineStr">
        <is>
          <t>1</t>
        </is>
      </c>
      <c r="O221" s="4">
        <f>IF(OR($B221="",D221=""),"",--(D221=$B221))</f>
        <v/>
      </c>
      <c r="P221" s="4">
        <f>IF(OR($B221="",D221=""),"",IF($B221=1,--(D221=1),""))</f>
        <v/>
      </c>
      <c r="Q221" s="4">
        <f>IF(OR($B221="",D221=""),"",IF($B221=0,--(D221=0),""))</f>
        <v/>
      </c>
      <c r="R221" s="4">
        <f>IF(D221="","",--(D221=1))</f>
        <v/>
      </c>
      <c r="S221" s="4">
        <f>IF(OR($B221="",E221=""),"",--(E221=$B221))</f>
        <v/>
      </c>
      <c r="T221" s="4">
        <f>IF(OR($B221="",E221=""),"",IF($B221=1,--(E221=1),""))</f>
        <v/>
      </c>
      <c r="U221" s="4">
        <f>IF(OR($B221="",E221=""),"",IF($B221=0,--(E221=0),""))</f>
        <v/>
      </c>
      <c r="V221" s="4">
        <f>IF(E221="","",--(E221=1))</f>
        <v/>
      </c>
      <c r="W221" s="4">
        <f>IF(OR($B221="",F221=""),"",--(F221=$B221))</f>
        <v/>
      </c>
      <c r="X221" s="4">
        <f>IF(OR($B221="",F221=""),"",IF($B221=1,--(F221=1),""))</f>
        <v/>
      </c>
      <c r="Y221" s="4">
        <f>IF(OR($B221="",F221=""),"",IF($B221=0,--(F221=0),""))</f>
        <v/>
      </c>
      <c r="Z221" s="4">
        <f>IF(F221="","",--(F221=1))</f>
        <v/>
      </c>
      <c r="AA221" s="4">
        <f>IF(OR($B221="",G221=""),"",--(G221=$B221))</f>
        <v/>
      </c>
      <c r="AB221" s="4">
        <f>IF(OR($B221="",G221=""),"",IF($B221=1,--(G221=1),""))</f>
        <v/>
      </c>
      <c r="AC221" s="4">
        <f>IF(OR($B221="",G221=""),"",IF($B221=0,--(G221=0),""))</f>
        <v/>
      </c>
      <c r="AD221" s="4">
        <f>IF(G221="","",--(G221=1))</f>
        <v/>
      </c>
      <c r="AE221" s="4">
        <f>IF(OR($B221="",H221=""),"",--(H221=$B221))</f>
        <v/>
      </c>
      <c r="AF221" s="4">
        <f>IF(OR($B221="",H221=""),"",IF($B221=1,--(H221=1),""))</f>
        <v/>
      </c>
      <c r="AG221" s="4">
        <f>IF(OR($B221="",H221=""),"",IF($B221=0,--(H221=0),""))</f>
        <v/>
      </c>
      <c r="AH221" s="4">
        <f>IF(H221="","",--(H221=1))</f>
        <v/>
      </c>
      <c r="AI221" s="4">
        <f>IF(OR($B221="",I221=""),"",--(I221=$B221))</f>
        <v/>
      </c>
      <c r="AJ221" s="4">
        <f>IF(OR($B221="",I221=""),"",IF($B221=1,--(I221=1),""))</f>
        <v/>
      </c>
      <c r="AK221" s="4">
        <f>IF(OR($B221="",I221=""),"",IF($B221=0,--(I221=0),""))</f>
        <v/>
      </c>
      <c r="AL221" s="4">
        <f>IF(I221="","",--(I221=1))</f>
        <v/>
      </c>
      <c r="AM221" s="4">
        <f>IF(OR($B221="",J221=""),"",--(J221=$B221))</f>
        <v/>
      </c>
      <c r="AN221" s="4">
        <f>IF(OR($B221="",J221=""),"",IF($B221=1,--(J221=1),""))</f>
        <v/>
      </c>
      <c r="AO221" s="4">
        <f>IF(OR($B221="",J221=""),"",IF($B221=0,--(J221=0),""))</f>
        <v/>
      </c>
      <c r="AP221" s="4">
        <f>IF(J221="","",--(J221=1))</f>
        <v/>
      </c>
      <c r="AQ221" s="4">
        <f>IF(OR($B221="",K221=""),"",--(K221=$B221))</f>
        <v/>
      </c>
      <c r="AR221" s="4">
        <f>IF(OR($B221="",K221=""),"",IF($B221=1,--(K221=1),""))</f>
        <v/>
      </c>
      <c r="AS221" s="4">
        <f>IF(OR($B221="",K221=""),"",IF($B221=0,--(K221=0),""))</f>
        <v/>
      </c>
      <c r="AT221" s="4">
        <f>IF(K221="","",--(K221=1))</f>
        <v/>
      </c>
      <c r="AU221" s="4">
        <f>IF(OR($B221="",L221=""),"",--(L221=$B221))</f>
        <v/>
      </c>
      <c r="AV221" s="4">
        <f>IF(OR($B221="",L221=""),"",IF($B221=1,--(L221=1),""))</f>
        <v/>
      </c>
      <c r="AW221" s="4">
        <f>IF(OR($B221="",L221=""),"",IF($B221=0,--(L221=0),""))</f>
        <v/>
      </c>
      <c r="AX221" s="4">
        <f>IF(L221="","",--(L221=1))</f>
        <v/>
      </c>
      <c r="AY221" s="4">
        <f>IF(OR($B221="",M221=""),"",--(M221=$B221))</f>
        <v/>
      </c>
      <c r="AZ221" s="4">
        <f>IF(OR($B221="",M221=""),"",IF($B221=1,--(M221=1),""))</f>
        <v/>
      </c>
      <c r="BA221" s="4">
        <f>IF(OR($B221="",M221=""),"",IF($B221=0,--(M221=0),""))</f>
        <v/>
      </c>
      <c r="BB221" s="4">
        <f>IF(M221="","",--(M221=1))</f>
        <v/>
      </c>
      <c r="BC221" s="4">
        <f>IF(OR($B221="",N221=""),"",--(N221=$B221))</f>
        <v/>
      </c>
      <c r="BD221" s="4">
        <f>IF(OR($B221="",N221=""),"",IF($B221=1,--(N221=1),""))</f>
        <v/>
      </c>
      <c r="BE221" s="4">
        <f>IF(OR($B221="",N221=""),"",IF($B221=0,--(N221=0),""))</f>
        <v/>
      </c>
      <c r="BF221" s="4">
        <f>IF(N221="","",--(N221=1))</f>
        <v/>
      </c>
    </row>
    <row r="222">
      <c r="A222" s="3" t="inlineStr">
        <is>
          <t>202121556</t>
        </is>
      </c>
      <c r="B222" s="3" t="inlineStr">
        <is>
          <t>1</t>
        </is>
      </c>
      <c r="C222" s="3" t="inlineStr">
        <is>
          <t>Direct</t>
        </is>
      </c>
      <c r="D222" s="3" t="inlineStr">
        <is>
          <t>1</t>
        </is>
      </c>
      <c r="E222" s="3" t="inlineStr">
        <is>
          <t>1</t>
        </is>
      </c>
      <c r="F222" s="3" t="inlineStr">
        <is>
          <t>1</t>
        </is>
      </c>
      <c r="G222" s="3" t="inlineStr">
        <is>
          <t>1</t>
        </is>
      </c>
      <c r="H222" s="3" t="inlineStr">
        <is>
          <t>1</t>
        </is>
      </c>
      <c r="I222" s="3" t="inlineStr">
        <is>
          <t>1</t>
        </is>
      </c>
      <c r="J222" s="3" t="inlineStr">
        <is>
          <t>1</t>
        </is>
      </c>
      <c r="K222" s="3" t="inlineStr">
        <is>
          <t>1</t>
        </is>
      </c>
      <c r="L222" s="3" t="inlineStr">
        <is>
          <t>1</t>
        </is>
      </c>
      <c r="M222" s="3" t="inlineStr">
        <is>
          <t>1</t>
        </is>
      </c>
      <c r="N222" s="3" t="inlineStr">
        <is>
          <t>1</t>
        </is>
      </c>
      <c r="O222" s="4">
        <f>IF(OR($B222="",D222=""),"",--(D222=$B222))</f>
        <v/>
      </c>
      <c r="P222" s="4">
        <f>IF(OR($B222="",D222=""),"",IF($B222=1,--(D222=1),""))</f>
        <v/>
      </c>
      <c r="Q222" s="4">
        <f>IF(OR($B222="",D222=""),"",IF($B222=0,--(D222=0),""))</f>
        <v/>
      </c>
      <c r="R222" s="4">
        <f>IF(D222="","",--(D222=1))</f>
        <v/>
      </c>
      <c r="S222" s="4">
        <f>IF(OR($B222="",E222=""),"",--(E222=$B222))</f>
        <v/>
      </c>
      <c r="T222" s="4">
        <f>IF(OR($B222="",E222=""),"",IF($B222=1,--(E222=1),""))</f>
        <v/>
      </c>
      <c r="U222" s="4">
        <f>IF(OR($B222="",E222=""),"",IF($B222=0,--(E222=0),""))</f>
        <v/>
      </c>
      <c r="V222" s="4">
        <f>IF(E222="","",--(E222=1))</f>
        <v/>
      </c>
      <c r="W222" s="4">
        <f>IF(OR($B222="",F222=""),"",--(F222=$B222))</f>
        <v/>
      </c>
      <c r="X222" s="4">
        <f>IF(OR($B222="",F222=""),"",IF($B222=1,--(F222=1),""))</f>
        <v/>
      </c>
      <c r="Y222" s="4">
        <f>IF(OR($B222="",F222=""),"",IF($B222=0,--(F222=0),""))</f>
        <v/>
      </c>
      <c r="Z222" s="4">
        <f>IF(F222="","",--(F222=1))</f>
        <v/>
      </c>
      <c r="AA222" s="4">
        <f>IF(OR($B222="",G222=""),"",--(G222=$B222))</f>
        <v/>
      </c>
      <c r="AB222" s="4">
        <f>IF(OR($B222="",G222=""),"",IF($B222=1,--(G222=1),""))</f>
        <v/>
      </c>
      <c r="AC222" s="4">
        <f>IF(OR($B222="",G222=""),"",IF($B222=0,--(G222=0),""))</f>
        <v/>
      </c>
      <c r="AD222" s="4">
        <f>IF(G222="","",--(G222=1))</f>
        <v/>
      </c>
      <c r="AE222" s="4">
        <f>IF(OR($B222="",H222=""),"",--(H222=$B222))</f>
        <v/>
      </c>
      <c r="AF222" s="4">
        <f>IF(OR($B222="",H222=""),"",IF($B222=1,--(H222=1),""))</f>
        <v/>
      </c>
      <c r="AG222" s="4">
        <f>IF(OR($B222="",H222=""),"",IF($B222=0,--(H222=0),""))</f>
        <v/>
      </c>
      <c r="AH222" s="4">
        <f>IF(H222="","",--(H222=1))</f>
        <v/>
      </c>
      <c r="AI222" s="4">
        <f>IF(OR($B222="",I222=""),"",--(I222=$B222))</f>
        <v/>
      </c>
      <c r="AJ222" s="4">
        <f>IF(OR($B222="",I222=""),"",IF($B222=1,--(I222=1),""))</f>
        <v/>
      </c>
      <c r="AK222" s="4">
        <f>IF(OR($B222="",I222=""),"",IF($B222=0,--(I222=0),""))</f>
        <v/>
      </c>
      <c r="AL222" s="4">
        <f>IF(I222="","",--(I222=1))</f>
        <v/>
      </c>
      <c r="AM222" s="4">
        <f>IF(OR($B222="",J222=""),"",--(J222=$B222))</f>
        <v/>
      </c>
      <c r="AN222" s="4">
        <f>IF(OR($B222="",J222=""),"",IF($B222=1,--(J222=1),""))</f>
        <v/>
      </c>
      <c r="AO222" s="4">
        <f>IF(OR($B222="",J222=""),"",IF($B222=0,--(J222=0),""))</f>
        <v/>
      </c>
      <c r="AP222" s="4">
        <f>IF(J222="","",--(J222=1))</f>
        <v/>
      </c>
      <c r="AQ222" s="4">
        <f>IF(OR($B222="",K222=""),"",--(K222=$B222))</f>
        <v/>
      </c>
      <c r="AR222" s="4">
        <f>IF(OR($B222="",K222=""),"",IF($B222=1,--(K222=1),""))</f>
        <v/>
      </c>
      <c r="AS222" s="4">
        <f>IF(OR($B222="",K222=""),"",IF($B222=0,--(K222=0),""))</f>
        <v/>
      </c>
      <c r="AT222" s="4">
        <f>IF(K222="","",--(K222=1))</f>
        <v/>
      </c>
      <c r="AU222" s="4">
        <f>IF(OR($B222="",L222=""),"",--(L222=$B222))</f>
        <v/>
      </c>
      <c r="AV222" s="4">
        <f>IF(OR($B222="",L222=""),"",IF($B222=1,--(L222=1),""))</f>
        <v/>
      </c>
      <c r="AW222" s="4">
        <f>IF(OR($B222="",L222=""),"",IF($B222=0,--(L222=0),""))</f>
        <v/>
      </c>
      <c r="AX222" s="4">
        <f>IF(L222="","",--(L222=1))</f>
        <v/>
      </c>
      <c r="AY222" s="4">
        <f>IF(OR($B222="",M222=""),"",--(M222=$B222))</f>
        <v/>
      </c>
      <c r="AZ222" s="4">
        <f>IF(OR($B222="",M222=""),"",IF($B222=1,--(M222=1),""))</f>
        <v/>
      </c>
      <c r="BA222" s="4">
        <f>IF(OR($B222="",M222=""),"",IF($B222=0,--(M222=0),""))</f>
        <v/>
      </c>
      <c r="BB222" s="4">
        <f>IF(M222="","",--(M222=1))</f>
        <v/>
      </c>
      <c r="BC222" s="4">
        <f>IF(OR($B222="",N222=""),"",--(N222=$B222))</f>
        <v/>
      </c>
      <c r="BD222" s="4">
        <f>IF(OR($B222="",N222=""),"",IF($B222=1,--(N222=1),""))</f>
        <v/>
      </c>
      <c r="BE222" s="4">
        <f>IF(OR($B222="",N222=""),"",IF($B222=0,--(N222=0),""))</f>
        <v/>
      </c>
      <c r="BF222" s="4">
        <f>IF(N222="","",--(N222=1))</f>
        <v/>
      </c>
    </row>
    <row r="223">
      <c r="A223" s="3" t="inlineStr">
        <is>
          <t>202121640</t>
        </is>
      </c>
      <c r="B223" s="3" t="inlineStr">
        <is>
          <t>0</t>
        </is>
      </c>
      <c r="C223" s="3" t="inlineStr">
        <is>
          <t>Direct</t>
        </is>
      </c>
      <c r="D223" s="3" t="inlineStr">
        <is>
          <t>1</t>
        </is>
      </c>
      <c r="E223" s="3" t="inlineStr">
        <is>
          <t>1</t>
        </is>
      </c>
      <c r="F223" s="3" t="inlineStr">
        <is>
          <t>1</t>
        </is>
      </c>
      <c r="G223" s="3" t="inlineStr">
        <is>
          <t>1</t>
        </is>
      </c>
      <c r="H223" s="3" t="inlineStr">
        <is>
          <t>0</t>
        </is>
      </c>
      <c r="I223" s="3" t="inlineStr">
        <is>
          <t>1</t>
        </is>
      </c>
      <c r="J223" s="3" t="inlineStr">
        <is>
          <t>1</t>
        </is>
      </c>
      <c r="K223" s="3" t="inlineStr">
        <is>
          <t>1</t>
        </is>
      </c>
      <c r="L223" s="3" t="inlineStr">
        <is>
          <t>1</t>
        </is>
      </c>
      <c r="M223" s="3" t="inlineStr">
        <is>
          <t>1</t>
        </is>
      </c>
      <c r="N223" s="3" t="inlineStr">
        <is>
          <t>1</t>
        </is>
      </c>
      <c r="O223" s="4">
        <f>IF(OR($B223="",D223=""),"",--(D223=$B223))</f>
        <v/>
      </c>
      <c r="P223" s="4">
        <f>IF(OR($B223="",D223=""),"",IF($B223=1,--(D223=1),""))</f>
        <v/>
      </c>
      <c r="Q223" s="4">
        <f>IF(OR($B223="",D223=""),"",IF($B223=0,--(D223=0),""))</f>
        <v/>
      </c>
      <c r="R223" s="4">
        <f>IF(D223="","",--(D223=1))</f>
        <v/>
      </c>
      <c r="S223" s="4">
        <f>IF(OR($B223="",E223=""),"",--(E223=$B223))</f>
        <v/>
      </c>
      <c r="T223" s="4">
        <f>IF(OR($B223="",E223=""),"",IF($B223=1,--(E223=1),""))</f>
        <v/>
      </c>
      <c r="U223" s="4">
        <f>IF(OR($B223="",E223=""),"",IF($B223=0,--(E223=0),""))</f>
        <v/>
      </c>
      <c r="V223" s="4">
        <f>IF(E223="","",--(E223=1))</f>
        <v/>
      </c>
      <c r="W223" s="4">
        <f>IF(OR($B223="",F223=""),"",--(F223=$B223))</f>
        <v/>
      </c>
      <c r="X223" s="4">
        <f>IF(OR($B223="",F223=""),"",IF($B223=1,--(F223=1),""))</f>
        <v/>
      </c>
      <c r="Y223" s="4">
        <f>IF(OR($B223="",F223=""),"",IF($B223=0,--(F223=0),""))</f>
        <v/>
      </c>
      <c r="Z223" s="4">
        <f>IF(F223="","",--(F223=1))</f>
        <v/>
      </c>
      <c r="AA223" s="4">
        <f>IF(OR($B223="",G223=""),"",--(G223=$B223))</f>
        <v/>
      </c>
      <c r="AB223" s="4">
        <f>IF(OR($B223="",G223=""),"",IF($B223=1,--(G223=1),""))</f>
        <v/>
      </c>
      <c r="AC223" s="4">
        <f>IF(OR($B223="",G223=""),"",IF($B223=0,--(G223=0),""))</f>
        <v/>
      </c>
      <c r="AD223" s="4">
        <f>IF(G223="","",--(G223=1))</f>
        <v/>
      </c>
      <c r="AE223" s="4">
        <f>IF(OR($B223="",H223=""),"",--(H223=$B223))</f>
        <v/>
      </c>
      <c r="AF223" s="4">
        <f>IF(OR($B223="",H223=""),"",IF($B223=1,--(H223=1),""))</f>
        <v/>
      </c>
      <c r="AG223" s="4">
        <f>IF(OR($B223="",H223=""),"",IF($B223=0,--(H223=0),""))</f>
        <v/>
      </c>
      <c r="AH223" s="4">
        <f>IF(H223="","",--(H223=1))</f>
        <v/>
      </c>
      <c r="AI223" s="4">
        <f>IF(OR($B223="",I223=""),"",--(I223=$B223))</f>
        <v/>
      </c>
      <c r="AJ223" s="4">
        <f>IF(OR($B223="",I223=""),"",IF($B223=1,--(I223=1),""))</f>
        <v/>
      </c>
      <c r="AK223" s="4">
        <f>IF(OR($B223="",I223=""),"",IF($B223=0,--(I223=0),""))</f>
        <v/>
      </c>
      <c r="AL223" s="4">
        <f>IF(I223="","",--(I223=1))</f>
        <v/>
      </c>
      <c r="AM223" s="4">
        <f>IF(OR($B223="",J223=""),"",--(J223=$B223))</f>
        <v/>
      </c>
      <c r="AN223" s="4">
        <f>IF(OR($B223="",J223=""),"",IF($B223=1,--(J223=1),""))</f>
        <v/>
      </c>
      <c r="AO223" s="4">
        <f>IF(OR($B223="",J223=""),"",IF($B223=0,--(J223=0),""))</f>
        <v/>
      </c>
      <c r="AP223" s="4">
        <f>IF(J223="","",--(J223=1))</f>
        <v/>
      </c>
      <c r="AQ223" s="4">
        <f>IF(OR($B223="",K223=""),"",--(K223=$B223))</f>
        <v/>
      </c>
      <c r="AR223" s="4">
        <f>IF(OR($B223="",K223=""),"",IF($B223=1,--(K223=1),""))</f>
        <v/>
      </c>
      <c r="AS223" s="4">
        <f>IF(OR($B223="",K223=""),"",IF($B223=0,--(K223=0),""))</f>
        <v/>
      </c>
      <c r="AT223" s="4">
        <f>IF(K223="","",--(K223=1))</f>
        <v/>
      </c>
      <c r="AU223" s="4">
        <f>IF(OR($B223="",L223=""),"",--(L223=$B223))</f>
        <v/>
      </c>
      <c r="AV223" s="4">
        <f>IF(OR($B223="",L223=""),"",IF($B223=1,--(L223=1),""))</f>
        <v/>
      </c>
      <c r="AW223" s="4">
        <f>IF(OR($B223="",L223=""),"",IF($B223=0,--(L223=0),""))</f>
        <v/>
      </c>
      <c r="AX223" s="4">
        <f>IF(L223="","",--(L223=1))</f>
        <v/>
      </c>
      <c r="AY223" s="4">
        <f>IF(OR($B223="",M223=""),"",--(M223=$B223))</f>
        <v/>
      </c>
      <c r="AZ223" s="4">
        <f>IF(OR($B223="",M223=""),"",IF($B223=1,--(M223=1),""))</f>
        <v/>
      </c>
      <c r="BA223" s="4">
        <f>IF(OR($B223="",M223=""),"",IF($B223=0,--(M223=0),""))</f>
        <v/>
      </c>
      <c r="BB223" s="4">
        <f>IF(M223="","",--(M223=1))</f>
        <v/>
      </c>
      <c r="BC223" s="4">
        <f>IF(OR($B223="",N223=""),"",--(N223=$B223))</f>
        <v/>
      </c>
      <c r="BD223" s="4">
        <f>IF(OR($B223="",N223=""),"",IF($B223=1,--(N223=1),""))</f>
        <v/>
      </c>
      <c r="BE223" s="4">
        <f>IF(OR($B223="",N223=""),"",IF($B223=0,--(N223=0),""))</f>
        <v/>
      </c>
      <c r="BF223" s="4">
        <f>IF(N223="","",--(N223=1))</f>
        <v/>
      </c>
    </row>
    <row r="224">
      <c r="A224" s="3" t="inlineStr">
        <is>
          <t>20212219</t>
        </is>
      </c>
      <c r="B224" s="3" t="inlineStr">
        <is>
          <t>1</t>
        </is>
      </c>
      <c r="C224" s="3" t="inlineStr">
        <is>
          <t>Direct</t>
        </is>
      </c>
      <c r="D224" s="3" t="inlineStr">
        <is>
          <t>1</t>
        </is>
      </c>
      <c r="E224" s="3" t="inlineStr">
        <is>
          <t>1</t>
        </is>
      </c>
      <c r="F224" s="3" t="inlineStr">
        <is>
          <t>1</t>
        </is>
      </c>
      <c r="G224" s="3" t="inlineStr">
        <is>
          <t>1</t>
        </is>
      </c>
      <c r="H224" s="3" t="inlineStr">
        <is>
          <t>1</t>
        </is>
      </c>
      <c r="I224" s="3" t="inlineStr">
        <is>
          <t>1</t>
        </is>
      </c>
      <c r="J224" s="3" t="inlineStr">
        <is>
          <t>1</t>
        </is>
      </c>
      <c r="K224" s="3" t="inlineStr">
        <is>
          <t>1</t>
        </is>
      </c>
      <c r="L224" s="3" t="inlineStr">
        <is>
          <t>1</t>
        </is>
      </c>
      <c r="M224" s="3" t="inlineStr">
        <is>
          <t>1</t>
        </is>
      </c>
      <c r="N224" s="3" t="inlineStr">
        <is>
          <t>1</t>
        </is>
      </c>
      <c r="O224" s="4">
        <f>IF(OR($B224="",D224=""),"",--(D224=$B224))</f>
        <v/>
      </c>
      <c r="P224" s="4">
        <f>IF(OR($B224="",D224=""),"",IF($B224=1,--(D224=1),""))</f>
        <v/>
      </c>
      <c r="Q224" s="4">
        <f>IF(OR($B224="",D224=""),"",IF($B224=0,--(D224=0),""))</f>
        <v/>
      </c>
      <c r="R224" s="4">
        <f>IF(D224="","",--(D224=1))</f>
        <v/>
      </c>
      <c r="S224" s="4">
        <f>IF(OR($B224="",E224=""),"",--(E224=$B224))</f>
        <v/>
      </c>
      <c r="T224" s="4">
        <f>IF(OR($B224="",E224=""),"",IF($B224=1,--(E224=1),""))</f>
        <v/>
      </c>
      <c r="U224" s="4">
        <f>IF(OR($B224="",E224=""),"",IF($B224=0,--(E224=0),""))</f>
        <v/>
      </c>
      <c r="V224" s="4">
        <f>IF(E224="","",--(E224=1))</f>
        <v/>
      </c>
      <c r="W224" s="4">
        <f>IF(OR($B224="",F224=""),"",--(F224=$B224))</f>
        <v/>
      </c>
      <c r="X224" s="4">
        <f>IF(OR($B224="",F224=""),"",IF($B224=1,--(F224=1),""))</f>
        <v/>
      </c>
      <c r="Y224" s="4">
        <f>IF(OR($B224="",F224=""),"",IF($B224=0,--(F224=0),""))</f>
        <v/>
      </c>
      <c r="Z224" s="4">
        <f>IF(F224="","",--(F224=1))</f>
        <v/>
      </c>
      <c r="AA224" s="4">
        <f>IF(OR($B224="",G224=""),"",--(G224=$B224))</f>
        <v/>
      </c>
      <c r="AB224" s="4">
        <f>IF(OR($B224="",G224=""),"",IF($B224=1,--(G224=1),""))</f>
        <v/>
      </c>
      <c r="AC224" s="4">
        <f>IF(OR($B224="",G224=""),"",IF($B224=0,--(G224=0),""))</f>
        <v/>
      </c>
      <c r="AD224" s="4">
        <f>IF(G224="","",--(G224=1))</f>
        <v/>
      </c>
      <c r="AE224" s="4">
        <f>IF(OR($B224="",H224=""),"",--(H224=$B224))</f>
        <v/>
      </c>
      <c r="AF224" s="4">
        <f>IF(OR($B224="",H224=""),"",IF($B224=1,--(H224=1),""))</f>
        <v/>
      </c>
      <c r="AG224" s="4">
        <f>IF(OR($B224="",H224=""),"",IF($B224=0,--(H224=0),""))</f>
        <v/>
      </c>
      <c r="AH224" s="4">
        <f>IF(H224="","",--(H224=1))</f>
        <v/>
      </c>
      <c r="AI224" s="4">
        <f>IF(OR($B224="",I224=""),"",--(I224=$B224))</f>
        <v/>
      </c>
      <c r="AJ224" s="4">
        <f>IF(OR($B224="",I224=""),"",IF($B224=1,--(I224=1),""))</f>
        <v/>
      </c>
      <c r="AK224" s="4">
        <f>IF(OR($B224="",I224=""),"",IF($B224=0,--(I224=0),""))</f>
        <v/>
      </c>
      <c r="AL224" s="4">
        <f>IF(I224="","",--(I224=1))</f>
        <v/>
      </c>
      <c r="AM224" s="4">
        <f>IF(OR($B224="",J224=""),"",--(J224=$B224))</f>
        <v/>
      </c>
      <c r="AN224" s="4">
        <f>IF(OR($B224="",J224=""),"",IF($B224=1,--(J224=1),""))</f>
        <v/>
      </c>
      <c r="AO224" s="4">
        <f>IF(OR($B224="",J224=""),"",IF($B224=0,--(J224=0),""))</f>
        <v/>
      </c>
      <c r="AP224" s="4">
        <f>IF(J224="","",--(J224=1))</f>
        <v/>
      </c>
      <c r="AQ224" s="4">
        <f>IF(OR($B224="",K224=""),"",--(K224=$B224))</f>
        <v/>
      </c>
      <c r="AR224" s="4">
        <f>IF(OR($B224="",K224=""),"",IF($B224=1,--(K224=1),""))</f>
        <v/>
      </c>
      <c r="AS224" s="4">
        <f>IF(OR($B224="",K224=""),"",IF($B224=0,--(K224=0),""))</f>
        <v/>
      </c>
      <c r="AT224" s="4">
        <f>IF(K224="","",--(K224=1))</f>
        <v/>
      </c>
      <c r="AU224" s="4">
        <f>IF(OR($B224="",L224=""),"",--(L224=$B224))</f>
        <v/>
      </c>
      <c r="AV224" s="4">
        <f>IF(OR($B224="",L224=""),"",IF($B224=1,--(L224=1),""))</f>
        <v/>
      </c>
      <c r="AW224" s="4">
        <f>IF(OR($B224="",L224=""),"",IF($B224=0,--(L224=0),""))</f>
        <v/>
      </c>
      <c r="AX224" s="4">
        <f>IF(L224="","",--(L224=1))</f>
        <v/>
      </c>
      <c r="AY224" s="4">
        <f>IF(OR($B224="",M224=""),"",--(M224=$B224))</f>
        <v/>
      </c>
      <c r="AZ224" s="4">
        <f>IF(OR($B224="",M224=""),"",IF($B224=1,--(M224=1),""))</f>
        <v/>
      </c>
      <c r="BA224" s="4">
        <f>IF(OR($B224="",M224=""),"",IF($B224=0,--(M224=0),""))</f>
        <v/>
      </c>
      <c r="BB224" s="4">
        <f>IF(M224="","",--(M224=1))</f>
        <v/>
      </c>
      <c r="BC224" s="4">
        <f>IF(OR($B224="",N224=""),"",--(N224=$B224))</f>
        <v/>
      </c>
      <c r="BD224" s="4">
        <f>IF(OR($B224="",N224=""),"",IF($B224=1,--(N224=1),""))</f>
        <v/>
      </c>
      <c r="BE224" s="4">
        <f>IF(OR($B224="",N224=""),"",IF($B224=0,--(N224=0),""))</f>
        <v/>
      </c>
      <c r="BF224" s="4">
        <f>IF(N224="","",--(N224=1))</f>
        <v/>
      </c>
    </row>
    <row r="225">
      <c r="A225" s="3" t="inlineStr">
        <is>
          <t>202122208</t>
        </is>
      </c>
      <c r="B225" s="3" t="inlineStr">
        <is>
          <t>0</t>
        </is>
      </c>
      <c r="C225" s="3" t="inlineStr">
        <is>
          <t>Direct</t>
        </is>
      </c>
      <c r="D225" s="3" t="inlineStr">
        <is>
          <t>1</t>
        </is>
      </c>
      <c r="E225" s="3" t="inlineStr">
        <is>
          <t>0</t>
        </is>
      </c>
      <c r="F225" s="3" t="inlineStr">
        <is>
          <t>0</t>
        </is>
      </c>
      <c r="G225" s="3" t="inlineStr">
        <is>
          <t>0</t>
        </is>
      </c>
      <c r="H225" s="3" t="inlineStr">
        <is>
          <t>1</t>
        </is>
      </c>
      <c r="I225" s="3" t="inlineStr">
        <is>
          <t>0</t>
        </is>
      </c>
      <c r="J225" s="3" t="inlineStr">
        <is>
          <t>1</t>
        </is>
      </c>
      <c r="K225" s="3" t="inlineStr">
        <is>
          <t>0</t>
        </is>
      </c>
      <c r="L225" s="3" t="inlineStr">
        <is>
          <t>1</t>
        </is>
      </c>
      <c r="M225" s="3" t="inlineStr">
        <is>
          <t>1</t>
        </is>
      </c>
      <c r="N225" s="3" t="inlineStr">
        <is>
          <t>1</t>
        </is>
      </c>
      <c r="O225" s="4">
        <f>IF(OR($B225="",D225=""),"",--(D225=$B225))</f>
        <v/>
      </c>
      <c r="P225" s="4">
        <f>IF(OR($B225="",D225=""),"",IF($B225=1,--(D225=1),""))</f>
        <v/>
      </c>
      <c r="Q225" s="4">
        <f>IF(OR($B225="",D225=""),"",IF($B225=0,--(D225=0),""))</f>
        <v/>
      </c>
      <c r="R225" s="4">
        <f>IF(D225="","",--(D225=1))</f>
        <v/>
      </c>
      <c r="S225" s="4">
        <f>IF(OR($B225="",E225=""),"",--(E225=$B225))</f>
        <v/>
      </c>
      <c r="T225" s="4">
        <f>IF(OR($B225="",E225=""),"",IF($B225=1,--(E225=1),""))</f>
        <v/>
      </c>
      <c r="U225" s="4">
        <f>IF(OR($B225="",E225=""),"",IF($B225=0,--(E225=0),""))</f>
        <v/>
      </c>
      <c r="V225" s="4">
        <f>IF(E225="","",--(E225=1))</f>
        <v/>
      </c>
      <c r="W225" s="4">
        <f>IF(OR($B225="",F225=""),"",--(F225=$B225))</f>
        <v/>
      </c>
      <c r="X225" s="4">
        <f>IF(OR($B225="",F225=""),"",IF($B225=1,--(F225=1),""))</f>
        <v/>
      </c>
      <c r="Y225" s="4">
        <f>IF(OR($B225="",F225=""),"",IF($B225=0,--(F225=0),""))</f>
        <v/>
      </c>
      <c r="Z225" s="4">
        <f>IF(F225="","",--(F225=1))</f>
        <v/>
      </c>
      <c r="AA225" s="4">
        <f>IF(OR($B225="",G225=""),"",--(G225=$B225))</f>
        <v/>
      </c>
      <c r="AB225" s="4">
        <f>IF(OR($B225="",G225=""),"",IF($B225=1,--(G225=1),""))</f>
        <v/>
      </c>
      <c r="AC225" s="4">
        <f>IF(OR($B225="",G225=""),"",IF($B225=0,--(G225=0),""))</f>
        <v/>
      </c>
      <c r="AD225" s="4">
        <f>IF(G225="","",--(G225=1))</f>
        <v/>
      </c>
      <c r="AE225" s="4">
        <f>IF(OR($B225="",H225=""),"",--(H225=$B225))</f>
        <v/>
      </c>
      <c r="AF225" s="4">
        <f>IF(OR($B225="",H225=""),"",IF($B225=1,--(H225=1),""))</f>
        <v/>
      </c>
      <c r="AG225" s="4">
        <f>IF(OR($B225="",H225=""),"",IF($B225=0,--(H225=0),""))</f>
        <v/>
      </c>
      <c r="AH225" s="4">
        <f>IF(H225="","",--(H225=1))</f>
        <v/>
      </c>
      <c r="AI225" s="4">
        <f>IF(OR($B225="",I225=""),"",--(I225=$B225))</f>
        <v/>
      </c>
      <c r="AJ225" s="4">
        <f>IF(OR($B225="",I225=""),"",IF($B225=1,--(I225=1),""))</f>
        <v/>
      </c>
      <c r="AK225" s="4">
        <f>IF(OR($B225="",I225=""),"",IF($B225=0,--(I225=0),""))</f>
        <v/>
      </c>
      <c r="AL225" s="4">
        <f>IF(I225="","",--(I225=1))</f>
        <v/>
      </c>
      <c r="AM225" s="4">
        <f>IF(OR($B225="",J225=""),"",--(J225=$B225))</f>
        <v/>
      </c>
      <c r="AN225" s="4">
        <f>IF(OR($B225="",J225=""),"",IF($B225=1,--(J225=1),""))</f>
        <v/>
      </c>
      <c r="AO225" s="4">
        <f>IF(OR($B225="",J225=""),"",IF($B225=0,--(J225=0),""))</f>
        <v/>
      </c>
      <c r="AP225" s="4">
        <f>IF(J225="","",--(J225=1))</f>
        <v/>
      </c>
      <c r="AQ225" s="4">
        <f>IF(OR($B225="",K225=""),"",--(K225=$B225))</f>
        <v/>
      </c>
      <c r="AR225" s="4">
        <f>IF(OR($B225="",K225=""),"",IF($B225=1,--(K225=1),""))</f>
        <v/>
      </c>
      <c r="AS225" s="4">
        <f>IF(OR($B225="",K225=""),"",IF($B225=0,--(K225=0),""))</f>
        <v/>
      </c>
      <c r="AT225" s="4">
        <f>IF(K225="","",--(K225=1))</f>
        <v/>
      </c>
      <c r="AU225" s="4">
        <f>IF(OR($B225="",L225=""),"",--(L225=$B225))</f>
        <v/>
      </c>
      <c r="AV225" s="4">
        <f>IF(OR($B225="",L225=""),"",IF($B225=1,--(L225=1),""))</f>
        <v/>
      </c>
      <c r="AW225" s="4">
        <f>IF(OR($B225="",L225=""),"",IF($B225=0,--(L225=0),""))</f>
        <v/>
      </c>
      <c r="AX225" s="4">
        <f>IF(L225="","",--(L225=1))</f>
        <v/>
      </c>
      <c r="AY225" s="4">
        <f>IF(OR($B225="",M225=""),"",--(M225=$B225))</f>
        <v/>
      </c>
      <c r="AZ225" s="4">
        <f>IF(OR($B225="",M225=""),"",IF($B225=1,--(M225=1),""))</f>
        <v/>
      </c>
      <c r="BA225" s="4">
        <f>IF(OR($B225="",M225=""),"",IF($B225=0,--(M225=0),""))</f>
        <v/>
      </c>
      <c r="BB225" s="4">
        <f>IF(M225="","",--(M225=1))</f>
        <v/>
      </c>
      <c r="BC225" s="4">
        <f>IF(OR($B225="",N225=""),"",--(N225=$B225))</f>
        <v/>
      </c>
      <c r="BD225" s="4">
        <f>IF(OR($B225="",N225=""),"",IF($B225=1,--(N225=1),""))</f>
        <v/>
      </c>
      <c r="BE225" s="4">
        <f>IF(OR($B225="",N225=""),"",IF($B225=0,--(N225=0),""))</f>
        <v/>
      </c>
      <c r="BF225" s="4">
        <f>IF(N225="","",--(N225=1))</f>
        <v/>
      </c>
    </row>
    <row r="226">
      <c r="A226" s="3" t="inlineStr">
        <is>
          <t>20212265</t>
        </is>
      </c>
      <c r="B226" s="3" t="inlineStr">
        <is>
          <t>1</t>
        </is>
      </c>
      <c r="C226" s="3" t="inlineStr">
        <is>
          <t>Direct</t>
        </is>
      </c>
      <c r="D226" s="3" t="inlineStr">
        <is>
          <t>1</t>
        </is>
      </c>
      <c r="E226" s="3" t="inlineStr">
        <is>
          <t>0</t>
        </is>
      </c>
      <c r="F226" s="3" t="inlineStr">
        <is>
          <t>0</t>
        </is>
      </c>
      <c r="G226" s="3" t="inlineStr">
        <is>
          <t>1</t>
        </is>
      </c>
      <c r="H226" s="3" t="inlineStr">
        <is>
          <t>1</t>
        </is>
      </c>
      <c r="I226" s="3" t="inlineStr">
        <is>
          <t>1</t>
        </is>
      </c>
      <c r="J226" s="3" t="inlineStr">
        <is>
          <t>1</t>
        </is>
      </c>
      <c r="K226" s="3" t="inlineStr">
        <is>
          <t>1</t>
        </is>
      </c>
      <c r="L226" s="3" t="inlineStr">
        <is>
          <t>1</t>
        </is>
      </c>
      <c r="M226" s="3" t="inlineStr">
        <is>
          <t>1</t>
        </is>
      </c>
      <c r="N226" s="3" t="inlineStr">
        <is>
          <t>1</t>
        </is>
      </c>
      <c r="O226" s="4">
        <f>IF(OR($B226="",D226=""),"",--(D226=$B226))</f>
        <v/>
      </c>
      <c r="P226" s="4">
        <f>IF(OR($B226="",D226=""),"",IF($B226=1,--(D226=1),""))</f>
        <v/>
      </c>
      <c r="Q226" s="4">
        <f>IF(OR($B226="",D226=""),"",IF($B226=0,--(D226=0),""))</f>
        <v/>
      </c>
      <c r="R226" s="4">
        <f>IF(D226="","",--(D226=1))</f>
        <v/>
      </c>
      <c r="S226" s="4">
        <f>IF(OR($B226="",E226=""),"",--(E226=$B226))</f>
        <v/>
      </c>
      <c r="T226" s="4">
        <f>IF(OR($B226="",E226=""),"",IF($B226=1,--(E226=1),""))</f>
        <v/>
      </c>
      <c r="U226" s="4">
        <f>IF(OR($B226="",E226=""),"",IF($B226=0,--(E226=0),""))</f>
        <v/>
      </c>
      <c r="V226" s="4">
        <f>IF(E226="","",--(E226=1))</f>
        <v/>
      </c>
      <c r="W226" s="4">
        <f>IF(OR($B226="",F226=""),"",--(F226=$B226))</f>
        <v/>
      </c>
      <c r="X226" s="4">
        <f>IF(OR($B226="",F226=""),"",IF($B226=1,--(F226=1),""))</f>
        <v/>
      </c>
      <c r="Y226" s="4">
        <f>IF(OR($B226="",F226=""),"",IF($B226=0,--(F226=0),""))</f>
        <v/>
      </c>
      <c r="Z226" s="4">
        <f>IF(F226="","",--(F226=1))</f>
        <v/>
      </c>
      <c r="AA226" s="4">
        <f>IF(OR($B226="",G226=""),"",--(G226=$B226))</f>
        <v/>
      </c>
      <c r="AB226" s="4">
        <f>IF(OR($B226="",G226=""),"",IF($B226=1,--(G226=1),""))</f>
        <v/>
      </c>
      <c r="AC226" s="4">
        <f>IF(OR($B226="",G226=""),"",IF($B226=0,--(G226=0),""))</f>
        <v/>
      </c>
      <c r="AD226" s="4">
        <f>IF(G226="","",--(G226=1))</f>
        <v/>
      </c>
      <c r="AE226" s="4">
        <f>IF(OR($B226="",H226=""),"",--(H226=$B226))</f>
        <v/>
      </c>
      <c r="AF226" s="4">
        <f>IF(OR($B226="",H226=""),"",IF($B226=1,--(H226=1),""))</f>
        <v/>
      </c>
      <c r="AG226" s="4">
        <f>IF(OR($B226="",H226=""),"",IF($B226=0,--(H226=0),""))</f>
        <v/>
      </c>
      <c r="AH226" s="4">
        <f>IF(H226="","",--(H226=1))</f>
        <v/>
      </c>
      <c r="AI226" s="4">
        <f>IF(OR($B226="",I226=""),"",--(I226=$B226))</f>
        <v/>
      </c>
      <c r="AJ226" s="4">
        <f>IF(OR($B226="",I226=""),"",IF($B226=1,--(I226=1),""))</f>
        <v/>
      </c>
      <c r="AK226" s="4">
        <f>IF(OR($B226="",I226=""),"",IF($B226=0,--(I226=0),""))</f>
        <v/>
      </c>
      <c r="AL226" s="4">
        <f>IF(I226="","",--(I226=1))</f>
        <v/>
      </c>
      <c r="AM226" s="4">
        <f>IF(OR($B226="",J226=""),"",--(J226=$B226))</f>
        <v/>
      </c>
      <c r="AN226" s="4">
        <f>IF(OR($B226="",J226=""),"",IF($B226=1,--(J226=1),""))</f>
        <v/>
      </c>
      <c r="AO226" s="4">
        <f>IF(OR($B226="",J226=""),"",IF($B226=0,--(J226=0),""))</f>
        <v/>
      </c>
      <c r="AP226" s="4">
        <f>IF(J226="","",--(J226=1))</f>
        <v/>
      </c>
      <c r="AQ226" s="4">
        <f>IF(OR($B226="",K226=""),"",--(K226=$B226))</f>
        <v/>
      </c>
      <c r="AR226" s="4">
        <f>IF(OR($B226="",K226=""),"",IF($B226=1,--(K226=1),""))</f>
        <v/>
      </c>
      <c r="AS226" s="4">
        <f>IF(OR($B226="",K226=""),"",IF($B226=0,--(K226=0),""))</f>
        <v/>
      </c>
      <c r="AT226" s="4">
        <f>IF(K226="","",--(K226=1))</f>
        <v/>
      </c>
      <c r="AU226" s="4">
        <f>IF(OR($B226="",L226=""),"",--(L226=$B226))</f>
        <v/>
      </c>
      <c r="AV226" s="4">
        <f>IF(OR($B226="",L226=""),"",IF($B226=1,--(L226=1),""))</f>
        <v/>
      </c>
      <c r="AW226" s="4">
        <f>IF(OR($B226="",L226=""),"",IF($B226=0,--(L226=0),""))</f>
        <v/>
      </c>
      <c r="AX226" s="4">
        <f>IF(L226="","",--(L226=1))</f>
        <v/>
      </c>
      <c r="AY226" s="4">
        <f>IF(OR($B226="",M226=""),"",--(M226=$B226))</f>
        <v/>
      </c>
      <c r="AZ226" s="4">
        <f>IF(OR($B226="",M226=""),"",IF($B226=1,--(M226=1),""))</f>
        <v/>
      </c>
      <c r="BA226" s="4">
        <f>IF(OR($B226="",M226=""),"",IF($B226=0,--(M226=0),""))</f>
        <v/>
      </c>
      <c r="BB226" s="4">
        <f>IF(M226="","",--(M226=1))</f>
        <v/>
      </c>
      <c r="BC226" s="4">
        <f>IF(OR($B226="",N226=""),"",--(N226=$B226))</f>
        <v/>
      </c>
      <c r="BD226" s="4">
        <f>IF(OR($B226="",N226=""),"",IF($B226=1,--(N226=1),""))</f>
        <v/>
      </c>
      <c r="BE226" s="4">
        <f>IF(OR($B226="",N226=""),"",IF($B226=0,--(N226=0),""))</f>
        <v/>
      </c>
      <c r="BF226" s="4">
        <f>IF(N226="","",--(N226=1))</f>
        <v/>
      </c>
    </row>
    <row r="227">
      <c r="A227" s="3" t="inlineStr">
        <is>
          <t>202122771</t>
        </is>
      </c>
      <c r="B227" s="3" t="inlineStr">
        <is>
          <t>1</t>
        </is>
      </c>
      <c r="C227" s="3" t="inlineStr">
        <is>
          <t>Direct</t>
        </is>
      </c>
      <c r="D227" s="3" t="inlineStr">
        <is>
          <t>1</t>
        </is>
      </c>
      <c r="E227" s="3" t="inlineStr">
        <is>
          <t>1</t>
        </is>
      </c>
      <c r="F227" s="3" t="inlineStr">
        <is>
          <t>0</t>
        </is>
      </c>
      <c r="G227" s="3" t="inlineStr">
        <is>
          <t>0</t>
        </is>
      </c>
      <c r="H227" s="3" t="inlineStr">
        <is>
          <t>1</t>
        </is>
      </c>
      <c r="I227" s="3" t="inlineStr">
        <is>
          <t>0</t>
        </is>
      </c>
      <c r="J227" s="3" t="inlineStr">
        <is>
          <t>1</t>
        </is>
      </c>
      <c r="K227" s="3" t="inlineStr">
        <is>
          <t>1</t>
        </is>
      </c>
      <c r="L227" s="3" t="inlineStr">
        <is>
          <t>1</t>
        </is>
      </c>
      <c r="M227" s="3" t="inlineStr">
        <is>
          <t>1</t>
        </is>
      </c>
      <c r="N227" s="3" t="inlineStr">
        <is>
          <t>1</t>
        </is>
      </c>
      <c r="O227" s="4">
        <f>IF(OR($B227="",D227=""),"",--(D227=$B227))</f>
        <v/>
      </c>
      <c r="P227" s="4">
        <f>IF(OR($B227="",D227=""),"",IF($B227=1,--(D227=1),""))</f>
        <v/>
      </c>
      <c r="Q227" s="4">
        <f>IF(OR($B227="",D227=""),"",IF($B227=0,--(D227=0),""))</f>
        <v/>
      </c>
      <c r="R227" s="4">
        <f>IF(D227="","",--(D227=1))</f>
        <v/>
      </c>
      <c r="S227" s="4">
        <f>IF(OR($B227="",E227=""),"",--(E227=$B227))</f>
        <v/>
      </c>
      <c r="T227" s="4">
        <f>IF(OR($B227="",E227=""),"",IF($B227=1,--(E227=1),""))</f>
        <v/>
      </c>
      <c r="U227" s="4">
        <f>IF(OR($B227="",E227=""),"",IF($B227=0,--(E227=0),""))</f>
        <v/>
      </c>
      <c r="V227" s="4">
        <f>IF(E227="","",--(E227=1))</f>
        <v/>
      </c>
      <c r="W227" s="4">
        <f>IF(OR($B227="",F227=""),"",--(F227=$B227))</f>
        <v/>
      </c>
      <c r="X227" s="4">
        <f>IF(OR($B227="",F227=""),"",IF($B227=1,--(F227=1),""))</f>
        <v/>
      </c>
      <c r="Y227" s="4">
        <f>IF(OR($B227="",F227=""),"",IF($B227=0,--(F227=0),""))</f>
        <v/>
      </c>
      <c r="Z227" s="4">
        <f>IF(F227="","",--(F227=1))</f>
        <v/>
      </c>
      <c r="AA227" s="4">
        <f>IF(OR($B227="",G227=""),"",--(G227=$B227))</f>
        <v/>
      </c>
      <c r="AB227" s="4">
        <f>IF(OR($B227="",G227=""),"",IF($B227=1,--(G227=1),""))</f>
        <v/>
      </c>
      <c r="AC227" s="4">
        <f>IF(OR($B227="",G227=""),"",IF($B227=0,--(G227=0),""))</f>
        <v/>
      </c>
      <c r="AD227" s="4">
        <f>IF(G227="","",--(G227=1))</f>
        <v/>
      </c>
      <c r="AE227" s="4">
        <f>IF(OR($B227="",H227=""),"",--(H227=$B227))</f>
        <v/>
      </c>
      <c r="AF227" s="4">
        <f>IF(OR($B227="",H227=""),"",IF($B227=1,--(H227=1),""))</f>
        <v/>
      </c>
      <c r="AG227" s="4">
        <f>IF(OR($B227="",H227=""),"",IF($B227=0,--(H227=0),""))</f>
        <v/>
      </c>
      <c r="AH227" s="4">
        <f>IF(H227="","",--(H227=1))</f>
        <v/>
      </c>
      <c r="AI227" s="4">
        <f>IF(OR($B227="",I227=""),"",--(I227=$B227))</f>
        <v/>
      </c>
      <c r="AJ227" s="4">
        <f>IF(OR($B227="",I227=""),"",IF($B227=1,--(I227=1),""))</f>
        <v/>
      </c>
      <c r="AK227" s="4">
        <f>IF(OR($B227="",I227=""),"",IF($B227=0,--(I227=0),""))</f>
        <v/>
      </c>
      <c r="AL227" s="4">
        <f>IF(I227="","",--(I227=1))</f>
        <v/>
      </c>
      <c r="AM227" s="4">
        <f>IF(OR($B227="",J227=""),"",--(J227=$B227))</f>
        <v/>
      </c>
      <c r="AN227" s="4">
        <f>IF(OR($B227="",J227=""),"",IF($B227=1,--(J227=1),""))</f>
        <v/>
      </c>
      <c r="AO227" s="4">
        <f>IF(OR($B227="",J227=""),"",IF($B227=0,--(J227=0),""))</f>
        <v/>
      </c>
      <c r="AP227" s="4">
        <f>IF(J227="","",--(J227=1))</f>
        <v/>
      </c>
      <c r="AQ227" s="4">
        <f>IF(OR($B227="",K227=""),"",--(K227=$B227))</f>
        <v/>
      </c>
      <c r="AR227" s="4">
        <f>IF(OR($B227="",K227=""),"",IF($B227=1,--(K227=1),""))</f>
        <v/>
      </c>
      <c r="AS227" s="4">
        <f>IF(OR($B227="",K227=""),"",IF($B227=0,--(K227=0),""))</f>
        <v/>
      </c>
      <c r="AT227" s="4">
        <f>IF(K227="","",--(K227=1))</f>
        <v/>
      </c>
      <c r="AU227" s="4">
        <f>IF(OR($B227="",L227=""),"",--(L227=$B227))</f>
        <v/>
      </c>
      <c r="AV227" s="4">
        <f>IF(OR($B227="",L227=""),"",IF($B227=1,--(L227=1),""))</f>
        <v/>
      </c>
      <c r="AW227" s="4">
        <f>IF(OR($B227="",L227=""),"",IF($B227=0,--(L227=0),""))</f>
        <v/>
      </c>
      <c r="AX227" s="4">
        <f>IF(L227="","",--(L227=1))</f>
        <v/>
      </c>
      <c r="AY227" s="4">
        <f>IF(OR($B227="",M227=""),"",--(M227=$B227))</f>
        <v/>
      </c>
      <c r="AZ227" s="4">
        <f>IF(OR($B227="",M227=""),"",IF($B227=1,--(M227=1),""))</f>
        <v/>
      </c>
      <c r="BA227" s="4">
        <f>IF(OR($B227="",M227=""),"",IF($B227=0,--(M227=0),""))</f>
        <v/>
      </c>
      <c r="BB227" s="4">
        <f>IF(M227="","",--(M227=1))</f>
        <v/>
      </c>
      <c r="BC227" s="4">
        <f>IF(OR($B227="",N227=""),"",--(N227=$B227))</f>
        <v/>
      </c>
      <c r="BD227" s="4">
        <f>IF(OR($B227="",N227=""),"",IF($B227=1,--(N227=1),""))</f>
        <v/>
      </c>
      <c r="BE227" s="4">
        <f>IF(OR($B227="",N227=""),"",IF($B227=0,--(N227=0),""))</f>
        <v/>
      </c>
      <c r="BF227" s="4">
        <f>IF(N227="","",--(N227=1))</f>
        <v/>
      </c>
    </row>
    <row r="228">
      <c r="A228" s="3" t="inlineStr">
        <is>
          <t>20212290</t>
        </is>
      </c>
      <c r="B228" s="3" t="inlineStr">
        <is>
          <t>1</t>
        </is>
      </c>
      <c r="C228" s="3" t="inlineStr">
        <is>
          <t>Direct</t>
        </is>
      </c>
      <c r="D228" s="3" t="inlineStr">
        <is>
          <t>1</t>
        </is>
      </c>
      <c r="E228" s="3" t="inlineStr">
        <is>
          <t>1</t>
        </is>
      </c>
      <c r="F228" s="3" t="inlineStr">
        <is>
          <t>1</t>
        </is>
      </c>
      <c r="G228" s="3" t="inlineStr">
        <is>
          <t>0</t>
        </is>
      </c>
      <c r="H228" s="3" t="inlineStr">
        <is>
          <t>1</t>
        </is>
      </c>
      <c r="I228" s="3" t="inlineStr">
        <is>
          <t>1</t>
        </is>
      </c>
      <c r="J228" s="3" t="inlineStr">
        <is>
          <t>1</t>
        </is>
      </c>
      <c r="K228" s="3" t="inlineStr">
        <is>
          <t>1</t>
        </is>
      </c>
      <c r="L228" s="3" t="inlineStr">
        <is>
          <t>1</t>
        </is>
      </c>
      <c r="M228" s="3" t="inlineStr">
        <is>
          <t>1</t>
        </is>
      </c>
      <c r="N228" s="3" t="inlineStr">
        <is>
          <t>1</t>
        </is>
      </c>
      <c r="O228" s="4">
        <f>IF(OR($B228="",D228=""),"",--(D228=$B228))</f>
        <v/>
      </c>
      <c r="P228" s="4">
        <f>IF(OR($B228="",D228=""),"",IF($B228=1,--(D228=1),""))</f>
        <v/>
      </c>
      <c r="Q228" s="4">
        <f>IF(OR($B228="",D228=""),"",IF($B228=0,--(D228=0),""))</f>
        <v/>
      </c>
      <c r="R228" s="4">
        <f>IF(D228="","",--(D228=1))</f>
        <v/>
      </c>
      <c r="S228" s="4">
        <f>IF(OR($B228="",E228=""),"",--(E228=$B228))</f>
        <v/>
      </c>
      <c r="T228" s="4">
        <f>IF(OR($B228="",E228=""),"",IF($B228=1,--(E228=1),""))</f>
        <v/>
      </c>
      <c r="U228" s="4">
        <f>IF(OR($B228="",E228=""),"",IF($B228=0,--(E228=0),""))</f>
        <v/>
      </c>
      <c r="V228" s="4">
        <f>IF(E228="","",--(E228=1))</f>
        <v/>
      </c>
      <c r="W228" s="4">
        <f>IF(OR($B228="",F228=""),"",--(F228=$B228))</f>
        <v/>
      </c>
      <c r="X228" s="4">
        <f>IF(OR($B228="",F228=""),"",IF($B228=1,--(F228=1),""))</f>
        <v/>
      </c>
      <c r="Y228" s="4">
        <f>IF(OR($B228="",F228=""),"",IF($B228=0,--(F228=0),""))</f>
        <v/>
      </c>
      <c r="Z228" s="4">
        <f>IF(F228="","",--(F228=1))</f>
        <v/>
      </c>
      <c r="AA228" s="4">
        <f>IF(OR($B228="",G228=""),"",--(G228=$B228))</f>
        <v/>
      </c>
      <c r="AB228" s="4">
        <f>IF(OR($B228="",G228=""),"",IF($B228=1,--(G228=1),""))</f>
        <v/>
      </c>
      <c r="AC228" s="4">
        <f>IF(OR($B228="",G228=""),"",IF($B228=0,--(G228=0),""))</f>
        <v/>
      </c>
      <c r="AD228" s="4">
        <f>IF(G228="","",--(G228=1))</f>
        <v/>
      </c>
      <c r="AE228" s="4">
        <f>IF(OR($B228="",H228=""),"",--(H228=$B228))</f>
        <v/>
      </c>
      <c r="AF228" s="4">
        <f>IF(OR($B228="",H228=""),"",IF($B228=1,--(H228=1),""))</f>
        <v/>
      </c>
      <c r="AG228" s="4">
        <f>IF(OR($B228="",H228=""),"",IF($B228=0,--(H228=0),""))</f>
        <v/>
      </c>
      <c r="AH228" s="4">
        <f>IF(H228="","",--(H228=1))</f>
        <v/>
      </c>
      <c r="AI228" s="4">
        <f>IF(OR($B228="",I228=""),"",--(I228=$B228))</f>
        <v/>
      </c>
      <c r="AJ228" s="4">
        <f>IF(OR($B228="",I228=""),"",IF($B228=1,--(I228=1),""))</f>
        <v/>
      </c>
      <c r="AK228" s="4">
        <f>IF(OR($B228="",I228=""),"",IF($B228=0,--(I228=0),""))</f>
        <v/>
      </c>
      <c r="AL228" s="4">
        <f>IF(I228="","",--(I228=1))</f>
        <v/>
      </c>
      <c r="AM228" s="4">
        <f>IF(OR($B228="",J228=""),"",--(J228=$B228))</f>
        <v/>
      </c>
      <c r="AN228" s="4">
        <f>IF(OR($B228="",J228=""),"",IF($B228=1,--(J228=1),""))</f>
        <v/>
      </c>
      <c r="AO228" s="4">
        <f>IF(OR($B228="",J228=""),"",IF($B228=0,--(J228=0),""))</f>
        <v/>
      </c>
      <c r="AP228" s="4">
        <f>IF(J228="","",--(J228=1))</f>
        <v/>
      </c>
      <c r="AQ228" s="4">
        <f>IF(OR($B228="",K228=""),"",--(K228=$B228))</f>
        <v/>
      </c>
      <c r="AR228" s="4">
        <f>IF(OR($B228="",K228=""),"",IF($B228=1,--(K228=1),""))</f>
        <v/>
      </c>
      <c r="AS228" s="4">
        <f>IF(OR($B228="",K228=""),"",IF($B228=0,--(K228=0),""))</f>
        <v/>
      </c>
      <c r="AT228" s="4">
        <f>IF(K228="","",--(K228=1))</f>
        <v/>
      </c>
      <c r="AU228" s="4">
        <f>IF(OR($B228="",L228=""),"",--(L228=$B228))</f>
        <v/>
      </c>
      <c r="AV228" s="4">
        <f>IF(OR($B228="",L228=""),"",IF($B228=1,--(L228=1),""))</f>
        <v/>
      </c>
      <c r="AW228" s="4">
        <f>IF(OR($B228="",L228=""),"",IF($B228=0,--(L228=0),""))</f>
        <v/>
      </c>
      <c r="AX228" s="4">
        <f>IF(L228="","",--(L228=1))</f>
        <v/>
      </c>
      <c r="AY228" s="4">
        <f>IF(OR($B228="",M228=""),"",--(M228=$B228))</f>
        <v/>
      </c>
      <c r="AZ228" s="4">
        <f>IF(OR($B228="",M228=""),"",IF($B228=1,--(M228=1),""))</f>
        <v/>
      </c>
      <c r="BA228" s="4">
        <f>IF(OR($B228="",M228=""),"",IF($B228=0,--(M228=0),""))</f>
        <v/>
      </c>
      <c r="BB228" s="4">
        <f>IF(M228="","",--(M228=1))</f>
        <v/>
      </c>
      <c r="BC228" s="4">
        <f>IF(OR($B228="",N228=""),"",--(N228=$B228))</f>
        <v/>
      </c>
      <c r="BD228" s="4">
        <f>IF(OR($B228="",N228=""),"",IF($B228=1,--(N228=1),""))</f>
        <v/>
      </c>
      <c r="BE228" s="4">
        <f>IF(OR($B228="",N228=""),"",IF($B228=0,--(N228=0),""))</f>
        <v/>
      </c>
      <c r="BF228" s="4">
        <f>IF(N228="","",--(N228=1))</f>
        <v/>
      </c>
    </row>
    <row r="229">
      <c r="A229" s="3" t="inlineStr">
        <is>
          <t>20212295</t>
        </is>
      </c>
      <c r="B229" s="3" t="inlineStr">
        <is>
          <t>0</t>
        </is>
      </c>
      <c r="C229" s="3" t="inlineStr">
        <is>
          <t>Direct</t>
        </is>
      </c>
      <c r="D229" s="3" t="inlineStr">
        <is>
          <t>1</t>
        </is>
      </c>
      <c r="E229" s="3" t="inlineStr">
        <is>
          <t>0</t>
        </is>
      </c>
      <c r="F229" s="3" t="inlineStr">
        <is>
          <t>1</t>
        </is>
      </c>
      <c r="G229" s="3" t="inlineStr">
        <is>
          <t>1</t>
        </is>
      </c>
      <c r="H229" s="3" t="inlineStr">
        <is>
          <t>0</t>
        </is>
      </c>
      <c r="I229" s="3" t="inlineStr">
        <is>
          <t>1</t>
        </is>
      </c>
      <c r="J229" s="3" t="inlineStr">
        <is>
          <t>1</t>
        </is>
      </c>
      <c r="K229" s="3" t="inlineStr">
        <is>
          <t>1</t>
        </is>
      </c>
      <c r="L229" s="3" t="inlineStr">
        <is>
          <t>1</t>
        </is>
      </c>
      <c r="M229" s="3" t="inlineStr">
        <is>
          <t>1</t>
        </is>
      </c>
      <c r="N229" s="3" t="inlineStr">
        <is>
          <t>1</t>
        </is>
      </c>
      <c r="O229" s="4">
        <f>IF(OR($B229="",D229=""),"",--(D229=$B229))</f>
        <v/>
      </c>
      <c r="P229" s="4">
        <f>IF(OR($B229="",D229=""),"",IF($B229=1,--(D229=1),""))</f>
        <v/>
      </c>
      <c r="Q229" s="4">
        <f>IF(OR($B229="",D229=""),"",IF($B229=0,--(D229=0),""))</f>
        <v/>
      </c>
      <c r="R229" s="4">
        <f>IF(D229="","",--(D229=1))</f>
        <v/>
      </c>
      <c r="S229" s="4">
        <f>IF(OR($B229="",E229=""),"",--(E229=$B229))</f>
        <v/>
      </c>
      <c r="T229" s="4">
        <f>IF(OR($B229="",E229=""),"",IF($B229=1,--(E229=1),""))</f>
        <v/>
      </c>
      <c r="U229" s="4">
        <f>IF(OR($B229="",E229=""),"",IF($B229=0,--(E229=0),""))</f>
        <v/>
      </c>
      <c r="V229" s="4">
        <f>IF(E229="","",--(E229=1))</f>
        <v/>
      </c>
      <c r="W229" s="4">
        <f>IF(OR($B229="",F229=""),"",--(F229=$B229))</f>
        <v/>
      </c>
      <c r="X229" s="4">
        <f>IF(OR($B229="",F229=""),"",IF($B229=1,--(F229=1),""))</f>
        <v/>
      </c>
      <c r="Y229" s="4">
        <f>IF(OR($B229="",F229=""),"",IF($B229=0,--(F229=0),""))</f>
        <v/>
      </c>
      <c r="Z229" s="4">
        <f>IF(F229="","",--(F229=1))</f>
        <v/>
      </c>
      <c r="AA229" s="4">
        <f>IF(OR($B229="",G229=""),"",--(G229=$B229))</f>
        <v/>
      </c>
      <c r="AB229" s="4">
        <f>IF(OR($B229="",G229=""),"",IF($B229=1,--(G229=1),""))</f>
        <v/>
      </c>
      <c r="AC229" s="4">
        <f>IF(OR($B229="",G229=""),"",IF($B229=0,--(G229=0),""))</f>
        <v/>
      </c>
      <c r="AD229" s="4">
        <f>IF(G229="","",--(G229=1))</f>
        <v/>
      </c>
      <c r="AE229" s="4">
        <f>IF(OR($B229="",H229=""),"",--(H229=$B229))</f>
        <v/>
      </c>
      <c r="AF229" s="4">
        <f>IF(OR($B229="",H229=""),"",IF($B229=1,--(H229=1),""))</f>
        <v/>
      </c>
      <c r="AG229" s="4">
        <f>IF(OR($B229="",H229=""),"",IF($B229=0,--(H229=0),""))</f>
        <v/>
      </c>
      <c r="AH229" s="4">
        <f>IF(H229="","",--(H229=1))</f>
        <v/>
      </c>
      <c r="AI229" s="4">
        <f>IF(OR($B229="",I229=""),"",--(I229=$B229))</f>
        <v/>
      </c>
      <c r="AJ229" s="4">
        <f>IF(OR($B229="",I229=""),"",IF($B229=1,--(I229=1),""))</f>
        <v/>
      </c>
      <c r="AK229" s="4">
        <f>IF(OR($B229="",I229=""),"",IF($B229=0,--(I229=0),""))</f>
        <v/>
      </c>
      <c r="AL229" s="4">
        <f>IF(I229="","",--(I229=1))</f>
        <v/>
      </c>
      <c r="AM229" s="4">
        <f>IF(OR($B229="",J229=""),"",--(J229=$B229))</f>
        <v/>
      </c>
      <c r="AN229" s="4">
        <f>IF(OR($B229="",J229=""),"",IF($B229=1,--(J229=1),""))</f>
        <v/>
      </c>
      <c r="AO229" s="4">
        <f>IF(OR($B229="",J229=""),"",IF($B229=0,--(J229=0),""))</f>
        <v/>
      </c>
      <c r="AP229" s="4">
        <f>IF(J229="","",--(J229=1))</f>
        <v/>
      </c>
      <c r="AQ229" s="4">
        <f>IF(OR($B229="",K229=""),"",--(K229=$B229))</f>
        <v/>
      </c>
      <c r="AR229" s="4">
        <f>IF(OR($B229="",K229=""),"",IF($B229=1,--(K229=1),""))</f>
        <v/>
      </c>
      <c r="AS229" s="4">
        <f>IF(OR($B229="",K229=""),"",IF($B229=0,--(K229=0),""))</f>
        <v/>
      </c>
      <c r="AT229" s="4">
        <f>IF(K229="","",--(K229=1))</f>
        <v/>
      </c>
      <c r="AU229" s="4">
        <f>IF(OR($B229="",L229=""),"",--(L229=$B229))</f>
        <v/>
      </c>
      <c r="AV229" s="4">
        <f>IF(OR($B229="",L229=""),"",IF($B229=1,--(L229=1),""))</f>
        <v/>
      </c>
      <c r="AW229" s="4">
        <f>IF(OR($B229="",L229=""),"",IF($B229=0,--(L229=0),""))</f>
        <v/>
      </c>
      <c r="AX229" s="4">
        <f>IF(L229="","",--(L229=1))</f>
        <v/>
      </c>
      <c r="AY229" s="4">
        <f>IF(OR($B229="",M229=""),"",--(M229=$B229))</f>
        <v/>
      </c>
      <c r="AZ229" s="4">
        <f>IF(OR($B229="",M229=""),"",IF($B229=1,--(M229=1),""))</f>
        <v/>
      </c>
      <c r="BA229" s="4">
        <f>IF(OR($B229="",M229=""),"",IF($B229=0,--(M229=0),""))</f>
        <v/>
      </c>
      <c r="BB229" s="4">
        <f>IF(M229="","",--(M229=1))</f>
        <v/>
      </c>
      <c r="BC229" s="4">
        <f>IF(OR($B229="",N229=""),"",--(N229=$B229))</f>
        <v/>
      </c>
      <c r="BD229" s="4">
        <f>IF(OR($B229="",N229=""),"",IF($B229=1,--(N229=1),""))</f>
        <v/>
      </c>
      <c r="BE229" s="4">
        <f>IF(OR($B229="",N229=""),"",IF($B229=0,--(N229=0),""))</f>
        <v/>
      </c>
      <c r="BF229" s="4">
        <f>IF(N229="","",--(N229=1))</f>
        <v/>
      </c>
    </row>
    <row r="230">
      <c r="A230" s="3" t="inlineStr">
        <is>
          <t>202122957</t>
        </is>
      </c>
      <c r="B230" s="3" t="inlineStr">
        <is>
          <t>0</t>
        </is>
      </c>
      <c r="C230" s="3" t="inlineStr">
        <is>
          <t>Direct</t>
        </is>
      </c>
      <c r="D230" s="3" t="inlineStr">
        <is>
          <t>0</t>
        </is>
      </c>
      <c r="E230" s="3" t="inlineStr">
        <is>
          <t>1</t>
        </is>
      </c>
      <c r="F230" s="3" t="inlineStr">
        <is>
          <t>0</t>
        </is>
      </c>
      <c r="G230" s="3" t="inlineStr">
        <is>
          <t>0</t>
        </is>
      </c>
      <c r="H230" s="3" t="inlineStr">
        <is>
          <t>1</t>
        </is>
      </c>
      <c r="I230" s="3" t="inlineStr">
        <is>
          <t>0</t>
        </is>
      </c>
      <c r="J230" s="3" t="inlineStr">
        <is>
          <t>0</t>
        </is>
      </c>
      <c r="K230" s="3" t="inlineStr">
        <is>
          <t>0</t>
        </is>
      </c>
      <c r="L230" s="3" t="inlineStr">
        <is>
          <t>1</t>
        </is>
      </c>
      <c r="M230" s="3" t="inlineStr">
        <is>
          <t>1</t>
        </is>
      </c>
      <c r="N230" s="3" t="inlineStr">
        <is>
          <t>1</t>
        </is>
      </c>
      <c r="O230" s="4">
        <f>IF(OR($B230="",D230=""),"",--(D230=$B230))</f>
        <v/>
      </c>
      <c r="P230" s="4">
        <f>IF(OR($B230="",D230=""),"",IF($B230=1,--(D230=1),""))</f>
        <v/>
      </c>
      <c r="Q230" s="4">
        <f>IF(OR($B230="",D230=""),"",IF($B230=0,--(D230=0),""))</f>
        <v/>
      </c>
      <c r="R230" s="4">
        <f>IF(D230="","",--(D230=1))</f>
        <v/>
      </c>
      <c r="S230" s="4">
        <f>IF(OR($B230="",E230=""),"",--(E230=$B230))</f>
        <v/>
      </c>
      <c r="T230" s="4">
        <f>IF(OR($B230="",E230=""),"",IF($B230=1,--(E230=1),""))</f>
        <v/>
      </c>
      <c r="U230" s="4">
        <f>IF(OR($B230="",E230=""),"",IF($B230=0,--(E230=0),""))</f>
        <v/>
      </c>
      <c r="V230" s="4">
        <f>IF(E230="","",--(E230=1))</f>
        <v/>
      </c>
      <c r="W230" s="4">
        <f>IF(OR($B230="",F230=""),"",--(F230=$B230))</f>
        <v/>
      </c>
      <c r="X230" s="4">
        <f>IF(OR($B230="",F230=""),"",IF($B230=1,--(F230=1),""))</f>
        <v/>
      </c>
      <c r="Y230" s="4">
        <f>IF(OR($B230="",F230=""),"",IF($B230=0,--(F230=0),""))</f>
        <v/>
      </c>
      <c r="Z230" s="4">
        <f>IF(F230="","",--(F230=1))</f>
        <v/>
      </c>
      <c r="AA230" s="4">
        <f>IF(OR($B230="",G230=""),"",--(G230=$B230))</f>
        <v/>
      </c>
      <c r="AB230" s="4">
        <f>IF(OR($B230="",G230=""),"",IF($B230=1,--(G230=1),""))</f>
        <v/>
      </c>
      <c r="AC230" s="4">
        <f>IF(OR($B230="",G230=""),"",IF($B230=0,--(G230=0),""))</f>
        <v/>
      </c>
      <c r="AD230" s="4">
        <f>IF(G230="","",--(G230=1))</f>
        <v/>
      </c>
      <c r="AE230" s="4">
        <f>IF(OR($B230="",H230=""),"",--(H230=$B230))</f>
        <v/>
      </c>
      <c r="AF230" s="4">
        <f>IF(OR($B230="",H230=""),"",IF($B230=1,--(H230=1),""))</f>
        <v/>
      </c>
      <c r="AG230" s="4">
        <f>IF(OR($B230="",H230=""),"",IF($B230=0,--(H230=0),""))</f>
        <v/>
      </c>
      <c r="AH230" s="4">
        <f>IF(H230="","",--(H230=1))</f>
        <v/>
      </c>
      <c r="AI230" s="4">
        <f>IF(OR($B230="",I230=""),"",--(I230=$B230))</f>
        <v/>
      </c>
      <c r="AJ230" s="4">
        <f>IF(OR($B230="",I230=""),"",IF($B230=1,--(I230=1),""))</f>
        <v/>
      </c>
      <c r="AK230" s="4">
        <f>IF(OR($B230="",I230=""),"",IF($B230=0,--(I230=0),""))</f>
        <v/>
      </c>
      <c r="AL230" s="4">
        <f>IF(I230="","",--(I230=1))</f>
        <v/>
      </c>
      <c r="AM230" s="4">
        <f>IF(OR($B230="",J230=""),"",--(J230=$B230))</f>
        <v/>
      </c>
      <c r="AN230" s="4">
        <f>IF(OR($B230="",J230=""),"",IF($B230=1,--(J230=1),""))</f>
        <v/>
      </c>
      <c r="AO230" s="4">
        <f>IF(OR($B230="",J230=""),"",IF($B230=0,--(J230=0),""))</f>
        <v/>
      </c>
      <c r="AP230" s="4">
        <f>IF(J230="","",--(J230=1))</f>
        <v/>
      </c>
      <c r="AQ230" s="4">
        <f>IF(OR($B230="",K230=""),"",--(K230=$B230))</f>
        <v/>
      </c>
      <c r="AR230" s="4">
        <f>IF(OR($B230="",K230=""),"",IF($B230=1,--(K230=1),""))</f>
        <v/>
      </c>
      <c r="AS230" s="4">
        <f>IF(OR($B230="",K230=""),"",IF($B230=0,--(K230=0),""))</f>
        <v/>
      </c>
      <c r="AT230" s="4">
        <f>IF(K230="","",--(K230=1))</f>
        <v/>
      </c>
      <c r="AU230" s="4">
        <f>IF(OR($B230="",L230=""),"",--(L230=$B230))</f>
        <v/>
      </c>
      <c r="AV230" s="4">
        <f>IF(OR($B230="",L230=""),"",IF($B230=1,--(L230=1),""))</f>
        <v/>
      </c>
      <c r="AW230" s="4">
        <f>IF(OR($B230="",L230=""),"",IF($B230=0,--(L230=0),""))</f>
        <v/>
      </c>
      <c r="AX230" s="4">
        <f>IF(L230="","",--(L230=1))</f>
        <v/>
      </c>
      <c r="AY230" s="4">
        <f>IF(OR($B230="",M230=""),"",--(M230=$B230))</f>
        <v/>
      </c>
      <c r="AZ230" s="4">
        <f>IF(OR($B230="",M230=""),"",IF($B230=1,--(M230=1),""))</f>
        <v/>
      </c>
      <c r="BA230" s="4">
        <f>IF(OR($B230="",M230=""),"",IF($B230=0,--(M230=0),""))</f>
        <v/>
      </c>
      <c r="BB230" s="4">
        <f>IF(M230="","",--(M230=1))</f>
        <v/>
      </c>
      <c r="BC230" s="4">
        <f>IF(OR($B230="",N230=""),"",--(N230=$B230))</f>
        <v/>
      </c>
      <c r="BD230" s="4">
        <f>IF(OR($B230="",N230=""),"",IF($B230=1,--(N230=1),""))</f>
        <v/>
      </c>
      <c r="BE230" s="4">
        <f>IF(OR($B230="",N230=""),"",IF($B230=0,--(N230=0),""))</f>
        <v/>
      </c>
      <c r="BF230" s="4">
        <f>IF(N230="","",--(N230=1))</f>
        <v/>
      </c>
    </row>
    <row r="231">
      <c r="A231" s="3" t="inlineStr">
        <is>
          <t>202123361</t>
        </is>
      </c>
      <c r="B231" s="3" t="inlineStr">
        <is>
          <t>1</t>
        </is>
      </c>
      <c r="C231" s="3" t="inlineStr">
        <is>
          <t>Direct</t>
        </is>
      </c>
      <c r="D231" s="3" t="inlineStr">
        <is>
          <t>1</t>
        </is>
      </c>
      <c r="E231" s="3" t="inlineStr">
        <is>
          <t>1</t>
        </is>
      </c>
      <c r="F231" s="3" t="inlineStr">
        <is>
          <t>1</t>
        </is>
      </c>
      <c r="G231" s="3" t="inlineStr">
        <is>
          <t>1</t>
        </is>
      </c>
      <c r="H231" s="3" t="inlineStr">
        <is>
          <t>1</t>
        </is>
      </c>
      <c r="I231" s="3" t="inlineStr">
        <is>
          <t>1</t>
        </is>
      </c>
      <c r="J231" s="3" t="inlineStr">
        <is>
          <t>1</t>
        </is>
      </c>
      <c r="K231" s="3" t="inlineStr">
        <is>
          <t>1</t>
        </is>
      </c>
      <c r="L231" s="3" t="inlineStr">
        <is>
          <t>1</t>
        </is>
      </c>
      <c r="M231" s="3" t="inlineStr">
        <is>
          <t>1</t>
        </is>
      </c>
      <c r="N231" s="3" t="inlineStr">
        <is>
          <t>1</t>
        </is>
      </c>
      <c r="O231" s="4">
        <f>IF(OR($B231="",D231=""),"",--(D231=$B231))</f>
        <v/>
      </c>
      <c r="P231" s="4">
        <f>IF(OR($B231="",D231=""),"",IF($B231=1,--(D231=1),""))</f>
        <v/>
      </c>
      <c r="Q231" s="4">
        <f>IF(OR($B231="",D231=""),"",IF($B231=0,--(D231=0),""))</f>
        <v/>
      </c>
      <c r="R231" s="4">
        <f>IF(D231="","",--(D231=1))</f>
        <v/>
      </c>
      <c r="S231" s="4">
        <f>IF(OR($B231="",E231=""),"",--(E231=$B231))</f>
        <v/>
      </c>
      <c r="T231" s="4">
        <f>IF(OR($B231="",E231=""),"",IF($B231=1,--(E231=1),""))</f>
        <v/>
      </c>
      <c r="U231" s="4">
        <f>IF(OR($B231="",E231=""),"",IF($B231=0,--(E231=0),""))</f>
        <v/>
      </c>
      <c r="V231" s="4">
        <f>IF(E231="","",--(E231=1))</f>
        <v/>
      </c>
      <c r="W231" s="4">
        <f>IF(OR($B231="",F231=""),"",--(F231=$B231))</f>
        <v/>
      </c>
      <c r="X231" s="4">
        <f>IF(OR($B231="",F231=""),"",IF($B231=1,--(F231=1),""))</f>
        <v/>
      </c>
      <c r="Y231" s="4">
        <f>IF(OR($B231="",F231=""),"",IF($B231=0,--(F231=0),""))</f>
        <v/>
      </c>
      <c r="Z231" s="4">
        <f>IF(F231="","",--(F231=1))</f>
        <v/>
      </c>
      <c r="AA231" s="4">
        <f>IF(OR($B231="",G231=""),"",--(G231=$B231))</f>
        <v/>
      </c>
      <c r="AB231" s="4">
        <f>IF(OR($B231="",G231=""),"",IF($B231=1,--(G231=1),""))</f>
        <v/>
      </c>
      <c r="AC231" s="4">
        <f>IF(OR($B231="",G231=""),"",IF($B231=0,--(G231=0),""))</f>
        <v/>
      </c>
      <c r="AD231" s="4">
        <f>IF(G231="","",--(G231=1))</f>
        <v/>
      </c>
      <c r="AE231" s="4">
        <f>IF(OR($B231="",H231=""),"",--(H231=$B231))</f>
        <v/>
      </c>
      <c r="AF231" s="4">
        <f>IF(OR($B231="",H231=""),"",IF($B231=1,--(H231=1),""))</f>
        <v/>
      </c>
      <c r="AG231" s="4">
        <f>IF(OR($B231="",H231=""),"",IF($B231=0,--(H231=0),""))</f>
        <v/>
      </c>
      <c r="AH231" s="4">
        <f>IF(H231="","",--(H231=1))</f>
        <v/>
      </c>
      <c r="AI231" s="4">
        <f>IF(OR($B231="",I231=""),"",--(I231=$B231))</f>
        <v/>
      </c>
      <c r="AJ231" s="4">
        <f>IF(OR($B231="",I231=""),"",IF($B231=1,--(I231=1),""))</f>
        <v/>
      </c>
      <c r="AK231" s="4">
        <f>IF(OR($B231="",I231=""),"",IF($B231=0,--(I231=0),""))</f>
        <v/>
      </c>
      <c r="AL231" s="4">
        <f>IF(I231="","",--(I231=1))</f>
        <v/>
      </c>
      <c r="AM231" s="4">
        <f>IF(OR($B231="",J231=""),"",--(J231=$B231))</f>
        <v/>
      </c>
      <c r="AN231" s="4">
        <f>IF(OR($B231="",J231=""),"",IF($B231=1,--(J231=1),""))</f>
        <v/>
      </c>
      <c r="AO231" s="4">
        <f>IF(OR($B231="",J231=""),"",IF($B231=0,--(J231=0),""))</f>
        <v/>
      </c>
      <c r="AP231" s="4">
        <f>IF(J231="","",--(J231=1))</f>
        <v/>
      </c>
      <c r="AQ231" s="4">
        <f>IF(OR($B231="",K231=""),"",--(K231=$B231))</f>
        <v/>
      </c>
      <c r="AR231" s="4">
        <f>IF(OR($B231="",K231=""),"",IF($B231=1,--(K231=1),""))</f>
        <v/>
      </c>
      <c r="AS231" s="4">
        <f>IF(OR($B231="",K231=""),"",IF($B231=0,--(K231=0),""))</f>
        <v/>
      </c>
      <c r="AT231" s="4">
        <f>IF(K231="","",--(K231=1))</f>
        <v/>
      </c>
      <c r="AU231" s="4">
        <f>IF(OR($B231="",L231=""),"",--(L231=$B231))</f>
        <v/>
      </c>
      <c r="AV231" s="4">
        <f>IF(OR($B231="",L231=""),"",IF($B231=1,--(L231=1),""))</f>
        <v/>
      </c>
      <c r="AW231" s="4">
        <f>IF(OR($B231="",L231=""),"",IF($B231=0,--(L231=0),""))</f>
        <v/>
      </c>
      <c r="AX231" s="4">
        <f>IF(L231="","",--(L231=1))</f>
        <v/>
      </c>
      <c r="AY231" s="4">
        <f>IF(OR($B231="",M231=""),"",--(M231=$B231))</f>
        <v/>
      </c>
      <c r="AZ231" s="4">
        <f>IF(OR($B231="",M231=""),"",IF($B231=1,--(M231=1),""))</f>
        <v/>
      </c>
      <c r="BA231" s="4">
        <f>IF(OR($B231="",M231=""),"",IF($B231=0,--(M231=0),""))</f>
        <v/>
      </c>
      <c r="BB231" s="4">
        <f>IF(M231="","",--(M231=1))</f>
        <v/>
      </c>
      <c r="BC231" s="4">
        <f>IF(OR($B231="",N231=""),"",--(N231=$B231))</f>
        <v/>
      </c>
      <c r="BD231" s="4">
        <f>IF(OR($B231="",N231=""),"",IF($B231=1,--(N231=1),""))</f>
        <v/>
      </c>
      <c r="BE231" s="4">
        <f>IF(OR($B231="",N231=""),"",IF($B231=0,--(N231=0),""))</f>
        <v/>
      </c>
      <c r="BF231" s="4">
        <f>IF(N231="","",--(N231=1))</f>
        <v/>
      </c>
    </row>
    <row r="232">
      <c r="A232" s="3" t="inlineStr">
        <is>
          <t>202123463</t>
        </is>
      </c>
      <c r="B232" s="3" t="inlineStr">
        <is>
          <t>1</t>
        </is>
      </c>
      <c r="C232" s="3" t="inlineStr">
        <is>
          <t>Direct</t>
        </is>
      </c>
      <c r="D232" s="3" t="inlineStr">
        <is>
          <t>1</t>
        </is>
      </c>
      <c r="E232" s="3" t="inlineStr">
        <is>
          <t>0</t>
        </is>
      </c>
      <c r="F232" s="3" t="inlineStr">
        <is>
          <t>0</t>
        </is>
      </c>
      <c r="G232" s="3" t="inlineStr">
        <is>
          <t>0</t>
        </is>
      </c>
      <c r="H232" s="3" t="inlineStr">
        <is>
          <t>0</t>
        </is>
      </c>
      <c r="I232" s="3" t="inlineStr">
        <is>
          <t>1</t>
        </is>
      </c>
      <c r="J232" s="3" t="inlineStr">
        <is>
          <t>1</t>
        </is>
      </c>
      <c r="K232" s="3" t="inlineStr">
        <is>
          <t>0</t>
        </is>
      </c>
      <c r="L232" s="3" t="inlineStr">
        <is>
          <t>1</t>
        </is>
      </c>
      <c r="M232" s="3" t="inlineStr">
        <is>
          <t>0</t>
        </is>
      </c>
      <c r="N232" s="3" t="inlineStr">
        <is>
          <t>0</t>
        </is>
      </c>
      <c r="O232" s="4">
        <f>IF(OR($B232="",D232=""),"",--(D232=$B232))</f>
        <v/>
      </c>
      <c r="P232" s="4">
        <f>IF(OR($B232="",D232=""),"",IF($B232=1,--(D232=1),""))</f>
        <v/>
      </c>
      <c r="Q232" s="4">
        <f>IF(OR($B232="",D232=""),"",IF($B232=0,--(D232=0),""))</f>
        <v/>
      </c>
      <c r="R232" s="4">
        <f>IF(D232="","",--(D232=1))</f>
        <v/>
      </c>
      <c r="S232" s="4">
        <f>IF(OR($B232="",E232=""),"",--(E232=$B232))</f>
        <v/>
      </c>
      <c r="T232" s="4">
        <f>IF(OR($B232="",E232=""),"",IF($B232=1,--(E232=1),""))</f>
        <v/>
      </c>
      <c r="U232" s="4">
        <f>IF(OR($B232="",E232=""),"",IF($B232=0,--(E232=0),""))</f>
        <v/>
      </c>
      <c r="V232" s="4">
        <f>IF(E232="","",--(E232=1))</f>
        <v/>
      </c>
      <c r="W232" s="4">
        <f>IF(OR($B232="",F232=""),"",--(F232=$B232))</f>
        <v/>
      </c>
      <c r="X232" s="4">
        <f>IF(OR($B232="",F232=""),"",IF($B232=1,--(F232=1),""))</f>
        <v/>
      </c>
      <c r="Y232" s="4">
        <f>IF(OR($B232="",F232=""),"",IF($B232=0,--(F232=0),""))</f>
        <v/>
      </c>
      <c r="Z232" s="4">
        <f>IF(F232="","",--(F232=1))</f>
        <v/>
      </c>
      <c r="AA232" s="4">
        <f>IF(OR($B232="",G232=""),"",--(G232=$B232))</f>
        <v/>
      </c>
      <c r="AB232" s="4">
        <f>IF(OR($B232="",G232=""),"",IF($B232=1,--(G232=1),""))</f>
        <v/>
      </c>
      <c r="AC232" s="4">
        <f>IF(OR($B232="",G232=""),"",IF($B232=0,--(G232=0),""))</f>
        <v/>
      </c>
      <c r="AD232" s="4">
        <f>IF(G232="","",--(G232=1))</f>
        <v/>
      </c>
      <c r="AE232" s="4">
        <f>IF(OR($B232="",H232=""),"",--(H232=$B232))</f>
        <v/>
      </c>
      <c r="AF232" s="4">
        <f>IF(OR($B232="",H232=""),"",IF($B232=1,--(H232=1),""))</f>
        <v/>
      </c>
      <c r="AG232" s="4">
        <f>IF(OR($B232="",H232=""),"",IF($B232=0,--(H232=0),""))</f>
        <v/>
      </c>
      <c r="AH232" s="4">
        <f>IF(H232="","",--(H232=1))</f>
        <v/>
      </c>
      <c r="AI232" s="4">
        <f>IF(OR($B232="",I232=""),"",--(I232=$B232))</f>
        <v/>
      </c>
      <c r="AJ232" s="4">
        <f>IF(OR($B232="",I232=""),"",IF($B232=1,--(I232=1),""))</f>
        <v/>
      </c>
      <c r="AK232" s="4">
        <f>IF(OR($B232="",I232=""),"",IF($B232=0,--(I232=0),""))</f>
        <v/>
      </c>
      <c r="AL232" s="4">
        <f>IF(I232="","",--(I232=1))</f>
        <v/>
      </c>
      <c r="AM232" s="4">
        <f>IF(OR($B232="",J232=""),"",--(J232=$B232))</f>
        <v/>
      </c>
      <c r="AN232" s="4">
        <f>IF(OR($B232="",J232=""),"",IF($B232=1,--(J232=1),""))</f>
        <v/>
      </c>
      <c r="AO232" s="4">
        <f>IF(OR($B232="",J232=""),"",IF($B232=0,--(J232=0),""))</f>
        <v/>
      </c>
      <c r="AP232" s="4">
        <f>IF(J232="","",--(J232=1))</f>
        <v/>
      </c>
      <c r="AQ232" s="4">
        <f>IF(OR($B232="",K232=""),"",--(K232=$B232))</f>
        <v/>
      </c>
      <c r="AR232" s="4">
        <f>IF(OR($B232="",K232=""),"",IF($B232=1,--(K232=1),""))</f>
        <v/>
      </c>
      <c r="AS232" s="4">
        <f>IF(OR($B232="",K232=""),"",IF($B232=0,--(K232=0),""))</f>
        <v/>
      </c>
      <c r="AT232" s="4">
        <f>IF(K232="","",--(K232=1))</f>
        <v/>
      </c>
      <c r="AU232" s="4">
        <f>IF(OR($B232="",L232=""),"",--(L232=$B232))</f>
        <v/>
      </c>
      <c r="AV232" s="4">
        <f>IF(OR($B232="",L232=""),"",IF($B232=1,--(L232=1),""))</f>
        <v/>
      </c>
      <c r="AW232" s="4">
        <f>IF(OR($B232="",L232=""),"",IF($B232=0,--(L232=0),""))</f>
        <v/>
      </c>
      <c r="AX232" s="4">
        <f>IF(L232="","",--(L232=1))</f>
        <v/>
      </c>
      <c r="AY232" s="4">
        <f>IF(OR($B232="",M232=""),"",--(M232=$B232))</f>
        <v/>
      </c>
      <c r="AZ232" s="4">
        <f>IF(OR($B232="",M232=""),"",IF($B232=1,--(M232=1),""))</f>
        <v/>
      </c>
      <c r="BA232" s="4">
        <f>IF(OR($B232="",M232=""),"",IF($B232=0,--(M232=0),""))</f>
        <v/>
      </c>
      <c r="BB232" s="4">
        <f>IF(M232="","",--(M232=1))</f>
        <v/>
      </c>
      <c r="BC232" s="4">
        <f>IF(OR($B232="",N232=""),"",--(N232=$B232))</f>
        <v/>
      </c>
      <c r="BD232" s="4">
        <f>IF(OR($B232="",N232=""),"",IF($B232=1,--(N232=1),""))</f>
        <v/>
      </c>
      <c r="BE232" s="4">
        <f>IF(OR($B232="",N232=""),"",IF($B232=0,--(N232=0),""))</f>
        <v/>
      </c>
      <c r="BF232" s="4">
        <f>IF(N232="","",--(N232=1))</f>
        <v/>
      </c>
    </row>
    <row r="233">
      <c r="A233" s="3" t="inlineStr">
        <is>
          <t>202123501</t>
        </is>
      </c>
      <c r="B233" s="3" t="inlineStr">
        <is>
          <t>0</t>
        </is>
      </c>
      <c r="C233" s="3" t="inlineStr">
        <is>
          <t>Direct</t>
        </is>
      </c>
      <c r="D233" s="3" t="inlineStr">
        <is>
          <t>1</t>
        </is>
      </c>
      <c r="E233" s="3" t="inlineStr">
        <is>
          <t>0</t>
        </is>
      </c>
      <c r="F233" s="3" t="inlineStr">
        <is>
          <t>0</t>
        </is>
      </c>
      <c r="G233" s="3" t="inlineStr">
        <is>
          <t>0</t>
        </is>
      </c>
      <c r="H233" s="3" t="inlineStr">
        <is>
          <t>0</t>
        </is>
      </c>
      <c r="I233" s="3" t="inlineStr">
        <is>
          <t>1</t>
        </is>
      </c>
      <c r="J233" s="3" t="inlineStr">
        <is>
          <t>0</t>
        </is>
      </c>
      <c r="K233" s="3" t="inlineStr">
        <is>
          <t>1</t>
        </is>
      </c>
      <c r="L233" s="3" t="inlineStr">
        <is>
          <t>0</t>
        </is>
      </c>
      <c r="M233" s="3" t="inlineStr">
        <is>
          <t>1</t>
        </is>
      </c>
      <c r="N233" s="3" t="inlineStr">
        <is>
          <t>0</t>
        </is>
      </c>
      <c r="O233" s="4">
        <f>IF(OR($B233="",D233=""),"",--(D233=$B233))</f>
        <v/>
      </c>
      <c r="P233" s="4">
        <f>IF(OR($B233="",D233=""),"",IF($B233=1,--(D233=1),""))</f>
        <v/>
      </c>
      <c r="Q233" s="4">
        <f>IF(OR($B233="",D233=""),"",IF($B233=0,--(D233=0),""))</f>
        <v/>
      </c>
      <c r="R233" s="4">
        <f>IF(D233="","",--(D233=1))</f>
        <v/>
      </c>
      <c r="S233" s="4">
        <f>IF(OR($B233="",E233=""),"",--(E233=$B233))</f>
        <v/>
      </c>
      <c r="T233" s="4">
        <f>IF(OR($B233="",E233=""),"",IF($B233=1,--(E233=1),""))</f>
        <v/>
      </c>
      <c r="U233" s="4">
        <f>IF(OR($B233="",E233=""),"",IF($B233=0,--(E233=0),""))</f>
        <v/>
      </c>
      <c r="V233" s="4">
        <f>IF(E233="","",--(E233=1))</f>
        <v/>
      </c>
      <c r="W233" s="4">
        <f>IF(OR($B233="",F233=""),"",--(F233=$B233))</f>
        <v/>
      </c>
      <c r="X233" s="4">
        <f>IF(OR($B233="",F233=""),"",IF($B233=1,--(F233=1),""))</f>
        <v/>
      </c>
      <c r="Y233" s="4">
        <f>IF(OR($B233="",F233=""),"",IF($B233=0,--(F233=0),""))</f>
        <v/>
      </c>
      <c r="Z233" s="4">
        <f>IF(F233="","",--(F233=1))</f>
        <v/>
      </c>
      <c r="AA233" s="4">
        <f>IF(OR($B233="",G233=""),"",--(G233=$B233))</f>
        <v/>
      </c>
      <c r="AB233" s="4">
        <f>IF(OR($B233="",G233=""),"",IF($B233=1,--(G233=1),""))</f>
        <v/>
      </c>
      <c r="AC233" s="4">
        <f>IF(OR($B233="",G233=""),"",IF($B233=0,--(G233=0),""))</f>
        <v/>
      </c>
      <c r="AD233" s="4">
        <f>IF(G233="","",--(G233=1))</f>
        <v/>
      </c>
      <c r="AE233" s="4">
        <f>IF(OR($B233="",H233=""),"",--(H233=$B233))</f>
        <v/>
      </c>
      <c r="AF233" s="4">
        <f>IF(OR($B233="",H233=""),"",IF($B233=1,--(H233=1),""))</f>
        <v/>
      </c>
      <c r="AG233" s="4">
        <f>IF(OR($B233="",H233=""),"",IF($B233=0,--(H233=0),""))</f>
        <v/>
      </c>
      <c r="AH233" s="4">
        <f>IF(H233="","",--(H233=1))</f>
        <v/>
      </c>
      <c r="AI233" s="4">
        <f>IF(OR($B233="",I233=""),"",--(I233=$B233))</f>
        <v/>
      </c>
      <c r="AJ233" s="4">
        <f>IF(OR($B233="",I233=""),"",IF($B233=1,--(I233=1),""))</f>
        <v/>
      </c>
      <c r="AK233" s="4">
        <f>IF(OR($B233="",I233=""),"",IF($B233=0,--(I233=0),""))</f>
        <v/>
      </c>
      <c r="AL233" s="4">
        <f>IF(I233="","",--(I233=1))</f>
        <v/>
      </c>
      <c r="AM233" s="4">
        <f>IF(OR($B233="",J233=""),"",--(J233=$B233))</f>
        <v/>
      </c>
      <c r="AN233" s="4">
        <f>IF(OR($B233="",J233=""),"",IF($B233=1,--(J233=1),""))</f>
        <v/>
      </c>
      <c r="AO233" s="4">
        <f>IF(OR($B233="",J233=""),"",IF($B233=0,--(J233=0),""))</f>
        <v/>
      </c>
      <c r="AP233" s="4">
        <f>IF(J233="","",--(J233=1))</f>
        <v/>
      </c>
      <c r="AQ233" s="4">
        <f>IF(OR($B233="",K233=""),"",--(K233=$B233))</f>
        <v/>
      </c>
      <c r="AR233" s="4">
        <f>IF(OR($B233="",K233=""),"",IF($B233=1,--(K233=1),""))</f>
        <v/>
      </c>
      <c r="AS233" s="4">
        <f>IF(OR($B233="",K233=""),"",IF($B233=0,--(K233=0),""))</f>
        <v/>
      </c>
      <c r="AT233" s="4">
        <f>IF(K233="","",--(K233=1))</f>
        <v/>
      </c>
      <c r="AU233" s="4">
        <f>IF(OR($B233="",L233=""),"",--(L233=$B233))</f>
        <v/>
      </c>
      <c r="AV233" s="4">
        <f>IF(OR($B233="",L233=""),"",IF($B233=1,--(L233=1),""))</f>
        <v/>
      </c>
      <c r="AW233" s="4">
        <f>IF(OR($B233="",L233=""),"",IF($B233=0,--(L233=0),""))</f>
        <v/>
      </c>
      <c r="AX233" s="4">
        <f>IF(L233="","",--(L233=1))</f>
        <v/>
      </c>
      <c r="AY233" s="4">
        <f>IF(OR($B233="",M233=""),"",--(M233=$B233))</f>
        <v/>
      </c>
      <c r="AZ233" s="4">
        <f>IF(OR($B233="",M233=""),"",IF($B233=1,--(M233=1),""))</f>
        <v/>
      </c>
      <c r="BA233" s="4">
        <f>IF(OR($B233="",M233=""),"",IF($B233=0,--(M233=0),""))</f>
        <v/>
      </c>
      <c r="BB233" s="4">
        <f>IF(M233="","",--(M233=1))</f>
        <v/>
      </c>
      <c r="BC233" s="4">
        <f>IF(OR($B233="",N233=""),"",--(N233=$B233))</f>
        <v/>
      </c>
      <c r="BD233" s="4">
        <f>IF(OR($B233="",N233=""),"",IF($B233=1,--(N233=1),""))</f>
        <v/>
      </c>
      <c r="BE233" s="4">
        <f>IF(OR($B233="",N233=""),"",IF($B233=0,--(N233=0),""))</f>
        <v/>
      </c>
      <c r="BF233" s="4">
        <f>IF(N233="","",--(N233=1))</f>
        <v/>
      </c>
    </row>
    <row r="234">
      <c r="A234" s="3" t="inlineStr">
        <is>
          <t>202123711</t>
        </is>
      </c>
      <c r="B234" s="3" t="inlineStr">
        <is>
          <t>1</t>
        </is>
      </c>
      <c r="C234" s="3" t="inlineStr">
        <is>
          <t>Direct</t>
        </is>
      </c>
      <c r="D234" s="3" t="inlineStr">
        <is>
          <t>0</t>
        </is>
      </c>
      <c r="E234" s="3" t="inlineStr">
        <is>
          <t>0</t>
        </is>
      </c>
      <c r="F234" s="3" t="inlineStr">
        <is>
          <t>0</t>
        </is>
      </c>
      <c r="G234" s="3" t="inlineStr">
        <is>
          <t>1</t>
        </is>
      </c>
      <c r="H234" s="3" t="inlineStr">
        <is>
          <t>1</t>
        </is>
      </c>
      <c r="I234" s="3" t="inlineStr">
        <is>
          <t>1</t>
        </is>
      </c>
      <c r="J234" s="3" t="inlineStr">
        <is>
          <t>1</t>
        </is>
      </c>
      <c r="K234" s="3" t="inlineStr">
        <is>
          <t>1</t>
        </is>
      </c>
      <c r="L234" s="3" t="inlineStr">
        <is>
          <t>1</t>
        </is>
      </c>
      <c r="M234" s="3" t="inlineStr">
        <is>
          <t>1</t>
        </is>
      </c>
      <c r="N234" s="3" t="inlineStr">
        <is>
          <t>1</t>
        </is>
      </c>
      <c r="O234" s="4">
        <f>IF(OR($B234="",D234=""),"",--(D234=$B234))</f>
        <v/>
      </c>
      <c r="P234" s="4">
        <f>IF(OR($B234="",D234=""),"",IF($B234=1,--(D234=1),""))</f>
        <v/>
      </c>
      <c r="Q234" s="4">
        <f>IF(OR($B234="",D234=""),"",IF($B234=0,--(D234=0),""))</f>
        <v/>
      </c>
      <c r="R234" s="4">
        <f>IF(D234="","",--(D234=1))</f>
        <v/>
      </c>
      <c r="S234" s="4">
        <f>IF(OR($B234="",E234=""),"",--(E234=$B234))</f>
        <v/>
      </c>
      <c r="T234" s="4">
        <f>IF(OR($B234="",E234=""),"",IF($B234=1,--(E234=1),""))</f>
        <v/>
      </c>
      <c r="U234" s="4">
        <f>IF(OR($B234="",E234=""),"",IF($B234=0,--(E234=0),""))</f>
        <v/>
      </c>
      <c r="V234" s="4">
        <f>IF(E234="","",--(E234=1))</f>
        <v/>
      </c>
      <c r="W234" s="4">
        <f>IF(OR($B234="",F234=""),"",--(F234=$B234))</f>
        <v/>
      </c>
      <c r="X234" s="4">
        <f>IF(OR($B234="",F234=""),"",IF($B234=1,--(F234=1),""))</f>
        <v/>
      </c>
      <c r="Y234" s="4">
        <f>IF(OR($B234="",F234=""),"",IF($B234=0,--(F234=0),""))</f>
        <v/>
      </c>
      <c r="Z234" s="4">
        <f>IF(F234="","",--(F234=1))</f>
        <v/>
      </c>
      <c r="AA234" s="4">
        <f>IF(OR($B234="",G234=""),"",--(G234=$B234))</f>
        <v/>
      </c>
      <c r="AB234" s="4">
        <f>IF(OR($B234="",G234=""),"",IF($B234=1,--(G234=1),""))</f>
        <v/>
      </c>
      <c r="AC234" s="4">
        <f>IF(OR($B234="",G234=""),"",IF($B234=0,--(G234=0),""))</f>
        <v/>
      </c>
      <c r="AD234" s="4">
        <f>IF(G234="","",--(G234=1))</f>
        <v/>
      </c>
      <c r="AE234" s="4">
        <f>IF(OR($B234="",H234=""),"",--(H234=$B234))</f>
        <v/>
      </c>
      <c r="AF234" s="4">
        <f>IF(OR($B234="",H234=""),"",IF($B234=1,--(H234=1),""))</f>
        <v/>
      </c>
      <c r="AG234" s="4">
        <f>IF(OR($B234="",H234=""),"",IF($B234=0,--(H234=0),""))</f>
        <v/>
      </c>
      <c r="AH234" s="4">
        <f>IF(H234="","",--(H234=1))</f>
        <v/>
      </c>
      <c r="AI234" s="4">
        <f>IF(OR($B234="",I234=""),"",--(I234=$B234))</f>
        <v/>
      </c>
      <c r="AJ234" s="4">
        <f>IF(OR($B234="",I234=""),"",IF($B234=1,--(I234=1),""))</f>
        <v/>
      </c>
      <c r="AK234" s="4">
        <f>IF(OR($B234="",I234=""),"",IF($B234=0,--(I234=0),""))</f>
        <v/>
      </c>
      <c r="AL234" s="4">
        <f>IF(I234="","",--(I234=1))</f>
        <v/>
      </c>
      <c r="AM234" s="4">
        <f>IF(OR($B234="",J234=""),"",--(J234=$B234))</f>
        <v/>
      </c>
      <c r="AN234" s="4">
        <f>IF(OR($B234="",J234=""),"",IF($B234=1,--(J234=1),""))</f>
        <v/>
      </c>
      <c r="AO234" s="4">
        <f>IF(OR($B234="",J234=""),"",IF($B234=0,--(J234=0),""))</f>
        <v/>
      </c>
      <c r="AP234" s="4">
        <f>IF(J234="","",--(J234=1))</f>
        <v/>
      </c>
      <c r="AQ234" s="4">
        <f>IF(OR($B234="",K234=""),"",--(K234=$B234))</f>
        <v/>
      </c>
      <c r="AR234" s="4">
        <f>IF(OR($B234="",K234=""),"",IF($B234=1,--(K234=1),""))</f>
        <v/>
      </c>
      <c r="AS234" s="4">
        <f>IF(OR($B234="",K234=""),"",IF($B234=0,--(K234=0),""))</f>
        <v/>
      </c>
      <c r="AT234" s="4">
        <f>IF(K234="","",--(K234=1))</f>
        <v/>
      </c>
      <c r="AU234" s="4">
        <f>IF(OR($B234="",L234=""),"",--(L234=$B234))</f>
        <v/>
      </c>
      <c r="AV234" s="4">
        <f>IF(OR($B234="",L234=""),"",IF($B234=1,--(L234=1),""))</f>
        <v/>
      </c>
      <c r="AW234" s="4">
        <f>IF(OR($B234="",L234=""),"",IF($B234=0,--(L234=0),""))</f>
        <v/>
      </c>
      <c r="AX234" s="4">
        <f>IF(L234="","",--(L234=1))</f>
        <v/>
      </c>
      <c r="AY234" s="4">
        <f>IF(OR($B234="",M234=""),"",--(M234=$B234))</f>
        <v/>
      </c>
      <c r="AZ234" s="4">
        <f>IF(OR($B234="",M234=""),"",IF($B234=1,--(M234=1),""))</f>
        <v/>
      </c>
      <c r="BA234" s="4">
        <f>IF(OR($B234="",M234=""),"",IF($B234=0,--(M234=0),""))</f>
        <v/>
      </c>
      <c r="BB234" s="4">
        <f>IF(M234="","",--(M234=1))</f>
        <v/>
      </c>
      <c r="BC234" s="4">
        <f>IF(OR($B234="",N234=""),"",--(N234=$B234))</f>
        <v/>
      </c>
      <c r="BD234" s="4">
        <f>IF(OR($B234="",N234=""),"",IF($B234=1,--(N234=1),""))</f>
        <v/>
      </c>
      <c r="BE234" s="4">
        <f>IF(OR($B234="",N234=""),"",IF($B234=0,--(N234=0),""))</f>
        <v/>
      </c>
      <c r="BF234" s="4">
        <f>IF(N234="","",--(N234=1))</f>
        <v/>
      </c>
    </row>
    <row r="235">
      <c r="A235" s="3" t="inlineStr">
        <is>
          <t>202123756</t>
        </is>
      </c>
      <c r="B235" s="3" t="inlineStr">
        <is>
          <t>1</t>
        </is>
      </c>
      <c r="C235" s="3" t="inlineStr">
        <is>
          <t>Direct</t>
        </is>
      </c>
      <c r="D235" s="3" t="inlineStr">
        <is>
          <t>1</t>
        </is>
      </c>
      <c r="E235" s="3" t="inlineStr">
        <is>
          <t>1</t>
        </is>
      </c>
      <c r="F235" s="3" t="inlineStr">
        <is>
          <t>0</t>
        </is>
      </c>
      <c r="G235" s="3" t="inlineStr">
        <is>
          <t>0</t>
        </is>
      </c>
      <c r="H235" s="3" t="inlineStr">
        <is>
          <t>0</t>
        </is>
      </c>
      <c r="I235" s="3" t="inlineStr">
        <is>
          <t>0</t>
        </is>
      </c>
      <c r="J235" s="3" t="inlineStr">
        <is>
          <t>1</t>
        </is>
      </c>
      <c r="K235" s="3" t="inlineStr">
        <is>
          <t>1</t>
        </is>
      </c>
      <c r="L235" s="3" t="inlineStr">
        <is>
          <t>1</t>
        </is>
      </c>
      <c r="M235" s="3" t="inlineStr">
        <is>
          <t>1</t>
        </is>
      </c>
      <c r="N235" s="3" t="inlineStr">
        <is>
          <t>1</t>
        </is>
      </c>
      <c r="O235" s="4">
        <f>IF(OR($B235="",D235=""),"",--(D235=$B235))</f>
        <v/>
      </c>
      <c r="P235" s="4">
        <f>IF(OR($B235="",D235=""),"",IF($B235=1,--(D235=1),""))</f>
        <v/>
      </c>
      <c r="Q235" s="4">
        <f>IF(OR($B235="",D235=""),"",IF($B235=0,--(D235=0),""))</f>
        <v/>
      </c>
      <c r="R235" s="4">
        <f>IF(D235="","",--(D235=1))</f>
        <v/>
      </c>
      <c r="S235" s="4">
        <f>IF(OR($B235="",E235=""),"",--(E235=$B235))</f>
        <v/>
      </c>
      <c r="T235" s="4">
        <f>IF(OR($B235="",E235=""),"",IF($B235=1,--(E235=1),""))</f>
        <v/>
      </c>
      <c r="U235" s="4">
        <f>IF(OR($B235="",E235=""),"",IF($B235=0,--(E235=0),""))</f>
        <v/>
      </c>
      <c r="V235" s="4">
        <f>IF(E235="","",--(E235=1))</f>
        <v/>
      </c>
      <c r="W235" s="4">
        <f>IF(OR($B235="",F235=""),"",--(F235=$B235))</f>
        <v/>
      </c>
      <c r="X235" s="4">
        <f>IF(OR($B235="",F235=""),"",IF($B235=1,--(F235=1),""))</f>
        <v/>
      </c>
      <c r="Y235" s="4">
        <f>IF(OR($B235="",F235=""),"",IF($B235=0,--(F235=0),""))</f>
        <v/>
      </c>
      <c r="Z235" s="4">
        <f>IF(F235="","",--(F235=1))</f>
        <v/>
      </c>
      <c r="AA235" s="4">
        <f>IF(OR($B235="",G235=""),"",--(G235=$B235))</f>
        <v/>
      </c>
      <c r="AB235" s="4">
        <f>IF(OR($B235="",G235=""),"",IF($B235=1,--(G235=1),""))</f>
        <v/>
      </c>
      <c r="AC235" s="4">
        <f>IF(OR($B235="",G235=""),"",IF($B235=0,--(G235=0),""))</f>
        <v/>
      </c>
      <c r="AD235" s="4">
        <f>IF(G235="","",--(G235=1))</f>
        <v/>
      </c>
      <c r="AE235" s="4">
        <f>IF(OR($B235="",H235=""),"",--(H235=$B235))</f>
        <v/>
      </c>
      <c r="AF235" s="4">
        <f>IF(OR($B235="",H235=""),"",IF($B235=1,--(H235=1),""))</f>
        <v/>
      </c>
      <c r="AG235" s="4">
        <f>IF(OR($B235="",H235=""),"",IF($B235=0,--(H235=0),""))</f>
        <v/>
      </c>
      <c r="AH235" s="4">
        <f>IF(H235="","",--(H235=1))</f>
        <v/>
      </c>
      <c r="AI235" s="4">
        <f>IF(OR($B235="",I235=""),"",--(I235=$B235))</f>
        <v/>
      </c>
      <c r="AJ235" s="4">
        <f>IF(OR($B235="",I235=""),"",IF($B235=1,--(I235=1),""))</f>
        <v/>
      </c>
      <c r="AK235" s="4">
        <f>IF(OR($B235="",I235=""),"",IF($B235=0,--(I235=0),""))</f>
        <v/>
      </c>
      <c r="AL235" s="4">
        <f>IF(I235="","",--(I235=1))</f>
        <v/>
      </c>
      <c r="AM235" s="4">
        <f>IF(OR($B235="",J235=""),"",--(J235=$B235))</f>
        <v/>
      </c>
      <c r="AN235" s="4">
        <f>IF(OR($B235="",J235=""),"",IF($B235=1,--(J235=1),""))</f>
        <v/>
      </c>
      <c r="AO235" s="4">
        <f>IF(OR($B235="",J235=""),"",IF($B235=0,--(J235=0),""))</f>
        <v/>
      </c>
      <c r="AP235" s="4">
        <f>IF(J235="","",--(J235=1))</f>
        <v/>
      </c>
      <c r="AQ235" s="4">
        <f>IF(OR($B235="",K235=""),"",--(K235=$B235))</f>
        <v/>
      </c>
      <c r="AR235" s="4">
        <f>IF(OR($B235="",K235=""),"",IF($B235=1,--(K235=1),""))</f>
        <v/>
      </c>
      <c r="AS235" s="4">
        <f>IF(OR($B235="",K235=""),"",IF($B235=0,--(K235=0),""))</f>
        <v/>
      </c>
      <c r="AT235" s="4">
        <f>IF(K235="","",--(K235=1))</f>
        <v/>
      </c>
      <c r="AU235" s="4">
        <f>IF(OR($B235="",L235=""),"",--(L235=$B235))</f>
        <v/>
      </c>
      <c r="AV235" s="4">
        <f>IF(OR($B235="",L235=""),"",IF($B235=1,--(L235=1),""))</f>
        <v/>
      </c>
      <c r="AW235" s="4">
        <f>IF(OR($B235="",L235=""),"",IF($B235=0,--(L235=0),""))</f>
        <v/>
      </c>
      <c r="AX235" s="4">
        <f>IF(L235="","",--(L235=1))</f>
        <v/>
      </c>
      <c r="AY235" s="4">
        <f>IF(OR($B235="",M235=""),"",--(M235=$B235))</f>
        <v/>
      </c>
      <c r="AZ235" s="4">
        <f>IF(OR($B235="",M235=""),"",IF($B235=1,--(M235=1),""))</f>
        <v/>
      </c>
      <c r="BA235" s="4">
        <f>IF(OR($B235="",M235=""),"",IF($B235=0,--(M235=0),""))</f>
        <v/>
      </c>
      <c r="BB235" s="4">
        <f>IF(M235="","",--(M235=1))</f>
        <v/>
      </c>
      <c r="BC235" s="4">
        <f>IF(OR($B235="",N235=""),"",--(N235=$B235))</f>
        <v/>
      </c>
      <c r="BD235" s="4">
        <f>IF(OR($B235="",N235=""),"",IF($B235=1,--(N235=1),""))</f>
        <v/>
      </c>
      <c r="BE235" s="4">
        <f>IF(OR($B235="",N235=""),"",IF($B235=0,--(N235=0),""))</f>
        <v/>
      </c>
      <c r="BF235" s="4">
        <f>IF(N235="","",--(N235=1))</f>
        <v/>
      </c>
    </row>
    <row r="236">
      <c r="A236" s="3" t="inlineStr">
        <is>
          <t>202124304</t>
        </is>
      </c>
      <c r="B236" s="3" t="inlineStr">
        <is>
          <t>0</t>
        </is>
      </c>
      <c r="C236" s="3" t="inlineStr">
        <is>
          <t>Direct</t>
        </is>
      </c>
      <c r="D236" s="3" t="inlineStr">
        <is>
          <t>1</t>
        </is>
      </c>
      <c r="E236" s="3" t="inlineStr">
        <is>
          <t>1</t>
        </is>
      </c>
      <c r="F236" s="3" t="inlineStr">
        <is>
          <t>0</t>
        </is>
      </c>
      <c r="G236" s="3" t="inlineStr">
        <is>
          <t>1</t>
        </is>
      </c>
      <c r="H236" s="3" t="inlineStr">
        <is>
          <t>1</t>
        </is>
      </c>
      <c r="I236" s="3" t="inlineStr">
        <is>
          <t>1</t>
        </is>
      </c>
      <c r="J236" s="3" t="inlineStr">
        <is>
          <t>1</t>
        </is>
      </c>
      <c r="K236" s="3" t="inlineStr">
        <is>
          <t>1</t>
        </is>
      </c>
      <c r="L236" s="3" t="inlineStr">
        <is>
          <t>1</t>
        </is>
      </c>
      <c r="M236" s="3" t="inlineStr">
        <is>
          <t>1</t>
        </is>
      </c>
      <c r="N236" s="3" t="inlineStr">
        <is>
          <t>1</t>
        </is>
      </c>
      <c r="O236" s="4">
        <f>IF(OR($B236="",D236=""),"",--(D236=$B236))</f>
        <v/>
      </c>
      <c r="P236" s="4">
        <f>IF(OR($B236="",D236=""),"",IF($B236=1,--(D236=1),""))</f>
        <v/>
      </c>
      <c r="Q236" s="4">
        <f>IF(OR($B236="",D236=""),"",IF($B236=0,--(D236=0),""))</f>
        <v/>
      </c>
      <c r="R236" s="4">
        <f>IF(D236="","",--(D236=1))</f>
        <v/>
      </c>
      <c r="S236" s="4">
        <f>IF(OR($B236="",E236=""),"",--(E236=$B236))</f>
        <v/>
      </c>
      <c r="T236" s="4">
        <f>IF(OR($B236="",E236=""),"",IF($B236=1,--(E236=1),""))</f>
        <v/>
      </c>
      <c r="U236" s="4">
        <f>IF(OR($B236="",E236=""),"",IF($B236=0,--(E236=0),""))</f>
        <v/>
      </c>
      <c r="V236" s="4">
        <f>IF(E236="","",--(E236=1))</f>
        <v/>
      </c>
      <c r="W236" s="4">
        <f>IF(OR($B236="",F236=""),"",--(F236=$B236))</f>
        <v/>
      </c>
      <c r="X236" s="4">
        <f>IF(OR($B236="",F236=""),"",IF($B236=1,--(F236=1),""))</f>
        <v/>
      </c>
      <c r="Y236" s="4">
        <f>IF(OR($B236="",F236=""),"",IF($B236=0,--(F236=0),""))</f>
        <v/>
      </c>
      <c r="Z236" s="4">
        <f>IF(F236="","",--(F236=1))</f>
        <v/>
      </c>
      <c r="AA236" s="4">
        <f>IF(OR($B236="",G236=""),"",--(G236=$B236))</f>
        <v/>
      </c>
      <c r="AB236" s="4">
        <f>IF(OR($B236="",G236=""),"",IF($B236=1,--(G236=1),""))</f>
        <v/>
      </c>
      <c r="AC236" s="4">
        <f>IF(OR($B236="",G236=""),"",IF($B236=0,--(G236=0),""))</f>
        <v/>
      </c>
      <c r="AD236" s="4">
        <f>IF(G236="","",--(G236=1))</f>
        <v/>
      </c>
      <c r="AE236" s="4">
        <f>IF(OR($B236="",H236=""),"",--(H236=$B236))</f>
        <v/>
      </c>
      <c r="AF236" s="4">
        <f>IF(OR($B236="",H236=""),"",IF($B236=1,--(H236=1),""))</f>
        <v/>
      </c>
      <c r="AG236" s="4">
        <f>IF(OR($B236="",H236=""),"",IF($B236=0,--(H236=0),""))</f>
        <v/>
      </c>
      <c r="AH236" s="4">
        <f>IF(H236="","",--(H236=1))</f>
        <v/>
      </c>
      <c r="AI236" s="4">
        <f>IF(OR($B236="",I236=""),"",--(I236=$B236))</f>
        <v/>
      </c>
      <c r="AJ236" s="4">
        <f>IF(OR($B236="",I236=""),"",IF($B236=1,--(I236=1),""))</f>
        <v/>
      </c>
      <c r="AK236" s="4">
        <f>IF(OR($B236="",I236=""),"",IF($B236=0,--(I236=0),""))</f>
        <v/>
      </c>
      <c r="AL236" s="4">
        <f>IF(I236="","",--(I236=1))</f>
        <v/>
      </c>
      <c r="AM236" s="4">
        <f>IF(OR($B236="",J236=""),"",--(J236=$B236))</f>
        <v/>
      </c>
      <c r="AN236" s="4">
        <f>IF(OR($B236="",J236=""),"",IF($B236=1,--(J236=1),""))</f>
        <v/>
      </c>
      <c r="AO236" s="4">
        <f>IF(OR($B236="",J236=""),"",IF($B236=0,--(J236=0),""))</f>
        <v/>
      </c>
      <c r="AP236" s="4">
        <f>IF(J236="","",--(J236=1))</f>
        <v/>
      </c>
      <c r="AQ236" s="4">
        <f>IF(OR($B236="",K236=""),"",--(K236=$B236))</f>
        <v/>
      </c>
      <c r="AR236" s="4">
        <f>IF(OR($B236="",K236=""),"",IF($B236=1,--(K236=1),""))</f>
        <v/>
      </c>
      <c r="AS236" s="4">
        <f>IF(OR($B236="",K236=""),"",IF($B236=0,--(K236=0),""))</f>
        <v/>
      </c>
      <c r="AT236" s="4">
        <f>IF(K236="","",--(K236=1))</f>
        <v/>
      </c>
      <c r="AU236" s="4">
        <f>IF(OR($B236="",L236=""),"",--(L236=$B236))</f>
        <v/>
      </c>
      <c r="AV236" s="4">
        <f>IF(OR($B236="",L236=""),"",IF($B236=1,--(L236=1),""))</f>
        <v/>
      </c>
      <c r="AW236" s="4">
        <f>IF(OR($B236="",L236=""),"",IF($B236=0,--(L236=0),""))</f>
        <v/>
      </c>
      <c r="AX236" s="4">
        <f>IF(L236="","",--(L236=1))</f>
        <v/>
      </c>
      <c r="AY236" s="4">
        <f>IF(OR($B236="",M236=""),"",--(M236=$B236))</f>
        <v/>
      </c>
      <c r="AZ236" s="4">
        <f>IF(OR($B236="",M236=""),"",IF($B236=1,--(M236=1),""))</f>
        <v/>
      </c>
      <c r="BA236" s="4">
        <f>IF(OR($B236="",M236=""),"",IF($B236=0,--(M236=0),""))</f>
        <v/>
      </c>
      <c r="BB236" s="4">
        <f>IF(M236="","",--(M236=1))</f>
        <v/>
      </c>
      <c r="BC236" s="4">
        <f>IF(OR($B236="",N236=""),"",--(N236=$B236))</f>
        <v/>
      </c>
      <c r="BD236" s="4">
        <f>IF(OR($B236="",N236=""),"",IF($B236=1,--(N236=1),""))</f>
        <v/>
      </c>
      <c r="BE236" s="4">
        <f>IF(OR($B236="",N236=""),"",IF($B236=0,--(N236=0),""))</f>
        <v/>
      </c>
      <c r="BF236" s="4">
        <f>IF(N236="","",--(N236=1))</f>
        <v/>
      </c>
    </row>
    <row r="237">
      <c r="A237" s="3" t="inlineStr">
        <is>
          <t>202124526</t>
        </is>
      </c>
      <c r="B237" s="3" t="inlineStr">
        <is>
          <t>0</t>
        </is>
      </c>
      <c r="C237" s="3" t="inlineStr">
        <is>
          <t>RQ</t>
        </is>
      </c>
      <c r="D237" s="3" t="inlineStr">
        <is>
          <t>1</t>
        </is>
      </c>
      <c r="E237" s="3" t="inlineStr">
        <is>
          <t>1</t>
        </is>
      </c>
      <c r="F237" s="3" t="inlineStr">
        <is>
          <t>1</t>
        </is>
      </c>
      <c r="G237" s="3" t="inlineStr">
        <is>
          <t>1</t>
        </is>
      </c>
      <c r="H237" s="3" t="inlineStr">
        <is>
          <t>1</t>
        </is>
      </c>
      <c r="I237" s="3" t="inlineStr">
        <is>
          <t>1</t>
        </is>
      </c>
      <c r="J237" s="3" t="inlineStr">
        <is>
          <t>1</t>
        </is>
      </c>
      <c r="K237" s="3" t="inlineStr">
        <is>
          <t>1</t>
        </is>
      </c>
      <c r="L237" s="3" t="inlineStr">
        <is>
          <t>1</t>
        </is>
      </c>
      <c r="M237" s="3" t="inlineStr">
        <is>
          <t>1</t>
        </is>
      </c>
      <c r="N237" s="3" t="inlineStr">
        <is>
          <t>1</t>
        </is>
      </c>
      <c r="O237" s="4">
        <f>IF(OR($B237="",D237=""),"",--(D237=$B237))</f>
        <v/>
      </c>
      <c r="P237" s="4">
        <f>IF(OR($B237="",D237=""),"",IF($B237=1,--(D237=1),""))</f>
        <v/>
      </c>
      <c r="Q237" s="4">
        <f>IF(OR($B237="",D237=""),"",IF($B237=0,--(D237=0),""))</f>
        <v/>
      </c>
      <c r="R237" s="4">
        <f>IF(D237="","",--(D237=1))</f>
        <v/>
      </c>
      <c r="S237" s="4">
        <f>IF(OR($B237="",E237=""),"",--(E237=$B237))</f>
        <v/>
      </c>
      <c r="T237" s="4">
        <f>IF(OR($B237="",E237=""),"",IF($B237=1,--(E237=1),""))</f>
        <v/>
      </c>
      <c r="U237" s="4">
        <f>IF(OR($B237="",E237=""),"",IF($B237=0,--(E237=0),""))</f>
        <v/>
      </c>
      <c r="V237" s="4">
        <f>IF(E237="","",--(E237=1))</f>
        <v/>
      </c>
      <c r="W237" s="4">
        <f>IF(OR($B237="",F237=""),"",--(F237=$B237))</f>
        <v/>
      </c>
      <c r="X237" s="4">
        <f>IF(OR($B237="",F237=""),"",IF($B237=1,--(F237=1),""))</f>
        <v/>
      </c>
      <c r="Y237" s="4">
        <f>IF(OR($B237="",F237=""),"",IF($B237=0,--(F237=0),""))</f>
        <v/>
      </c>
      <c r="Z237" s="4">
        <f>IF(F237="","",--(F237=1))</f>
        <v/>
      </c>
      <c r="AA237" s="4">
        <f>IF(OR($B237="",G237=""),"",--(G237=$B237))</f>
        <v/>
      </c>
      <c r="AB237" s="4">
        <f>IF(OR($B237="",G237=""),"",IF($B237=1,--(G237=1),""))</f>
        <v/>
      </c>
      <c r="AC237" s="4">
        <f>IF(OR($B237="",G237=""),"",IF($B237=0,--(G237=0),""))</f>
        <v/>
      </c>
      <c r="AD237" s="4">
        <f>IF(G237="","",--(G237=1))</f>
        <v/>
      </c>
      <c r="AE237" s="4">
        <f>IF(OR($B237="",H237=""),"",--(H237=$B237))</f>
        <v/>
      </c>
      <c r="AF237" s="4">
        <f>IF(OR($B237="",H237=""),"",IF($B237=1,--(H237=1),""))</f>
        <v/>
      </c>
      <c r="AG237" s="4">
        <f>IF(OR($B237="",H237=""),"",IF($B237=0,--(H237=0),""))</f>
        <v/>
      </c>
      <c r="AH237" s="4">
        <f>IF(H237="","",--(H237=1))</f>
        <v/>
      </c>
      <c r="AI237" s="4">
        <f>IF(OR($B237="",I237=""),"",--(I237=$B237))</f>
        <v/>
      </c>
      <c r="AJ237" s="4">
        <f>IF(OR($B237="",I237=""),"",IF($B237=1,--(I237=1),""))</f>
        <v/>
      </c>
      <c r="AK237" s="4">
        <f>IF(OR($B237="",I237=""),"",IF($B237=0,--(I237=0),""))</f>
        <v/>
      </c>
      <c r="AL237" s="4">
        <f>IF(I237="","",--(I237=1))</f>
        <v/>
      </c>
      <c r="AM237" s="4">
        <f>IF(OR($B237="",J237=""),"",--(J237=$B237))</f>
        <v/>
      </c>
      <c r="AN237" s="4">
        <f>IF(OR($B237="",J237=""),"",IF($B237=1,--(J237=1),""))</f>
        <v/>
      </c>
      <c r="AO237" s="4">
        <f>IF(OR($B237="",J237=""),"",IF($B237=0,--(J237=0),""))</f>
        <v/>
      </c>
      <c r="AP237" s="4">
        <f>IF(J237="","",--(J237=1))</f>
        <v/>
      </c>
      <c r="AQ237" s="4">
        <f>IF(OR($B237="",K237=""),"",--(K237=$B237))</f>
        <v/>
      </c>
      <c r="AR237" s="4">
        <f>IF(OR($B237="",K237=""),"",IF($B237=1,--(K237=1),""))</f>
        <v/>
      </c>
      <c r="AS237" s="4">
        <f>IF(OR($B237="",K237=""),"",IF($B237=0,--(K237=0),""))</f>
        <v/>
      </c>
      <c r="AT237" s="4">
        <f>IF(K237="","",--(K237=1))</f>
        <v/>
      </c>
      <c r="AU237" s="4">
        <f>IF(OR($B237="",L237=""),"",--(L237=$B237))</f>
        <v/>
      </c>
      <c r="AV237" s="4">
        <f>IF(OR($B237="",L237=""),"",IF($B237=1,--(L237=1),""))</f>
        <v/>
      </c>
      <c r="AW237" s="4">
        <f>IF(OR($B237="",L237=""),"",IF($B237=0,--(L237=0),""))</f>
        <v/>
      </c>
      <c r="AX237" s="4">
        <f>IF(L237="","",--(L237=1))</f>
        <v/>
      </c>
      <c r="AY237" s="4">
        <f>IF(OR($B237="",M237=""),"",--(M237=$B237))</f>
        <v/>
      </c>
      <c r="AZ237" s="4">
        <f>IF(OR($B237="",M237=""),"",IF($B237=1,--(M237=1),""))</f>
        <v/>
      </c>
      <c r="BA237" s="4">
        <f>IF(OR($B237="",M237=""),"",IF($B237=0,--(M237=0),""))</f>
        <v/>
      </c>
      <c r="BB237" s="4">
        <f>IF(M237="","",--(M237=1))</f>
        <v/>
      </c>
      <c r="BC237" s="4">
        <f>IF(OR($B237="",N237=""),"",--(N237=$B237))</f>
        <v/>
      </c>
      <c r="BD237" s="4">
        <f>IF(OR($B237="",N237=""),"",IF($B237=1,--(N237=1),""))</f>
        <v/>
      </c>
      <c r="BE237" s="4">
        <f>IF(OR($B237="",N237=""),"",IF($B237=0,--(N237=0),""))</f>
        <v/>
      </c>
      <c r="BF237" s="4">
        <f>IF(N237="","",--(N237=1))</f>
        <v/>
      </c>
    </row>
    <row r="238">
      <c r="A238" s="3" t="inlineStr">
        <is>
          <t>202124622</t>
        </is>
      </c>
      <c r="B238" s="3" t="inlineStr">
        <is>
          <t>0</t>
        </is>
      </c>
      <c r="C238" s="3" t="inlineStr">
        <is>
          <t>Direct</t>
        </is>
      </c>
      <c r="D238" s="3" t="inlineStr">
        <is>
          <t>1</t>
        </is>
      </c>
      <c r="E238" s="3" t="inlineStr">
        <is>
          <t>0</t>
        </is>
      </c>
      <c r="F238" s="3" t="inlineStr">
        <is>
          <t>0</t>
        </is>
      </c>
      <c r="G238" s="3" t="inlineStr">
        <is>
          <t>1</t>
        </is>
      </c>
      <c r="H238" s="3" t="inlineStr">
        <is>
          <t>0</t>
        </is>
      </c>
      <c r="I238" s="3" t="inlineStr">
        <is>
          <t>1</t>
        </is>
      </c>
      <c r="J238" s="3" t="inlineStr">
        <is>
          <t>1</t>
        </is>
      </c>
      <c r="K238" s="3" t="inlineStr">
        <is>
          <t>1</t>
        </is>
      </c>
      <c r="L238" s="3" t="inlineStr">
        <is>
          <t>1</t>
        </is>
      </c>
      <c r="M238" s="3" t="inlineStr">
        <is>
          <t>1</t>
        </is>
      </c>
      <c r="N238" s="3" t="inlineStr">
        <is>
          <t>1</t>
        </is>
      </c>
      <c r="O238" s="4">
        <f>IF(OR($B238="",D238=""),"",--(D238=$B238))</f>
        <v/>
      </c>
      <c r="P238" s="4">
        <f>IF(OR($B238="",D238=""),"",IF($B238=1,--(D238=1),""))</f>
        <v/>
      </c>
      <c r="Q238" s="4">
        <f>IF(OR($B238="",D238=""),"",IF($B238=0,--(D238=0),""))</f>
        <v/>
      </c>
      <c r="R238" s="4">
        <f>IF(D238="","",--(D238=1))</f>
        <v/>
      </c>
      <c r="S238" s="4">
        <f>IF(OR($B238="",E238=""),"",--(E238=$B238))</f>
        <v/>
      </c>
      <c r="T238" s="4">
        <f>IF(OR($B238="",E238=""),"",IF($B238=1,--(E238=1),""))</f>
        <v/>
      </c>
      <c r="U238" s="4">
        <f>IF(OR($B238="",E238=""),"",IF($B238=0,--(E238=0),""))</f>
        <v/>
      </c>
      <c r="V238" s="4">
        <f>IF(E238="","",--(E238=1))</f>
        <v/>
      </c>
      <c r="W238" s="4">
        <f>IF(OR($B238="",F238=""),"",--(F238=$B238))</f>
        <v/>
      </c>
      <c r="X238" s="4">
        <f>IF(OR($B238="",F238=""),"",IF($B238=1,--(F238=1),""))</f>
        <v/>
      </c>
      <c r="Y238" s="4">
        <f>IF(OR($B238="",F238=""),"",IF($B238=0,--(F238=0),""))</f>
        <v/>
      </c>
      <c r="Z238" s="4">
        <f>IF(F238="","",--(F238=1))</f>
        <v/>
      </c>
      <c r="AA238" s="4">
        <f>IF(OR($B238="",G238=""),"",--(G238=$B238))</f>
        <v/>
      </c>
      <c r="AB238" s="4">
        <f>IF(OR($B238="",G238=""),"",IF($B238=1,--(G238=1),""))</f>
        <v/>
      </c>
      <c r="AC238" s="4">
        <f>IF(OR($B238="",G238=""),"",IF($B238=0,--(G238=0),""))</f>
        <v/>
      </c>
      <c r="AD238" s="4">
        <f>IF(G238="","",--(G238=1))</f>
        <v/>
      </c>
      <c r="AE238" s="4">
        <f>IF(OR($B238="",H238=""),"",--(H238=$B238))</f>
        <v/>
      </c>
      <c r="AF238" s="4">
        <f>IF(OR($B238="",H238=""),"",IF($B238=1,--(H238=1),""))</f>
        <v/>
      </c>
      <c r="AG238" s="4">
        <f>IF(OR($B238="",H238=""),"",IF($B238=0,--(H238=0),""))</f>
        <v/>
      </c>
      <c r="AH238" s="4">
        <f>IF(H238="","",--(H238=1))</f>
        <v/>
      </c>
      <c r="AI238" s="4">
        <f>IF(OR($B238="",I238=""),"",--(I238=$B238))</f>
        <v/>
      </c>
      <c r="AJ238" s="4">
        <f>IF(OR($B238="",I238=""),"",IF($B238=1,--(I238=1),""))</f>
        <v/>
      </c>
      <c r="AK238" s="4">
        <f>IF(OR($B238="",I238=""),"",IF($B238=0,--(I238=0),""))</f>
        <v/>
      </c>
      <c r="AL238" s="4">
        <f>IF(I238="","",--(I238=1))</f>
        <v/>
      </c>
      <c r="AM238" s="4">
        <f>IF(OR($B238="",J238=""),"",--(J238=$B238))</f>
        <v/>
      </c>
      <c r="AN238" s="4">
        <f>IF(OR($B238="",J238=""),"",IF($B238=1,--(J238=1),""))</f>
        <v/>
      </c>
      <c r="AO238" s="4">
        <f>IF(OR($B238="",J238=""),"",IF($B238=0,--(J238=0),""))</f>
        <v/>
      </c>
      <c r="AP238" s="4">
        <f>IF(J238="","",--(J238=1))</f>
        <v/>
      </c>
      <c r="AQ238" s="4">
        <f>IF(OR($B238="",K238=""),"",--(K238=$B238))</f>
        <v/>
      </c>
      <c r="AR238" s="4">
        <f>IF(OR($B238="",K238=""),"",IF($B238=1,--(K238=1),""))</f>
        <v/>
      </c>
      <c r="AS238" s="4">
        <f>IF(OR($B238="",K238=""),"",IF($B238=0,--(K238=0),""))</f>
        <v/>
      </c>
      <c r="AT238" s="4">
        <f>IF(K238="","",--(K238=1))</f>
        <v/>
      </c>
      <c r="AU238" s="4">
        <f>IF(OR($B238="",L238=""),"",--(L238=$B238))</f>
        <v/>
      </c>
      <c r="AV238" s="4">
        <f>IF(OR($B238="",L238=""),"",IF($B238=1,--(L238=1),""))</f>
        <v/>
      </c>
      <c r="AW238" s="4">
        <f>IF(OR($B238="",L238=""),"",IF($B238=0,--(L238=0),""))</f>
        <v/>
      </c>
      <c r="AX238" s="4">
        <f>IF(L238="","",--(L238=1))</f>
        <v/>
      </c>
      <c r="AY238" s="4">
        <f>IF(OR($B238="",M238=""),"",--(M238=$B238))</f>
        <v/>
      </c>
      <c r="AZ238" s="4">
        <f>IF(OR($B238="",M238=""),"",IF($B238=1,--(M238=1),""))</f>
        <v/>
      </c>
      <c r="BA238" s="4">
        <f>IF(OR($B238="",M238=""),"",IF($B238=0,--(M238=0),""))</f>
        <v/>
      </c>
      <c r="BB238" s="4">
        <f>IF(M238="","",--(M238=1))</f>
        <v/>
      </c>
      <c r="BC238" s="4">
        <f>IF(OR($B238="",N238=""),"",--(N238=$B238))</f>
        <v/>
      </c>
      <c r="BD238" s="4">
        <f>IF(OR($B238="",N238=""),"",IF($B238=1,--(N238=1),""))</f>
        <v/>
      </c>
      <c r="BE238" s="4">
        <f>IF(OR($B238="",N238=""),"",IF($B238=0,--(N238=0),""))</f>
        <v/>
      </c>
      <c r="BF238" s="4">
        <f>IF(N238="","",--(N238=1))</f>
        <v/>
      </c>
    </row>
    <row r="239">
      <c r="A239" s="3" t="inlineStr">
        <is>
          <t>2021247</t>
        </is>
      </c>
      <c r="B239" s="3" t="inlineStr">
        <is>
          <t>1</t>
        </is>
      </c>
      <c r="C239" s="3" t="inlineStr">
        <is>
          <t>Direct</t>
        </is>
      </c>
      <c r="D239" s="3" t="inlineStr">
        <is>
          <t>0</t>
        </is>
      </c>
      <c r="E239" s="3" t="inlineStr">
        <is>
          <t>1</t>
        </is>
      </c>
      <c r="F239" s="3" t="inlineStr">
        <is>
          <t>0</t>
        </is>
      </c>
      <c r="G239" s="3" t="inlineStr">
        <is>
          <t>1</t>
        </is>
      </c>
      <c r="H239" s="3" t="inlineStr">
        <is>
          <t>0</t>
        </is>
      </c>
      <c r="I239" s="3" t="inlineStr">
        <is>
          <t>1</t>
        </is>
      </c>
      <c r="J239" s="3" t="inlineStr">
        <is>
          <t>1</t>
        </is>
      </c>
      <c r="K239" s="3" t="inlineStr">
        <is>
          <t>1</t>
        </is>
      </c>
      <c r="L239" s="3" t="inlineStr">
        <is>
          <t>1</t>
        </is>
      </c>
      <c r="M239" s="3" t="inlineStr">
        <is>
          <t>1</t>
        </is>
      </c>
      <c r="N239" s="3" t="inlineStr">
        <is>
          <t>1</t>
        </is>
      </c>
      <c r="O239" s="4">
        <f>IF(OR($B239="",D239=""),"",--(D239=$B239))</f>
        <v/>
      </c>
      <c r="P239" s="4">
        <f>IF(OR($B239="",D239=""),"",IF($B239=1,--(D239=1),""))</f>
        <v/>
      </c>
      <c r="Q239" s="4">
        <f>IF(OR($B239="",D239=""),"",IF($B239=0,--(D239=0),""))</f>
        <v/>
      </c>
      <c r="R239" s="4">
        <f>IF(D239="","",--(D239=1))</f>
        <v/>
      </c>
      <c r="S239" s="4">
        <f>IF(OR($B239="",E239=""),"",--(E239=$B239))</f>
        <v/>
      </c>
      <c r="T239" s="4">
        <f>IF(OR($B239="",E239=""),"",IF($B239=1,--(E239=1),""))</f>
        <v/>
      </c>
      <c r="U239" s="4">
        <f>IF(OR($B239="",E239=""),"",IF($B239=0,--(E239=0),""))</f>
        <v/>
      </c>
      <c r="V239" s="4">
        <f>IF(E239="","",--(E239=1))</f>
        <v/>
      </c>
      <c r="W239" s="4">
        <f>IF(OR($B239="",F239=""),"",--(F239=$B239))</f>
        <v/>
      </c>
      <c r="X239" s="4">
        <f>IF(OR($B239="",F239=""),"",IF($B239=1,--(F239=1),""))</f>
        <v/>
      </c>
      <c r="Y239" s="4">
        <f>IF(OR($B239="",F239=""),"",IF($B239=0,--(F239=0),""))</f>
        <v/>
      </c>
      <c r="Z239" s="4">
        <f>IF(F239="","",--(F239=1))</f>
        <v/>
      </c>
      <c r="AA239" s="4">
        <f>IF(OR($B239="",G239=""),"",--(G239=$B239))</f>
        <v/>
      </c>
      <c r="AB239" s="4">
        <f>IF(OR($B239="",G239=""),"",IF($B239=1,--(G239=1),""))</f>
        <v/>
      </c>
      <c r="AC239" s="4">
        <f>IF(OR($B239="",G239=""),"",IF($B239=0,--(G239=0),""))</f>
        <v/>
      </c>
      <c r="AD239" s="4">
        <f>IF(G239="","",--(G239=1))</f>
        <v/>
      </c>
      <c r="AE239" s="4">
        <f>IF(OR($B239="",H239=""),"",--(H239=$B239))</f>
        <v/>
      </c>
      <c r="AF239" s="4">
        <f>IF(OR($B239="",H239=""),"",IF($B239=1,--(H239=1),""))</f>
        <v/>
      </c>
      <c r="AG239" s="4">
        <f>IF(OR($B239="",H239=""),"",IF($B239=0,--(H239=0),""))</f>
        <v/>
      </c>
      <c r="AH239" s="4">
        <f>IF(H239="","",--(H239=1))</f>
        <v/>
      </c>
      <c r="AI239" s="4">
        <f>IF(OR($B239="",I239=""),"",--(I239=$B239))</f>
        <v/>
      </c>
      <c r="AJ239" s="4">
        <f>IF(OR($B239="",I239=""),"",IF($B239=1,--(I239=1),""))</f>
        <v/>
      </c>
      <c r="AK239" s="4">
        <f>IF(OR($B239="",I239=""),"",IF($B239=0,--(I239=0),""))</f>
        <v/>
      </c>
      <c r="AL239" s="4">
        <f>IF(I239="","",--(I239=1))</f>
        <v/>
      </c>
      <c r="AM239" s="4">
        <f>IF(OR($B239="",J239=""),"",--(J239=$B239))</f>
        <v/>
      </c>
      <c r="AN239" s="4">
        <f>IF(OR($B239="",J239=""),"",IF($B239=1,--(J239=1),""))</f>
        <v/>
      </c>
      <c r="AO239" s="4">
        <f>IF(OR($B239="",J239=""),"",IF($B239=0,--(J239=0),""))</f>
        <v/>
      </c>
      <c r="AP239" s="4">
        <f>IF(J239="","",--(J239=1))</f>
        <v/>
      </c>
      <c r="AQ239" s="4">
        <f>IF(OR($B239="",K239=""),"",--(K239=$B239))</f>
        <v/>
      </c>
      <c r="AR239" s="4">
        <f>IF(OR($B239="",K239=""),"",IF($B239=1,--(K239=1),""))</f>
        <v/>
      </c>
      <c r="AS239" s="4">
        <f>IF(OR($B239="",K239=""),"",IF($B239=0,--(K239=0),""))</f>
        <v/>
      </c>
      <c r="AT239" s="4">
        <f>IF(K239="","",--(K239=1))</f>
        <v/>
      </c>
      <c r="AU239" s="4">
        <f>IF(OR($B239="",L239=""),"",--(L239=$B239))</f>
        <v/>
      </c>
      <c r="AV239" s="4">
        <f>IF(OR($B239="",L239=""),"",IF($B239=1,--(L239=1),""))</f>
        <v/>
      </c>
      <c r="AW239" s="4">
        <f>IF(OR($B239="",L239=""),"",IF($B239=0,--(L239=0),""))</f>
        <v/>
      </c>
      <c r="AX239" s="4">
        <f>IF(L239="","",--(L239=1))</f>
        <v/>
      </c>
      <c r="AY239" s="4">
        <f>IF(OR($B239="",M239=""),"",--(M239=$B239))</f>
        <v/>
      </c>
      <c r="AZ239" s="4">
        <f>IF(OR($B239="",M239=""),"",IF($B239=1,--(M239=1),""))</f>
        <v/>
      </c>
      <c r="BA239" s="4">
        <f>IF(OR($B239="",M239=""),"",IF($B239=0,--(M239=0),""))</f>
        <v/>
      </c>
      <c r="BB239" s="4">
        <f>IF(M239="","",--(M239=1))</f>
        <v/>
      </c>
      <c r="BC239" s="4">
        <f>IF(OR($B239="",N239=""),"",--(N239=$B239))</f>
        <v/>
      </c>
      <c r="BD239" s="4">
        <f>IF(OR($B239="",N239=""),"",IF($B239=1,--(N239=1),""))</f>
        <v/>
      </c>
      <c r="BE239" s="4">
        <f>IF(OR($B239="",N239=""),"",IF($B239=0,--(N239=0),""))</f>
        <v/>
      </c>
      <c r="BF239" s="4">
        <f>IF(N239="","",--(N239=1))</f>
        <v/>
      </c>
    </row>
    <row r="240">
      <c r="A240" s="3" t="inlineStr">
        <is>
          <t>20212479</t>
        </is>
      </c>
      <c r="B240" s="3" t="inlineStr">
        <is>
          <t>0</t>
        </is>
      </c>
      <c r="C240" s="3" t="inlineStr">
        <is>
          <t>Direct</t>
        </is>
      </c>
      <c r="D240" s="3" t="inlineStr">
        <is>
          <t>1</t>
        </is>
      </c>
      <c r="E240" s="3" t="inlineStr">
        <is>
          <t>1</t>
        </is>
      </c>
      <c r="F240" s="3" t="inlineStr">
        <is>
          <t>1</t>
        </is>
      </c>
      <c r="G240" s="3" t="inlineStr">
        <is>
          <t>1</t>
        </is>
      </c>
      <c r="H240" s="3" t="inlineStr">
        <is>
          <t>1</t>
        </is>
      </c>
      <c r="I240" s="3" t="inlineStr">
        <is>
          <t>1</t>
        </is>
      </c>
      <c r="J240" s="3" t="inlineStr">
        <is>
          <t>1</t>
        </is>
      </c>
      <c r="K240" s="3" t="inlineStr">
        <is>
          <t>1</t>
        </is>
      </c>
      <c r="L240" s="3" t="inlineStr">
        <is>
          <t>1</t>
        </is>
      </c>
      <c r="M240" s="3" t="inlineStr">
        <is>
          <t>1</t>
        </is>
      </c>
      <c r="N240" s="3" t="inlineStr">
        <is>
          <t>1</t>
        </is>
      </c>
      <c r="O240" s="4">
        <f>IF(OR($B240="",D240=""),"",--(D240=$B240))</f>
        <v/>
      </c>
      <c r="P240" s="4">
        <f>IF(OR($B240="",D240=""),"",IF($B240=1,--(D240=1),""))</f>
        <v/>
      </c>
      <c r="Q240" s="4">
        <f>IF(OR($B240="",D240=""),"",IF($B240=0,--(D240=0),""))</f>
        <v/>
      </c>
      <c r="R240" s="4">
        <f>IF(D240="","",--(D240=1))</f>
        <v/>
      </c>
      <c r="S240" s="4">
        <f>IF(OR($B240="",E240=""),"",--(E240=$B240))</f>
        <v/>
      </c>
      <c r="T240" s="4">
        <f>IF(OR($B240="",E240=""),"",IF($B240=1,--(E240=1),""))</f>
        <v/>
      </c>
      <c r="U240" s="4">
        <f>IF(OR($B240="",E240=""),"",IF($B240=0,--(E240=0),""))</f>
        <v/>
      </c>
      <c r="V240" s="4">
        <f>IF(E240="","",--(E240=1))</f>
        <v/>
      </c>
      <c r="W240" s="4">
        <f>IF(OR($B240="",F240=""),"",--(F240=$B240))</f>
        <v/>
      </c>
      <c r="X240" s="4">
        <f>IF(OR($B240="",F240=""),"",IF($B240=1,--(F240=1),""))</f>
        <v/>
      </c>
      <c r="Y240" s="4">
        <f>IF(OR($B240="",F240=""),"",IF($B240=0,--(F240=0),""))</f>
        <v/>
      </c>
      <c r="Z240" s="4">
        <f>IF(F240="","",--(F240=1))</f>
        <v/>
      </c>
      <c r="AA240" s="4">
        <f>IF(OR($B240="",G240=""),"",--(G240=$B240))</f>
        <v/>
      </c>
      <c r="AB240" s="4">
        <f>IF(OR($B240="",G240=""),"",IF($B240=1,--(G240=1),""))</f>
        <v/>
      </c>
      <c r="AC240" s="4">
        <f>IF(OR($B240="",G240=""),"",IF($B240=0,--(G240=0),""))</f>
        <v/>
      </c>
      <c r="AD240" s="4">
        <f>IF(G240="","",--(G240=1))</f>
        <v/>
      </c>
      <c r="AE240" s="4">
        <f>IF(OR($B240="",H240=""),"",--(H240=$B240))</f>
        <v/>
      </c>
      <c r="AF240" s="4">
        <f>IF(OR($B240="",H240=""),"",IF($B240=1,--(H240=1),""))</f>
        <v/>
      </c>
      <c r="AG240" s="4">
        <f>IF(OR($B240="",H240=""),"",IF($B240=0,--(H240=0),""))</f>
        <v/>
      </c>
      <c r="AH240" s="4">
        <f>IF(H240="","",--(H240=1))</f>
        <v/>
      </c>
      <c r="AI240" s="4">
        <f>IF(OR($B240="",I240=""),"",--(I240=$B240))</f>
        <v/>
      </c>
      <c r="AJ240" s="4">
        <f>IF(OR($B240="",I240=""),"",IF($B240=1,--(I240=1),""))</f>
        <v/>
      </c>
      <c r="AK240" s="4">
        <f>IF(OR($B240="",I240=""),"",IF($B240=0,--(I240=0),""))</f>
        <v/>
      </c>
      <c r="AL240" s="4">
        <f>IF(I240="","",--(I240=1))</f>
        <v/>
      </c>
      <c r="AM240" s="4">
        <f>IF(OR($B240="",J240=""),"",--(J240=$B240))</f>
        <v/>
      </c>
      <c r="AN240" s="4">
        <f>IF(OR($B240="",J240=""),"",IF($B240=1,--(J240=1),""))</f>
        <v/>
      </c>
      <c r="AO240" s="4">
        <f>IF(OR($B240="",J240=""),"",IF($B240=0,--(J240=0),""))</f>
        <v/>
      </c>
      <c r="AP240" s="4">
        <f>IF(J240="","",--(J240=1))</f>
        <v/>
      </c>
      <c r="AQ240" s="4">
        <f>IF(OR($B240="",K240=""),"",--(K240=$B240))</f>
        <v/>
      </c>
      <c r="AR240" s="4">
        <f>IF(OR($B240="",K240=""),"",IF($B240=1,--(K240=1),""))</f>
        <v/>
      </c>
      <c r="AS240" s="4">
        <f>IF(OR($B240="",K240=""),"",IF($B240=0,--(K240=0),""))</f>
        <v/>
      </c>
      <c r="AT240" s="4">
        <f>IF(K240="","",--(K240=1))</f>
        <v/>
      </c>
      <c r="AU240" s="4">
        <f>IF(OR($B240="",L240=""),"",--(L240=$B240))</f>
        <v/>
      </c>
      <c r="AV240" s="4">
        <f>IF(OR($B240="",L240=""),"",IF($B240=1,--(L240=1),""))</f>
        <v/>
      </c>
      <c r="AW240" s="4">
        <f>IF(OR($B240="",L240=""),"",IF($B240=0,--(L240=0),""))</f>
        <v/>
      </c>
      <c r="AX240" s="4">
        <f>IF(L240="","",--(L240=1))</f>
        <v/>
      </c>
      <c r="AY240" s="4">
        <f>IF(OR($B240="",M240=""),"",--(M240=$B240))</f>
        <v/>
      </c>
      <c r="AZ240" s="4">
        <f>IF(OR($B240="",M240=""),"",IF($B240=1,--(M240=1),""))</f>
        <v/>
      </c>
      <c r="BA240" s="4">
        <f>IF(OR($B240="",M240=""),"",IF($B240=0,--(M240=0),""))</f>
        <v/>
      </c>
      <c r="BB240" s="4">
        <f>IF(M240="","",--(M240=1))</f>
        <v/>
      </c>
      <c r="BC240" s="4">
        <f>IF(OR($B240="",N240=""),"",--(N240=$B240))</f>
        <v/>
      </c>
      <c r="BD240" s="4">
        <f>IF(OR($B240="",N240=""),"",IF($B240=1,--(N240=1),""))</f>
        <v/>
      </c>
      <c r="BE240" s="4">
        <f>IF(OR($B240="",N240=""),"",IF($B240=0,--(N240=0),""))</f>
        <v/>
      </c>
      <c r="BF240" s="4">
        <f>IF(N240="","",--(N240=1))</f>
        <v/>
      </c>
    </row>
    <row r="241">
      <c r="A241" s="3" t="inlineStr">
        <is>
          <t>202125150</t>
        </is>
      </c>
      <c r="B241" s="3" t="inlineStr">
        <is>
          <t>1</t>
        </is>
      </c>
      <c r="C241" s="3" t="inlineStr">
        <is>
          <t>Direct</t>
        </is>
      </c>
      <c r="D241" s="3" t="inlineStr">
        <is>
          <t>1</t>
        </is>
      </c>
      <c r="E241" s="3" t="inlineStr">
        <is>
          <t>1</t>
        </is>
      </c>
      <c r="F241" s="3" t="inlineStr">
        <is>
          <t>1</t>
        </is>
      </c>
      <c r="G241" s="3" t="inlineStr">
        <is>
          <t>0</t>
        </is>
      </c>
      <c r="H241" s="3" t="inlineStr">
        <is>
          <t>1</t>
        </is>
      </c>
      <c r="I241" s="3" t="inlineStr">
        <is>
          <t>1</t>
        </is>
      </c>
      <c r="J241" s="3" t="inlineStr">
        <is>
          <t>1</t>
        </is>
      </c>
      <c r="K241" s="3" t="inlineStr">
        <is>
          <t>1</t>
        </is>
      </c>
      <c r="L241" s="3" t="inlineStr">
        <is>
          <t>1</t>
        </is>
      </c>
      <c r="M241" s="3" t="inlineStr">
        <is>
          <t>1</t>
        </is>
      </c>
      <c r="N241" s="3" t="inlineStr">
        <is>
          <t>1</t>
        </is>
      </c>
      <c r="O241" s="4">
        <f>IF(OR($B241="",D241=""),"",--(D241=$B241))</f>
        <v/>
      </c>
      <c r="P241" s="4">
        <f>IF(OR($B241="",D241=""),"",IF($B241=1,--(D241=1),""))</f>
        <v/>
      </c>
      <c r="Q241" s="4">
        <f>IF(OR($B241="",D241=""),"",IF($B241=0,--(D241=0),""))</f>
        <v/>
      </c>
      <c r="R241" s="4">
        <f>IF(D241="","",--(D241=1))</f>
        <v/>
      </c>
      <c r="S241" s="4">
        <f>IF(OR($B241="",E241=""),"",--(E241=$B241))</f>
        <v/>
      </c>
      <c r="T241" s="4">
        <f>IF(OR($B241="",E241=""),"",IF($B241=1,--(E241=1),""))</f>
        <v/>
      </c>
      <c r="U241" s="4">
        <f>IF(OR($B241="",E241=""),"",IF($B241=0,--(E241=0),""))</f>
        <v/>
      </c>
      <c r="V241" s="4">
        <f>IF(E241="","",--(E241=1))</f>
        <v/>
      </c>
      <c r="W241" s="4">
        <f>IF(OR($B241="",F241=""),"",--(F241=$B241))</f>
        <v/>
      </c>
      <c r="X241" s="4">
        <f>IF(OR($B241="",F241=""),"",IF($B241=1,--(F241=1),""))</f>
        <v/>
      </c>
      <c r="Y241" s="4">
        <f>IF(OR($B241="",F241=""),"",IF($B241=0,--(F241=0),""))</f>
        <v/>
      </c>
      <c r="Z241" s="4">
        <f>IF(F241="","",--(F241=1))</f>
        <v/>
      </c>
      <c r="AA241" s="4">
        <f>IF(OR($B241="",G241=""),"",--(G241=$B241))</f>
        <v/>
      </c>
      <c r="AB241" s="4">
        <f>IF(OR($B241="",G241=""),"",IF($B241=1,--(G241=1),""))</f>
        <v/>
      </c>
      <c r="AC241" s="4">
        <f>IF(OR($B241="",G241=""),"",IF($B241=0,--(G241=0),""))</f>
        <v/>
      </c>
      <c r="AD241" s="4">
        <f>IF(G241="","",--(G241=1))</f>
        <v/>
      </c>
      <c r="AE241" s="4">
        <f>IF(OR($B241="",H241=""),"",--(H241=$B241))</f>
        <v/>
      </c>
      <c r="AF241" s="4">
        <f>IF(OR($B241="",H241=""),"",IF($B241=1,--(H241=1),""))</f>
        <v/>
      </c>
      <c r="AG241" s="4">
        <f>IF(OR($B241="",H241=""),"",IF($B241=0,--(H241=0),""))</f>
        <v/>
      </c>
      <c r="AH241" s="4">
        <f>IF(H241="","",--(H241=1))</f>
        <v/>
      </c>
      <c r="AI241" s="4">
        <f>IF(OR($B241="",I241=""),"",--(I241=$B241))</f>
        <v/>
      </c>
      <c r="AJ241" s="4">
        <f>IF(OR($B241="",I241=""),"",IF($B241=1,--(I241=1),""))</f>
        <v/>
      </c>
      <c r="AK241" s="4">
        <f>IF(OR($B241="",I241=""),"",IF($B241=0,--(I241=0),""))</f>
        <v/>
      </c>
      <c r="AL241" s="4">
        <f>IF(I241="","",--(I241=1))</f>
        <v/>
      </c>
      <c r="AM241" s="4">
        <f>IF(OR($B241="",J241=""),"",--(J241=$B241))</f>
        <v/>
      </c>
      <c r="AN241" s="4">
        <f>IF(OR($B241="",J241=""),"",IF($B241=1,--(J241=1),""))</f>
        <v/>
      </c>
      <c r="AO241" s="4">
        <f>IF(OR($B241="",J241=""),"",IF($B241=0,--(J241=0),""))</f>
        <v/>
      </c>
      <c r="AP241" s="4">
        <f>IF(J241="","",--(J241=1))</f>
        <v/>
      </c>
      <c r="AQ241" s="4">
        <f>IF(OR($B241="",K241=""),"",--(K241=$B241))</f>
        <v/>
      </c>
      <c r="AR241" s="4">
        <f>IF(OR($B241="",K241=""),"",IF($B241=1,--(K241=1),""))</f>
        <v/>
      </c>
      <c r="AS241" s="4">
        <f>IF(OR($B241="",K241=""),"",IF($B241=0,--(K241=0),""))</f>
        <v/>
      </c>
      <c r="AT241" s="4">
        <f>IF(K241="","",--(K241=1))</f>
        <v/>
      </c>
      <c r="AU241" s="4">
        <f>IF(OR($B241="",L241=""),"",--(L241=$B241))</f>
        <v/>
      </c>
      <c r="AV241" s="4">
        <f>IF(OR($B241="",L241=""),"",IF($B241=1,--(L241=1),""))</f>
        <v/>
      </c>
      <c r="AW241" s="4">
        <f>IF(OR($B241="",L241=""),"",IF($B241=0,--(L241=0),""))</f>
        <v/>
      </c>
      <c r="AX241" s="4">
        <f>IF(L241="","",--(L241=1))</f>
        <v/>
      </c>
      <c r="AY241" s="4">
        <f>IF(OR($B241="",M241=""),"",--(M241=$B241))</f>
        <v/>
      </c>
      <c r="AZ241" s="4">
        <f>IF(OR($B241="",M241=""),"",IF($B241=1,--(M241=1),""))</f>
        <v/>
      </c>
      <c r="BA241" s="4">
        <f>IF(OR($B241="",M241=""),"",IF($B241=0,--(M241=0),""))</f>
        <v/>
      </c>
      <c r="BB241" s="4">
        <f>IF(M241="","",--(M241=1))</f>
        <v/>
      </c>
      <c r="BC241" s="4">
        <f>IF(OR($B241="",N241=""),"",--(N241=$B241))</f>
        <v/>
      </c>
      <c r="BD241" s="4">
        <f>IF(OR($B241="",N241=""),"",IF($B241=1,--(N241=1),""))</f>
        <v/>
      </c>
      <c r="BE241" s="4">
        <f>IF(OR($B241="",N241=""),"",IF($B241=0,--(N241=0),""))</f>
        <v/>
      </c>
      <c r="BF241" s="4">
        <f>IF(N241="","",--(N241=1))</f>
        <v/>
      </c>
    </row>
    <row r="242">
      <c r="A242" s="3" t="inlineStr">
        <is>
          <t>202125295</t>
        </is>
      </c>
      <c r="B242" s="3" t="inlineStr">
        <is>
          <t>0</t>
        </is>
      </c>
      <c r="C242" s="3" t="inlineStr">
        <is>
          <t>Direct</t>
        </is>
      </c>
      <c r="D242" s="3" t="inlineStr">
        <is>
          <t>0</t>
        </is>
      </c>
      <c r="E242" s="3" t="inlineStr">
        <is>
          <t>0</t>
        </is>
      </c>
      <c r="F242" s="3" t="inlineStr">
        <is>
          <t>0</t>
        </is>
      </c>
      <c r="G242" s="3" t="inlineStr">
        <is>
          <t>0</t>
        </is>
      </c>
      <c r="H242" s="3" t="inlineStr">
        <is>
          <t>0</t>
        </is>
      </c>
      <c r="I242" s="3" t="inlineStr">
        <is>
          <t>0</t>
        </is>
      </c>
      <c r="J242" s="3" t="inlineStr">
        <is>
          <t>0</t>
        </is>
      </c>
      <c r="K242" s="3" t="inlineStr">
        <is>
          <t>0</t>
        </is>
      </c>
      <c r="L242" s="3" t="inlineStr">
        <is>
          <t>0</t>
        </is>
      </c>
      <c r="M242" s="3" t="inlineStr">
        <is>
          <t>0</t>
        </is>
      </c>
      <c r="N242" s="3" t="inlineStr">
        <is>
          <t>0</t>
        </is>
      </c>
      <c r="O242" s="4">
        <f>IF(OR($B242="",D242=""),"",--(D242=$B242))</f>
        <v/>
      </c>
      <c r="P242" s="4">
        <f>IF(OR($B242="",D242=""),"",IF($B242=1,--(D242=1),""))</f>
        <v/>
      </c>
      <c r="Q242" s="4">
        <f>IF(OR($B242="",D242=""),"",IF($B242=0,--(D242=0),""))</f>
        <v/>
      </c>
      <c r="R242" s="4">
        <f>IF(D242="","",--(D242=1))</f>
        <v/>
      </c>
      <c r="S242" s="4">
        <f>IF(OR($B242="",E242=""),"",--(E242=$B242))</f>
        <v/>
      </c>
      <c r="T242" s="4">
        <f>IF(OR($B242="",E242=""),"",IF($B242=1,--(E242=1),""))</f>
        <v/>
      </c>
      <c r="U242" s="4">
        <f>IF(OR($B242="",E242=""),"",IF($B242=0,--(E242=0),""))</f>
        <v/>
      </c>
      <c r="V242" s="4">
        <f>IF(E242="","",--(E242=1))</f>
        <v/>
      </c>
      <c r="W242" s="4">
        <f>IF(OR($B242="",F242=""),"",--(F242=$B242))</f>
        <v/>
      </c>
      <c r="X242" s="4">
        <f>IF(OR($B242="",F242=""),"",IF($B242=1,--(F242=1),""))</f>
        <v/>
      </c>
      <c r="Y242" s="4">
        <f>IF(OR($B242="",F242=""),"",IF($B242=0,--(F242=0),""))</f>
        <v/>
      </c>
      <c r="Z242" s="4">
        <f>IF(F242="","",--(F242=1))</f>
        <v/>
      </c>
      <c r="AA242" s="4">
        <f>IF(OR($B242="",G242=""),"",--(G242=$B242))</f>
        <v/>
      </c>
      <c r="AB242" s="4">
        <f>IF(OR($B242="",G242=""),"",IF($B242=1,--(G242=1),""))</f>
        <v/>
      </c>
      <c r="AC242" s="4">
        <f>IF(OR($B242="",G242=""),"",IF($B242=0,--(G242=0),""))</f>
        <v/>
      </c>
      <c r="AD242" s="4">
        <f>IF(G242="","",--(G242=1))</f>
        <v/>
      </c>
      <c r="AE242" s="4">
        <f>IF(OR($B242="",H242=""),"",--(H242=$B242))</f>
        <v/>
      </c>
      <c r="AF242" s="4">
        <f>IF(OR($B242="",H242=""),"",IF($B242=1,--(H242=1),""))</f>
        <v/>
      </c>
      <c r="AG242" s="4">
        <f>IF(OR($B242="",H242=""),"",IF($B242=0,--(H242=0),""))</f>
        <v/>
      </c>
      <c r="AH242" s="4">
        <f>IF(H242="","",--(H242=1))</f>
        <v/>
      </c>
      <c r="AI242" s="4">
        <f>IF(OR($B242="",I242=""),"",--(I242=$B242))</f>
        <v/>
      </c>
      <c r="AJ242" s="4">
        <f>IF(OR($B242="",I242=""),"",IF($B242=1,--(I242=1),""))</f>
        <v/>
      </c>
      <c r="AK242" s="4">
        <f>IF(OR($B242="",I242=""),"",IF($B242=0,--(I242=0),""))</f>
        <v/>
      </c>
      <c r="AL242" s="4">
        <f>IF(I242="","",--(I242=1))</f>
        <v/>
      </c>
      <c r="AM242" s="4">
        <f>IF(OR($B242="",J242=""),"",--(J242=$B242))</f>
        <v/>
      </c>
      <c r="AN242" s="4">
        <f>IF(OR($B242="",J242=""),"",IF($B242=1,--(J242=1),""))</f>
        <v/>
      </c>
      <c r="AO242" s="4">
        <f>IF(OR($B242="",J242=""),"",IF($B242=0,--(J242=0),""))</f>
        <v/>
      </c>
      <c r="AP242" s="4">
        <f>IF(J242="","",--(J242=1))</f>
        <v/>
      </c>
      <c r="AQ242" s="4">
        <f>IF(OR($B242="",K242=""),"",--(K242=$B242))</f>
        <v/>
      </c>
      <c r="AR242" s="4">
        <f>IF(OR($B242="",K242=""),"",IF($B242=1,--(K242=1),""))</f>
        <v/>
      </c>
      <c r="AS242" s="4">
        <f>IF(OR($B242="",K242=""),"",IF($B242=0,--(K242=0),""))</f>
        <v/>
      </c>
      <c r="AT242" s="4">
        <f>IF(K242="","",--(K242=1))</f>
        <v/>
      </c>
      <c r="AU242" s="4">
        <f>IF(OR($B242="",L242=""),"",--(L242=$B242))</f>
        <v/>
      </c>
      <c r="AV242" s="4">
        <f>IF(OR($B242="",L242=""),"",IF($B242=1,--(L242=1),""))</f>
        <v/>
      </c>
      <c r="AW242" s="4">
        <f>IF(OR($B242="",L242=""),"",IF($B242=0,--(L242=0),""))</f>
        <v/>
      </c>
      <c r="AX242" s="4">
        <f>IF(L242="","",--(L242=1))</f>
        <v/>
      </c>
      <c r="AY242" s="4">
        <f>IF(OR($B242="",M242=""),"",--(M242=$B242))</f>
        <v/>
      </c>
      <c r="AZ242" s="4">
        <f>IF(OR($B242="",M242=""),"",IF($B242=1,--(M242=1),""))</f>
        <v/>
      </c>
      <c r="BA242" s="4">
        <f>IF(OR($B242="",M242=""),"",IF($B242=0,--(M242=0),""))</f>
        <v/>
      </c>
      <c r="BB242" s="4">
        <f>IF(M242="","",--(M242=1))</f>
        <v/>
      </c>
      <c r="BC242" s="4">
        <f>IF(OR($B242="",N242=""),"",--(N242=$B242))</f>
        <v/>
      </c>
      <c r="BD242" s="4">
        <f>IF(OR($B242="",N242=""),"",IF($B242=1,--(N242=1),""))</f>
        <v/>
      </c>
      <c r="BE242" s="4">
        <f>IF(OR($B242="",N242=""),"",IF($B242=0,--(N242=0),""))</f>
        <v/>
      </c>
      <c r="BF242" s="4">
        <f>IF(N242="","",--(N242=1))</f>
        <v/>
      </c>
    </row>
    <row r="243">
      <c r="A243" s="3" t="inlineStr">
        <is>
          <t>202125565</t>
        </is>
      </c>
      <c r="B243" s="3" t="inlineStr">
        <is>
          <t>1</t>
        </is>
      </c>
      <c r="C243" s="3" t="inlineStr">
        <is>
          <t>Direct</t>
        </is>
      </c>
      <c r="D243" s="3" t="inlineStr">
        <is>
          <t>1</t>
        </is>
      </c>
      <c r="E243" s="3" t="inlineStr">
        <is>
          <t>1</t>
        </is>
      </c>
      <c r="F243" s="3" t="inlineStr">
        <is>
          <t>1</t>
        </is>
      </c>
      <c r="G243" s="3" t="inlineStr">
        <is>
          <t>1</t>
        </is>
      </c>
      <c r="H243" s="3" t="inlineStr">
        <is>
          <t>1</t>
        </is>
      </c>
      <c r="I243" s="3" t="inlineStr">
        <is>
          <t>0</t>
        </is>
      </c>
      <c r="J243" s="3" t="inlineStr">
        <is>
          <t>1</t>
        </is>
      </c>
      <c r="K243" s="3" t="inlineStr">
        <is>
          <t>1</t>
        </is>
      </c>
      <c r="L243" s="3" t="inlineStr">
        <is>
          <t>1</t>
        </is>
      </c>
      <c r="M243" s="3" t="inlineStr">
        <is>
          <t>1</t>
        </is>
      </c>
      <c r="N243" s="3" t="inlineStr">
        <is>
          <t>1</t>
        </is>
      </c>
      <c r="O243" s="4">
        <f>IF(OR($B243="",D243=""),"",--(D243=$B243))</f>
        <v/>
      </c>
      <c r="P243" s="4">
        <f>IF(OR($B243="",D243=""),"",IF($B243=1,--(D243=1),""))</f>
        <v/>
      </c>
      <c r="Q243" s="4">
        <f>IF(OR($B243="",D243=""),"",IF($B243=0,--(D243=0),""))</f>
        <v/>
      </c>
      <c r="R243" s="4">
        <f>IF(D243="","",--(D243=1))</f>
        <v/>
      </c>
      <c r="S243" s="4">
        <f>IF(OR($B243="",E243=""),"",--(E243=$B243))</f>
        <v/>
      </c>
      <c r="T243" s="4">
        <f>IF(OR($B243="",E243=""),"",IF($B243=1,--(E243=1),""))</f>
        <v/>
      </c>
      <c r="U243" s="4">
        <f>IF(OR($B243="",E243=""),"",IF($B243=0,--(E243=0),""))</f>
        <v/>
      </c>
      <c r="V243" s="4">
        <f>IF(E243="","",--(E243=1))</f>
        <v/>
      </c>
      <c r="W243" s="4">
        <f>IF(OR($B243="",F243=""),"",--(F243=$B243))</f>
        <v/>
      </c>
      <c r="X243" s="4">
        <f>IF(OR($B243="",F243=""),"",IF($B243=1,--(F243=1),""))</f>
        <v/>
      </c>
      <c r="Y243" s="4">
        <f>IF(OR($B243="",F243=""),"",IF($B243=0,--(F243=0),""))</f>
        <v/>
      </c>
      <c r="Z243" s="4">
        <f>IF(F243="","",--(F243=1))</f>
        <v/>
      </c>
      <c r="AA243" s="4">
        <f>IF(OR($B243="",G243=""),"",--(G243=$B243))</f>
        <v/>
      </c>
      <c r="AB243" s="4">
        <f>IF(OR($B243="",G243=""),"",IF($B243=1,--(G243=1),""))</f>
        <v/>
      </c>
      <c r="AC243" s="4">
        <f>IF(OR($B243="",G243=""),"",IF($B243=0,--(G243=0),""))</f>
        <v/>
      </c>
      <c r="AD243" s="4">
        <f>IF(G243="","",--(G243=1))</f>
        <v/>
      </c>
      <c r="AE243" s="4">
        <f>IF(OR($B243="",H243=""),"",--(H243=$B243))</f>
        <v/>
      </c>
      <c r="AF243" s="4">
        <f>IF(OR($B243="",H243=""),"",IF($B243=1,--(H243=1),""))</f>
        <v/>
      </c>
      <c r="AG243" s="4">
        <f>IF(OR($B243="",H243=""),"",IF($B243=0,--(H243=0),""))</f>
        <v/>
      </c>
      <c r="AH243" s="4">
        <f>IF(H243="","",--(H243=1))</f>
        <v/>
      </c>
      <c r="AI243" s="4">
        <f>IF(OR($B243="",I243=""),"",--(I243=$B243))</f>
        <v/>
      </c>
      <c r="AJ243" s="4">
        <f>IF(OR($B243="",I243=""),"",IF($B243=1,--(I243=1),""))</f>
        <v/>
      </c>
      <c r="AK243" s="4">
        <f>IF(OR($B243="",I243=""),"",IF($B243=0,--(I243=0),""))</f>
        <v/>
      </c>
      <c r="AL243" s="4">
        <f>IF(I243="","",--(I243=1))</f>
        <v/>
      </c>
      <c r="AM243" s="4">
        <f>IF(OR($B243="",J243=""),"",--(J243=$B243))</f>
        <v/>
      </c>
      <c r="AN243" s="4">
        <f>IF(OR($B243="",J243=""),"",IF($B243=1,--(J243=1),""))</f>
        <v/>
      </c>
      <c r="AO243" s="4">
        <f>IF(OR($B243="",J243=""),"",IF($B243=0,--(J243=0),""))</f>
        <v/>
      </c>
      <c r="AP243" s="4">
        <f>IF(J243="","",--(J243=1))</f>
        <v/>
      </c>
      <c r="AQ243" s="4">
        <f>IF(OR($B243="",K243=""),"",--(K243=$B243))</f>
        <v/>
      </c>
      <c r="AR243" s="4">
        <f>IF(OR($B243="",K243=""),"",IF($B243=1,--(K243=1),""))</f>
        <v/>
      </c>
      <c r="AS243" s="4">
        <f>IF(OR($B243="",K243=""),"",IF($B243=0,--(K243=0),""))</f>
        <v/>
      </c>
      <c r="AT243" s="4">
        <f>IF(K243="","",--(K243=1))</f>
        <v/>
      </c>
      <c r="AU243" s="4">
        <f>IF(OR($B243="",L243=""),"",--(L243=$B243))</f>
        <v/>
      </c>
      <c r="AV243" s="4">
        <f>IF(OR($B243="",L243=""),"",IF($B243=1,--(L243=1),""))</f>
        <v/>
      </c>
      <c r="AW243" s="4">
        <f>IF(OR($B243="",L243=""),"",IF($B243=0,--(L243=0),""))</f>
        <v/>
      </c>
      <c r="AX243" s="4">
        <f>IF(L243="","",--(L243=1))</f>
        <v/>
      </c>
      <c r="AY243" s="4">
        <f>IF(OR($B243="",M243=""),"",--(M243=$B243))</f>
        <v/>
      </c>
      <c r="AZ243" s="4">
        <f>IF(OR($B243="",M243=""),"",IF($B243=1,--(M243=1),""))</f>
        <v/>
      </c>
      <c r="BA243" s="4">
        <f>IF(OR($B243="",M243=""),"",IF($B243=0,--(M243=0),""))</f>
        <v/>
      </c>
      <c r="BB243" s="4">
        <f>IF(M243="","",--(M243=1))</f>
        <v/>
      </c>
      <c r="BC243" s="4">
        <f>IF(OR($B243="",N243=""),"",--(N243=$B243))</f>
        <v/>
      </c>
      <c r="BD243" s="4">
        <f>IF(OR($B243="",N243=""),"",IF($B243=1,--(N243=1),""))</f>
        <v/>
      </c>
      <c r="BE243" s="4">
        <f>IF(OR($B243="",N243=""),"",IF($B243=0,--(N243=0),""))</f>
        <v/>
      </c>
      <c r="BF243" s="4">
        <f>IF(N243="","",--(N243=1))</f>
        <v/>
      </c>
    </row>
    <row r="244">
      <c r="A244" s="3" t="inlineStr">
        <is>
          <t>202126105</t>
        </is>
      </c>
      <c r="B244" s="3" t="inlineStr">
        <is>
          <t>1</t>
        </is>
      </c>
      <c r="C244" s="3" t="inlineStr">
        <is>
          <t>Direct</t>
        </is>
      </c>
      <c r="D244" s="3" t="inlineStr">
        <is>
          <t>1</t>
        </is>
      </c>
      <c r="E244" s="3" t="inlineStr">
        <is>
          <t>1</t>
        </is>
      </c>
      <c r="F244" s="3" t="inlineStr">
        <is>
          <t>0</t>
        </is>
      </c>
      <c r="G244" s="3" t="inlineStr">
        <is>
          <t>0</t>
        </is>
      </c>
      <c r="H244" s="3" t="inlineStr">
        <is>
          <t>1</t>
        </is>
      </c>
      <c r="I244" s="3" t="inlineStr">
        <is>
          <t>0</t>
        </is>
      </c>
      <c r="J244" s="3" t="inlineStr">
        <is>
          <t>1</t>
        </is>
      </c>
      <c r="K244" s="3" t="inlineStr">
        <is>
          <t>1</t>
        </is>
      </c>
      <c r="L244" s="3" t="inlineStr">
        <is>
          <t>1</t>
        </is>
      </c>
      <c r="M244" s="3" t="inlineStr">
        <is>
          <t>1</t>
        </is>
      </c>
      <c r="N244" s="3" t="inlineStr">
        <is>
          <t>1</t>
        </is>
      </c>
      <c r="O244" s="4">
        <f>IF(OR($B244="",D244=""),"",--(D244=$B244))</f>
        <v/>
      </c>
      <c r="P244" s="4">
        <f>IF(OR($B244="",D244=""),"",IF($B244=1,--(D244=1),""))</f>
        <v/>
      </c>
      <c r="Q244" s="4">
        <f>IF(OR($B244="",D244=""),"",IF($B244=0,--(D244=0),""))</f>
        <v/>
      </c>
      <c r="R244" s="4">
        <f>IF(D244="","",--(D244=1))</f>
        <v/>
      </c>
      <c r="S244" s="4">
        <f>IF(OR($B244="",E244=""),"",--(E244=$B244))</f>
        <v/>
      </c>
      <c r="T244" s="4">
        <f>IF(OR($B244="",E244=""),"",IF($B244=1,--(E244=1),""))</f>
        <v/>
      </c>
      <c r="U244" s="4">
        <f>IF(OR($B244="",E244=""),"",IF($B244=0,--(E244=0),""))</f>
        <v/>
      </c>
      <c r="V244" s="4">
        <f>IF(E244="","",--(E244=1))</f>
        <v/>
      </c>
      <c r="W244" s="4">
        <f>IF(OR($B244="",F244=""),"",--(F244=$B244))</f>
        <v/>
      </c>
      <c r="X244" s="4">
        <f>IF(OR($B244="",F244=""),"",IF($B244=1,--(F244=1),""))</f>
        <v/>
      </c>
      <c r="Y244" s="4">
        <f>IF(OR($B244="",F244=""),"",IF($B244=0,--(F244=0),""))</f>
        <v/>
      </c>
      <c r="Z244" s="4">
        <f>IF(F244="","",--(F244=1))</f>
        <v/>
      </c>
      <c r="AA244" s="4">
        <f>IF(OR($B244="",G244=""),"",--(G244=$B244))</f>
        <v/>
      </c>
      <c r="AB244" s="4">
        <f>IF(OR($B244="",G244=""),"",IF($B244=1,--(G244=1),""))</f>
        <v/>
      </c>
      <c r="AC244" s="4">
        <f>IF(OR($B244="",G244=""),"",IF($B244=0,--(G244=0),""))</f>
        <v/>
      </c>
      <c r="AD244" s="4">
        <f>IF(G244="","",--(G244=1))</f>
        <v/>
      </c>
      <c r="AE244" s="4">
        <f>IF(OR($B244="",H244=""),"",--(H244=$B244))</f>
        <v/>
      </c>
      <c r="AF244" s="4">
        <f>IF(OR($B244="",H244=""),"",IF($B244=1,--(H244=1),""))</f>
        <v/>
      </c>
      <c r="AG244" s="4">
        <f>IF(OR($B244="",H244=""),"",IF($B244=0,--(H244=0),""))</f>
        <v/>
      </c>
      <c r="AH244" s="4">
        <f>IF(H244="","",--(H244=1))</f>
        <v/>
      </c>
      <c r="AI244" s="4">
        <f>IF(OR($B244="",I244=""),"",--(I244=$B244))</f>
        <v/>
      </c>
      <c r="AJ244" s="4">
        <f>IF(OR($B244="",I244=""),"",IF($B244=1,--(I244=1),""))</f>
        <v/>
      </c>
      <c r="AK244" s="4">
        <f>IF(OR($B244="",I244=""),"",IF($B244=0,--(I244=0),""))</f>
        <v/>
      </c>
      <c r="AL244" s="4">
        <f>IF(I244="","",--(I244=1))</f>
        <v/>
      </c>
      <c r="AM244" s="4">
        <f>IF(OR($B244="",J244=""),"",--(J244=$B244))</f>
        <v/>
      </c>
      <c r="AN244" s="4">
        <f>IF(OR($B244="",J244=""),"",IF($B244=1,--(J244=1),""))</f>
        <v/>
      </c>
      <c r="AO244" s="4">
        <f>IF(OR($B244="",J244=""),"",IF($B244=0,--(J244=0),""))</f>
        <v/>
      </c>
      <c r="AP244" s="4">
        <f>IF(J244="","",--(J244=1))</f>
        <v/>
      </c>
      <c r="AQ244" s="4">
        <f>IF(OR($B244="",K244=""),"",--(K244=$B244))</f>
        <v/>
      </c>
      <c r="AR244" s="4">
        <f>IF(OR($B244="",K244=""),"",IF($B244=1,--(K244=1),""))</f>
        <v/>
      </c>
      <c r="AS244" s="4">
        <f>IF(OR($B244="",K244=""),"",IF($B244=0,--(K244=0),""))</f>
        <v/>
      </c>
      <c r="AT244" s="4">
        <f>IF(K244="","",--(K244=1))</f>
        <v/>
      </c>
      <c r="AU244" s="4">
        <f>IF(OR($B244="",L244=""),"",--(L244=$B244))</f>
        <v/>
      </c>
      <c r="AV244" s="4">
        <f>IF(OR($B244="",L244=""),"",IF($B244=1,--(L244=1),""))</f>
        <v/>
      </c>
      <c r="AW244" s="4">
        <f>IF(OR($B244="",L244=""),"",IF($B244=0,--(L244=0),""))</f>
        <v/>
      </c>
      <c r="AX244" s="4">
        <f>IF(L244="","",--(L244=1))</f>
        <v/>
      </c>
      <c r="AY244" s="4">
        <f>IF(OR($B244="",M244=""),"",--(M244=$B244))</f>
        <v/>
      </c>
      <c r="AZ244" s="4">
        <f>IF(OR($B244="",M244=""),"",IF($B244=1,--(M244=1),""))</f>
        <v/>
      </c>
      <c r="BA244" s="4">
        <f>IF(OR($B244="",M244=""),"",IF($B244=0,--(M244=0),""))</f>
        <v/>
      </c>
      <c r="BB244" s="4">
        <f>IF(M244="","",--(M244=1))</f>
        <v/>
      </c>
      <c r="BC244" s="4">
        <f>IF(OR($B244="",N244=""),"",--(N244=$B244))</f>
        <v/>
      </c>
      <c r="BD244" s="4">
        <f>IF(OR($B244="",N244=""),"",IF($B244=1,--(N244=1),""))</f>
        <v/>
      </c>
      <c r="BE244" s="4">
        <f>IF(OR($B244="",N244=""),"",IF($B244=0,--(N244=0),""))</f>
        <v/>
      </c>
      <c r="BF244" s="4">
        <f>IF(N244="","",--(N244=1))</f>
        <v/>
      </c>
    </row>
    <row r="245">
      <c r="A245" s="3" t="inlineStr">
        <is>
          <t>2021263</t>
        </is>
      </c>
      <c r="B245" s="3" t="inlineStr">
        <is>
          <t>0</t>
        </is>
      </c>
      <c r="C245" s="3" t="inlineStr">
        <is>
          <t>Direct</t>
        </is>
      </c>
      <c r="D245" s="3" t="inlineStr">
        <is>
          <t>0</t>
        </is>
      </c>
      <c r="E245" s="3" t="inlineStr">
        <is>
          <t>0</t>
        </is>
      </c>
      <c r="F245" s="3" t="inlineStr">
        <is>
          <t>0</t>
        </is>
      </c>
      <c r="G245" s="3" t="inlineStr">
        <is>
          <t>0</t>
        </is>
      </c>
      <c r="H245" s="3" t="inlineStr">
        <is>
          <t>0</t>
        </is>
      </c>
      <c r="I245" s="3" t="inlineStr">
        <is>
          <t>1</t>
        </is>
      </c>
      <c r="J245" s="3" t="inlineStr">
        <is>
          <t>1</t>
        </is>
      </c>
      <c r="K245" s="3" t="inlineStr">
        <is>
          <t>1</t>
        </is>
      </c>
      <c r="L245" s="3" t="inlineStr">
        <is>
          <t>1</t>
        </is>
      </c>
      <c r="M245" s="3" t="inlineStr">
        <is>
          <t>1</t>
        </is>
      </c>
      <c r="N245" s="3" t="inlineStr">
        <is>
          <t>1</t>
        </is>
      </c>
      <c r="O245" s="4">
        <f>IF(OR($B245="",D245=""),"",--(D245=$B245))</f>
        <v/>
      </c>
      <c r="P245" s="4">
        <f>IF(OR($B245="",D245=""),"",IF($B245=1,--(D245=1),""))</f>
        <v/>
      </c>
      <c r="Q245" s="4">
        <f>IF(OR($B245="",D245=""),"",IF($B245=0,--(D245=0),""))</f>
        <v/>
      </c>
      <c r="R245" s="4">
        <f>IF(D245="","",--(D245=1))</f>
        <v/>
      </c>
      <c r="S245" s="4">
        <f>IF(OR($B245="",E245=""),"",--(E245=$B245))</f>
        <v/>
      </c>
      <c r="T245" s="4">
        <f>IF(OR($B245="",E245=""),"",IF($B245=1,--(E245=1),""))</f>
        <v/>
      </c>
      <c r="U245" s="4">
        <f>IF(OR($B245="",E245=""),"",IF($B245=0,--(E245=0),""))</f>
        <v/>
      </c>
      <c r="V245" s="4">
        <f>IF(E245="","",--(E245=1))</f>
        <v/>
      </c>
      <c r="W245" s="4">
        <f>IF(OR($B245="",F245=""),"",--(F245=$B245))</f>
        <v/>
      </c>
      <c r="X245" s="4">
        <f>IF(OR($B245="",F245=""),"",IF($B245=1,--(F245=1),""))</f>
        <v/>
      </c>
      <c r="Y245" s="4">
        <f>IF(OR($B245="",F245=""),"",IF($B245=0,--(F245=0),""))</f>
        <v/>
      </c>
      <c r="Z245" s="4">
        <f>IF(F245="","",--(F245=1))</f>
        <v/>
      </c>
      <c r="AA245" s="4">
        <f>IF(OR($B245="",G245=""),"",--(G245=$B245))</f>
        <v/>
      </c>
      <c r="AB245" s="4">
        <f>IF(OR($B245="",G245=""),"",IF($B245=1,--(G245=1),""))</f>
        <v/>
      </c>
      <c r="AC245" s="4">
        <f>IF(OR($B245="",G245=""),"",IF($B245=0,--(G245=0),""))</f>
        <v/>
      </c>
      <c r="AD245" s="4">
        <f>IF(G245="","",--(G245=1))</f>
        <v/>
      </c>
      <c r="AE245" s="4">
        <f>IF(OR($B245="",H245=""),"",--(H245=$B245))</f>
        <v/>
      </c>
      <c r="AF245" s="4">
        <f>IF(OR($B245="",H245=""),"",IF($B245=1,--(H245=1),""))</f>
        <v/>
      </c>
      <c r="AG245" s="4">
        <f>IF(OR($B245="",H245=""),"",IF($B245=0,--(H245=0),""))</f>
        <v/>
      </c>
      <c r="AH245" s="4">
        <f>IF(H245="","",--(H245=1))</f>
        <v/>
      </c>
      <c r="AI245" s="4">
        <f>IF(OR($B245="",I245=""),"",--(I245=$B245))</f>
        <v/>
      </c>
      <c r="AJ245" s="4">
        <f>IF(OR($B245="",I245=""),"",IF($B245=1,--(I245=1),""))</f>
        <v/>
      </c>
      <c r="AK245" s="4">
        <f>IF(OR($B245="",I245=""),"",IF($B245=0,--(I245=0),""))</f>
        <v/>
      </c>
      <c r="AL245" s="4">
        <f>IF(I245="","",--(I245=1))</f>
        <v/>
      </c>
      <c r="AM245" s="4">
        <f>IF(OR($B245="",J245=""),"",--(J245=$B245))</f>
        <v/>
      </c>
      <c r="AN245" s="4">
        <f>IF(OR($B245="",J245=""),"",IF($B245=1,--(J245=1),""))</f>
        <v/>
      </c>
      <c r="AO245" s="4">
        <f>IF(OR($B245="",J245=""),"",IF($B245=0,--(J245=0),""))</f>
        <v/>
      </c>
      <c r="AP245" s="4">
        <f>IF(J245="","",--(J245=1))</f>
        <v/>
      </c>
      <c r="AQ245" s="4">
        <f>IF(OR($B245="",K245=""),"",--(K245=$B245))</f>
        <v/>
      </c>
      <c r="AR245" s="4">
        <f>IF(OR($B245="",K245=""),"",IF($B245=1,--(K245=1),""))</f>
        <v/>
      </c>
      <c r="AS245" s="4">
        <f>IF(OR($B245="",K245=""),"",IF($B245=0,--(K245=0),""))</f>
        <v/>
      </c>
      <c r="AT245" s="4">
        <f>IF(K245="","",--(K245=1))</f>
        <v/>
      </c>
      <c r="AU245" s="4">
        <f>IF(OR($B245="",L245=""),"",--(L245=$B245))</f>
        <v/>
      </c>
      <c r="AV245" s="4">
        <f>IF(OR($B245="",L245=""),"",IF($B245=1,--(L245=1),""))</f>
        <v/>
      </c>
      <c r="AW245" s="4">
        <f>IF(OR($B245="",L245=""),"",IF($B245=0,--(L245=0),""))</f>
        <v/>
      </c>
      <c r="AX245" s="4">
        <f>IF(L245="","",--(L245=1))</f>
        <v/>
      </c>
      <c r="AY245" s="4">
        <f>IF(OR($B245="",M245=""),"",--(M245=$B245))</f>
        <v/>
      </c>
      <c r="AZ245" s="4">
        <f>IF(OR($B245="",M245=""),"",IF($B245=1,--(M245=1),""))</f>
        <v/>
      </c>
      <c r="BA245" s="4">
        <f>IF(OR($B245="",M245=""),"",IF($B245=0,--(M245=0),""))</f>
        <v/>
      </c>
      <c r="BB245" s="4">
        <f>IF(M245="","",--(M245=1))</f>
        <v/>
      </c>
      <c r="BC245" s="4">
        <f>IF(OR($B245="",N245=""),"",--(N245=$B245))</f>
        <v/>
      </c>
      <c r="BD245" s="4">
        <f>IF(OR($B245="",N245=""),"",IF($B245=1,--(N245=1),""))</f>
        <v/>
      </c>
      <c r="BE245" s="4">
        <f>IF(OR($B245="",N245=""),"",IF($B245=0,--(N245=0),""))</f>
        <v/>
      </c>
      <c r="BF245" s="4">
        <f>IF(N245="","",--(N245=1))</f>
        <v/>
      </c>
    </row>
    <row r="246">
      <c r="A246" s="3" t="inlineStr">
        <is>
          <t>202126309</t>
        </is>
      </c>
      <c r="B246" s="3" t="inlineStr">
        <is>
          <t>1</t>
        </is>
      </c>
      <c r="C246" s="3" t="inlineStr">
        <is>
          <t>Direct</t>
        </is>
      </c>
      <c r="D246" s="3" t="inlineStr">
        <is>
          <t>0</t>
        </is>
      </c>
      <c r="E246" s="3" t="inlineStr">
        <is>
          <t>1</t>
        </is>
      </c>
      <c r="F246" s="3" t="inlineStr">
        <is>
          <t>0</t>
        </is>
      </c>
      <c r="G246" s="3" t="inlineStr">
        <is>
          <t>0</t>
        </is>
      </c>
      <c r="H246" s="3" t="inlineStr">
        <is>
          <t>1</t>
        </is>
      </c>
      <c r="I246" s="3" t="inlineStr">
        <is>
          <t>0</t>
        </is>
      </c>
      <c r="J246" s="3" t="inlineStr">
        <is>
          <t>0</t>
        </is>
      </c>
      <c r="K246" s="3" t="inlineStr">
        <is>
          <t>1</t>
        </is>
      </c>
      <c r="L246" s="3" t="inlineStr">
        <is>
          <t>0</t>
        </is>
      </c>
      <c r="M246" s="3" t="inlineStr">
        <is>
          <t>1</t>
        </is>
      </c>
      <c r="N246" s="3" t="inlineStr">
        <is>
          <t>1</t>
        </is>
      </c>
      <c r="O246" s="4">
        <f>IF(OR($B246="",D246=""),"",--(D246=$B246))</f>
        <v/>
      </c>
      <c r="P246" s="4">
        <f>IF(OR($B246="",D246=""),"",IF($B246=1,--(D246=1),""))</f>
        <v/>
      </c>
      <c r="Q246" s="4">
        <f>IF(OR($B246="",D246=""),"",IF($B246=0,--(D246=0),""))</f>
        <v/>
      </c>
      <c r="R246" s="4">
        <f>IF(D246="","",--(D246=1))</f>
        <v/>
      </c>
      <c r="S246" s="4">
        <f>IF(OR($B246="",E246=""),"",--(E246=$B246))</f>
        <v/>
      </c>
      <c r="T246" s="4">
        <f>IF(OR($B246="",E246=""),"",IF($B246=1,--(E246=1),""))</f>
        <v/>
      </c>
      <c r="U246" s="4">
        <f>IF(OR($B246="",E246=""),"",IF($B246=0,--(E246=0),""))</f>
        <v/>
      </c>
      <c r="V246" s="4">
        <f>IF(E246="","",--(E246=1))</f>
        <v/>
      </c>
      <c r="W246" s="4">
        <f>IF(OR($B246="",F246=""),"",--(F246=$B246))</f>
        <v/>
      </c>
      <c r="X246" s="4">
        <f>IF(OR($B246="",F246=""),"",IF($B246=1,--(F246=1),""))</f>
        <v/>
      </c>
      <c r="Y246" s="4">
        <f>IF(OR($B246="",F246=""),"",IF($B246=0,--(F246=0),""))</f>
        <v/>
      </c>
      <c r="Z246" s="4">
        <f>IF(F246="","",--(F246=1))</f>
        <v/>
      </c>
      <c r="AA246" s="4">
        <f>IF(OR($B246="",G246=""),"",--(G246=$B246))</f>
        <v/>
      </c>
      <c r="AB246" s="4">
        <f>IF(OR($B246="",G246=""),"",IF($B246=1,--(G246=1),""))</f>
        <v/>
      </c>
      <c r="AC246" s="4">
        <f>IF(OR($B246="",G246=""),"",IF($B246=0,--(G246=0),""))</f>
        <v/>
      </c>
      <c r="AD246" s="4">
        <f>IF(G246="","",--(G246=1))</f>
        <v/>
      </c>
      <c r="AE246" s="4">
        <f>IF(OR($B246="",H246=""),"",--(H246=$B246))</f>
        <v/>
      </c>
      <c r="AF246" s="4">
        <f>IF(OR($B246="",H246=""),"",IF($B246=1,--(H246=1),""))</f>
        <v/>
      </c>
      <c r="AG246" s="4">
        <f>IF(OR($B246="",H246=""),"",IF($B246=0,--(H246=0),""))</f>
        <v/>
      </c>
      <c r="AH246" s="4">
        <f>IF(H246="","",--(H246=1))</f>
        <v/>
      </c>
      <c r="AI246" s="4">
        <f>IF(OR($B246="",I246=""),"",--(I246=$B246))</f>
        <v/>
      </c>
      <c r="AJ246" s="4">
        <f>IF(OR($B246="",I246=""),"",IF($B246=1,--(I246=1),""))</f>
        <v/>
      </c>
      <c r="AK246" s="4">
        <f>IF(OR($B246="",I246=""),"",IF($B246=0,--(I246=0),""))</f>
        <v/>
      </c>
      <c r="AL246" s="4">
        <f>IF(I246="","",--(I246=1))</f>
        <v/>
      </c>
      <c r="AM246" s="4">
        <f>IF(OR($B246="",J246=""),"",--(J246=$B246))</f>
        <v/>
      </c>
      <c r="AN246" s="4">
        <f>IF(OR($B246="",J246=""),"",IF($B246=1,--(J246=1),""))</f>
        <v/>
      </c>
      <c r="AO246" s="4">
        <f>IF(OR($B246="",J246=""),"",IF($B246=0,--(J246=0),""))</f>
        <v/>
      </c>
      <c r="AP246" s="4">
        <f>IF(J246="","",--(J246=1))</f>
        <v/>
      </c>
      <c r="AQ246" s="4">
        <f>IF(OR($B246="",K246=""),"",--(K246=$B246))</f>
        <v/>
      </c>
      <c r="AR246" s="4">
        <f>IF(OR($B246="",K246=""),"",IF($B246=1,--(K246=1),""))</f>
        <v/>
      </c>
      <c r="AS246" s="4">
        <f>IF(OR($B246="",K246=""),"",IF($B246=0,--(K246=0),""))</f>
        <v/>
      </c>
      <c r="AT246" s="4">
        <f>IF(K246="","",--(K246=1))</f>
        <v/>
      </c>
      <c r="AU246" s="4">
        <f>IF(OR($B246="",L246=""),"",--(L246=$B246))</f>
        <v/>
      </c>
      <c r="AV246" s="4">
        <f>IF(OR($B246="",L246=""),"",IF($B246=1,--(L246=1),""))</f>
        <v/>
      </c>
      <c r="AW246" s="4">
        <f>IF(OR($B246="",L246=""),"",IF($B246=0,--(L246=0),""))</f>
        <v/>
      </c>
      <c r="AX246" s="4">
        <f>IF(L246="","",--(L246=1))</f>
        <v/>
      </c>
      <c r="AY246" s="4">
        <f>IF(OR($B246="",M246=""),"",--(M246=$B246))</f>
        <v/>
      </c>
      <c r="AZ246" s="4">
        <f>IF(OR($B246="",M246=""),"",IF($B246=1,--(M246=1),""))</f>
        <v/>
      </c>
      <c r="BA246" s="4">
        <f>IF(OR($B246="",M246=""),"",IF($B246=0,--(M246=0),""))</f>
        <v/>
      </c>
      <c r="BB246" s="4">
        <f>IF(M246="","",--(M246=1))</f>
        <v/>
      </c>
      <c r="BC246" s="4">
        <f>IF(OR($B246="",N246=""),"",--(N246=$B246))</f>
        <v/>
      </c>
      <c r="BD246" s="4">
        <f>IF(OR($B246="",N246=""),"",IF($B246=1,--(N246=1),""))</f>
        <v/>
      </c>
      <c r="BE246" s="4">
        <f>IF(OR($B246="",N246=""),"",IF($B246=0,--(N246=0),""))</f>
        <v/>
      </c>
      <c r="BF246" s="4">
        <f>IF(N246="","",--(N246=1))</f>
        <v/>
      </c>
    </row>
    <row r="247">
      <c r="A247" s="3" t="inlineStr">
        <is>
          <t>202126632</t>
        </is>
      </c>
      <c r="B247" s="3" t="inlineStr">
        <is>
          <t>1</t>
        </is>
      </c>
      <c r="C247" s="3" t="inlineStr">
        <is>
          <t>Direct</t>
        </is>
      </c>
      <c r="D247" s="3" t="inlineStr">
        <is>
          <t>1</t>
        </is>
      </c>
      <c r="E247" s="3" t="inlineStr">
        <is>
          <t>0</t>
        </is>
      </c>
      <c r="F247" s="3" t="inlineStr">
        <is>
          <t>0</t>
        </is>
      </c>
      <c r="G247" s="3" t="inlineStr">
        <is>
          <t>0</t>
        </is>
      </c>
      <c r="H247" s="3" t="inlineStr">
        <is>
          <t>1</t>
        </is>
      </c>
      <c r="I247" s="3" t="inlineStr">
        <is>
          <t>0</t>
        </is>
      </c>
      <c r="J247" s="3" t="inlineStr">
        <is>
          <t>1</t>
        </is>
      </c>
      <c r="K247" s="3" t="inlineStr">
        <is>
          <t>1</t>
        </is>
      </c>
      <c r="L247" s="3" t="inlineStr">
        <is>
          <t>1</t>
        </is>
      </c>
      <c r="M247" s="3" t="inlineStr">
        <is>
          <t>1</t>
        </is>
      </c>
      <c r="N247" s="3" t="inlineStr">
        <is>
          <t>1</t>
        </is>
      </c>
      <c r="O247" s="4">
        <f>IF(OR($B247="",D247=""),"",--(D247=$B247))</f>
        <v/>
      </c>
      <c r="P247" s="4">
        <f>IF(OR($B247="",D247=""),"",IF($B247=1,--(D247=1),""))</f>
        <v/>
      </c>
      <c r="Q247" s="4">
        <f>IF(OR($B247="",D247=""),"",IF($B247=0,--(D247=0),""))</f>
        <v/>
      </c>
      <c r="R247" s="4">
        <f>IF(D247="","",--(D247=1))</f>
        <v/>
      </c>
      <c r="S247" s="4">
        <f>IF(OR($B247="",E247=""),"",--(E247=$B247))</f>
        <v/>
      </c>
      <c r="T247" s="4">
        <f>IF(OR($B247="",E247=""),"",IF($B247=1,--(E247=1),""))</f>
        <v/>
      </c>
      <c r="U247" s="4">
        <f>IF(OR($B247="",E247=""),"",IF($B247=0,--(E247=0),""))</f>
        <v/>
      </c>
      <c r="V247" s="4">
        <f>IF(E247="","",--(E247=1))</f>
        <v/>
      </c>
      <c r="W247" s="4">
        <f>IF(OR($B247="",F247=""),"",--(F247=$B247))</f>
        <v/>
      </c>
      <c r="X247" s="4">
        <f>IF(OR($B247="",F247=""),"",IF($B247=1,--(F247=1),""))</f>
        <v/>
      </c>
      <c r="Y247" s="4">
        <f>IF(OR($B247="",F247=""),"",IF($B247=0,--(F247=0),""))</f>
        <v/>
      </c>
      <c r="Z247" s="4">
        <f>IF(F247="","",--(F247=1))</f>
        <v/>
      </c>
      <c r="AA247" s="4">
        <f>IF(OR($B247="",G247=""),"",--(G247=$B247))</f>
        <v/>
      </c>
      <c r="AB247" s="4">
        <f>IF(OR($B247="",G247=""),"",IF($B247=1,--(G247=1),""))</f>
        <v/>
      </c>
      <c r="AC247" s="4">
        <f>IF(OR($B247="",G247=""),"",IF($B247=0,--(G247=0),""))</f>
        <v/>
      </c>
      <c r="AD247" s="4">
        <f>IF(G247="","",--(G247=1))</f>
        <v/>
      </c>
      <c r="AE247" s="4">
        <f>IF(OR($B247="",H247=""),"",--(H247=$B247))</f>
        <v/>
      </c>
      <c r="AF247" s="4">
        <f>IF(OR($B247="",H247=""),"",IF($B247=1,--(H247=1),""))</f>
        <v/>
      </c>
      <c r="AG247" s="4">
        <f>IF(OR($B247="",H247=""),"",IF($B247=0,--(H247=0),""))</f>
        <v/>
      </c>
      <c r="AH247" s="4">
        <f>IF(H247="","",--(H247=1))</f>
        <v/>
      </c>
      <c r="AI247" s="4">
        <f>IF(OR($B247="",I247=""),"",--(I247=$B247))</f>
        <v/>
      </c>
      <c r="AJ247" s="4">
        <f>IF(OR($B247="",I247=""),"",IF($B247=1,--(I247=1),""))</f>
        <v/>
      </c>
      <c r="AK247" s="4">
        <f>IF(OR($B247="",I247=""),"",IF($B247=0,--(I247=0),""))</f>
        <v/>
      </c>
      <c r="AL247" s="4">
        <f>IF(I247="","",--(I247=1))</f>
        <v/>
      </c>
      <c r="AM247" s="4">
        <f>IF(OR($B247="",J247=""),"",--(J247=$B247))</f>
        <v/>
      </c>
      <c r="AN247" s="4">
        <f>IF(OR($B247="",J247=""),"",IF($B247=1,--(J247=1),""))</f>
        <v/>
      </c>
      <c r="AO247" s="4">
        <f>IF(OR($B247="",J247=""),"",IF($B247=0,--(J247=0),""))</f>
        <v/>
      </c>
      <c r="AP247" s="4">
        <f>IF(J247="","",--(J247=1))</f>
        <v/>
      </c>
      <c r="AQ247" s="4">
        <f>IF(OR($B247="",K247=""),"",--(K247=$B247))</f>
        <v/>
      </c>
      <c r="AR247" s="4">
        <f>IF(OR($B247="",K247=""),"",IF($B247=1,--(K247=1),""))</f>
        <v/>
      </c>
      <c r="AS247" s="4">
        <f>IF(OR($B247="",K247=""),"",IF($B247=0,--(K247=0),""))</f>
        <v/>
      </c>
      <c r="AT247" s="4">
        <f>IF(K247="","",--(K247=1))</f>
        <v/>
      </c>
      <c r="AU247" s="4">
        <f>IF(OR($B247="",L247=""),"",--(L247=$B247))</f>
        <v/>
      </c>
      <c r="AV247" s="4">
        <f>IF(OR($B247="",L247=""),"",IF($B247=1,--(L247=1),""))</f>
        <v/>
      </c>
      <c r="AW247" s="4">
        <f>IF(OR($B247="",L247=""),"",IF($B247=0,--(L247=0),""))</f>
        <v/>
      </c>
      <c r="AX247" s="4">
        <f>IF(L247="","",--(L247=1))</f>
        <v/>
      </c>
      <c r="AY247" s="4">
        <f>IF(OR($B247="",M247=""),"",--(M247=$B247))</f>
        <v/>
      </c>
      <c r="AZ247" s="4">
        <f>IF(OR($B247="",M247=""),"",IF($B247=1,--(M247=1),""))</f>
        <v/>
      </c>
      <c r="BA247" s="4">
        <f>IF(OR($B247="",M247=""),"",IF($B247=0,--(M247=0),""))</f>
        <v/>
      </c>
      <c r="BB247" s="4">
        <f>IF(M247="","",--(M247=1))</f>
        <v/>
      </c>
      <c r="BC247" s="4">
        <f>IF(OR($B247="",N247=""),"",--(N247=$B247))</f>
        <v/>
      </c>
      <c r="BD247" s="4">
        <f>IF(OR($B247="",N247=""),"",IF($B247=1,--(N247=1),""))</f>
        <v/>
      </c>
      <c r="BE247" s="4">
        <f>IF(OR($B247="",N247=""),"",IF($B247=0,--(N247=0),""))</f>
        <v/>
      </c>
      <c r="BF247" s="4">
        <f>IF(N247="","",--(N247=1))</f>
        <v/>
      </c>
    </row>
    <row r="248">
      <c r="A248" s="3" t="inlineStr">
        <is>
          <t>202127110</t>
        </is>
      </c>
      <c r="B248" s="3" t="inlineStr">
        <is>
          <t>1</t>
        </is>
      </c>
      <c r="C248" s="3" t="inlineStr">
        <is>
          <t>Direct</t>
        </is>
      </c>
      <c r="D248" s="3" t="inlineStr">
        <is>
          <t>1</t>
        </is>
      </c>
      <c r="E248" s="3" t="inlineStr">
        <is>
          <t>1</t>
        </is>
      </c>
      <c r="F248" s="3" t="inlineStr">
        <is>
          <t>1</t>
        </is>
      </c>
      <c r="G248" s="3" t="inlineStr">
        <is>
          <t>1</t>
        </is>
      </c>
      <c r="H248" s="3" t="inlineStr">
        <is>
          <t>1</t>
        </is>
      </c>
      <c r="I248" s="3" t="inlineStr">
        <is>
          <t>1</t>
        </is>
      </c>
      <c r="J248" s="3" t="inlineStr">
        <is>
          <t>1</t>
        </is>
      </c>
      <c r="K248" s="3" t="inlineStr">
        <is>
          <t>1</t>
        </is>
      </c>
      <c r="L248" s="3" t="inlineStr">
        <is>
          <t>1</t>
        </is>
      </c>
      <c r="M248" s="3" t="inlineStr">
        <is>
          <t>1</t>
        </is>
      </c>
      <c r="N248" s="3" t="inlineStr">
        <is>
          <t>1</t>
        </is>
      </c>
      <c r="O248" s="4">
        <f>IF(OR($B248="",D248=""),"",--(D248=$B248))</f>
        <v/>
      </c>
      <c r="P248" s="4">
        <f>IF(OR($B248="",D248=""),"",IF($B248=1,--(D248=1),""))</f>
        <v/>
      </c>
      <c r="Q248" s="4">
        <f>IF(OR($B248="",D248=""),"",IF($B248=0,--(D248=0),""))</f>
        <v/>
      </c>
      <c r="R248" s="4">
        <f>IF(D248="","",--(D248=1))</f>
        <v/>
      </c>
      <c r="S248" s="4">
        <f>IF(OR($B248="",E248=""),"",--(E248=$B248))</f>
        <v/>
      </c>
      <c r="T248" s="4">
        <f>IF(OR($B248="",E248=""),"",IF($B248=1,--(E248=1),""))</f>
        <v/>
      </c>
      <c r="U248" s="4">
        <f>IF(OR($B248="",E248=""),"",IF($B248=0,--(E248=0),""))</f>
        <v/>
      </c>
      <c r="V248" s="4">
        <f>IF(E248="","",--(E248=1))</f>
        <v/>
      </c>
      <c r="W248" s="4">
        <f>IF(OR($B248="",F248=""),"",--(F248=$B248))</f>
        <v/>
      </c>
      <c r="X248" s="4">
        <f>IF(OR($B248="",F248=""),"",IF($B248=1,--(F248=1),""))</f>
        <v/>
      </c>
      <c r="Y248" s="4">
        <f>IF(OR($B248="",F248=""),"",IF($B248=0,--(F248=0),""))</f>
        <v/>
      </c>
      <c r="Z248" s="4">
        <f>IF(F248="","",--(F248=1))</f>
        <v/>
      </c>
      <c r="AA248" s="4">
        <f>IF(OR($B248="",G248=""),"",--(G248=$B248))</f>
        <v/>
      </c>
      <c r="AB248" s="4">
        <f>IF(OR($B248="",G248=""),"",IF($B248=1,--(G248=1),""))</f>
        <v/>
      </c>
      <c r="AC248" s="4">
        <f>IF(OR($B248="",G248=""),"",IF($B248=0,--(G248=0),""))</f>
        <v/>
      </c>
      <c r="AD248" s="4">
        <f>IF(G248="","",--(G248=1))</f>
        <v/>
      </c>
      <c r="AE248" s="4">
        <f>IF(OR($B248="",H248=""),"",--(H248=$B248))</f>
        <v/>
      </c>
      <c r="AF248" s="4">
        <f>IF(OR($B248="",H248=""),"",IF($B248=1,--(H248=1),""))</f>
        <v/>
      </c>
      <c r="AG248" s="4">
        <f>IF(OR($B248="",H248=""),"",IF($B248=0,--(H248=0),""))</f>
        <v/>
      </c>
      <c r="AH248" s="4">
        <f>IF(H248="","",--(H248=1))</f>
        <v/>
      </c>
      <c r="AI248" s="4">
        <f>IF(OR($B248="",I248=""),"",--(I248=$B248))</f>
        <v/>
      </c>
      <c r="AJ248" s="4">
        <f>IF(OR($B248="",I248=""),"",IF($B248=1,--(I248=1),""))</f>
        <v/>
      </c>
      <c r="AK248" s="4">
        <f>IF(OR($B248="",I248=""),"",IF($B248=0,--(I248=0),""))</f>
        <v/>
      </c>
      <c r="AL248" s="4">
        <f>IF(I248="","",--(I248=1))</f>
        <v/>
      </c>
      <c r="AM248" s="4">
        <f>IF(OR($B248="",J248=""),"",--(J248=$B248))</f>
        <v/>
      </c>
      <c r="AN248" s="4">
        <f>IF(OR($B248="",J248=""),"",IF($B248=1,--(J248=1),""))</f>
        <v/>
      </c>
      <c r="AO248" s="4">
        <f>IF(OR($B248="",J248=""),"",IF($B248=0,--(J248=0),""))</f>
        <v/>
      </c>
      <c r="AP248" s="4">
        <f>IF(J248="","",--(J248=1))</f>
        <v/>
      </c>
      <c r="AQ248" s="4">
        <f>IF(OR($B248="",K248=""),"",--(K248=$B248))</f>
        <v/>
      </c>
      <c r="AR248" s="4">
        <f>IF(OR($B248="",K248=""),"",IF($B248=1,--(K248=1),""))</f>
        <v/>
      </c>
      <c r="AS248" s="4">
        <f>IF(OR($B248="",K248=""),"",IF($B248=0,--(K248=0),""))</f>
        <v/>
      </c>
      <c r="AT248" s="4">
        <f>IF(K248="","",--(K248=1))</f>
        <v/>
      </c>
      <c r="AU248" s="4">
        <f>IF(OR($B248="",L248=""),"",--(L248=$B248))</f>
        <v/>
      </c>
      <c r="AV248" s="4">
        <f>IF(OR($B248="",L248=""),"",IF($B248=1,--(L248=1),""))</f>
        <v/>
      </c>
      <c r="AW248" s="4">
        <f>IF(OR($B248="",L248=""),"",IF($B248=0,--(L248=0),""))</f>
        <v/>
      </c>
      <c r="AX248" s="4">
        <f>IF(L248="","",--(L248=1))</f>
        <v/>
      </c>
      <c r="AY248" s="4">
        <f>IF(OR($B248="",M248=""),"",--(M248=$B248))</f>
        <v/>
      </c>
      <c r="AZ248" s="4">
        <f>IF(OR($B248="",M248=""),"",IF($B248=1,--(M248=1),""))</f>
        <v/>
      </c>
      <c r="BA248" s="4">
        <f>IF(OR($B248="",M248=""),"",IF($B248=0,--(M248=0),""))</f>
        <v/>
      </c>
      <c r="BB248" s="4">
        <f>IF(M248="","",--(M248=1))</f>
        <v/>
      </c>
      <c r="BC248" s="4">
        <f>IF(OR($B248="",N248=""),"",--(N248=$B248))</f>
        <v/>
      </c>
      <c r="BD248" s="4">
        <f>IF(OR($B248="",N248=""),"",IF($B248=1,--(N248=1),""))</f>
        <v/>
      </c>
      <c r="BE248" s="4">
        <f>IF(OR($B248="",N248=""),"",IF($B248=0,--(N248=0),""))</f>
        <v/>
      </c>
      <c r="BF248" s="4">
        <f>IF(N248="","",--(N248=1))</f>
        <v/>
      </c>
    </row>
    <row r="249">
      <c r="A249" s="3" t="inlineStr">
        <is>
          <t>202127173</t>
        </is>
      </c>
      <c r="B249" s="3" t="inlineStr">
        <is>
          <t>1</t>
        </is>
      </c>
      <c r="C249" s="3" t="inlineStr">
        <is>
          <t>Direct</t>
        </is>
      </c>
      <c r="D249" s="3" t="inlineStr">
        <is>
          <t>1</t>
        </is>
      </c>
      <c r="E249" s="3" t="inlineStr">
        <is>
          <t>1</t>
        </is>
      </c>
      <c r="F249" s="3" t="inlineStr">
        <is>
          <t>1</t>
        </is>
      </c>
      <c r="G249" s="3" t="inlineStr">
        <is>
          <t>1</t>
        </is>
      </c>
      <c r="H249" s="3" t="inlineStr">
        <is>
          <t>1</t>
        </is>
      </c>
      <c r="I249" s="3" t="inlineStr">
        <is>
          <t>1</t>
        </is>
      </c>
      <c r="J249" s="3" t="inlineStr">
        <is>
          <t>1</t>
        </is>
      </c>
      <c r="K249" s="3" t="inlineStr">
        <is>
          <t>1</t>
        </is>
      </c>
      <c r="L249" s="3" t="inlineStr">
        <is>
          <t>1</t>
        </is>
      </c>
      <c r="M249" s="3" t="inlineStr">
        <is>
          <t>1</t>
        </is>
      </c>
      <c r="N249" s="3" t="inlineStr">
        <is>
          <t>1</t>
        </is>
      </c>
      <c r="O249" s="4">
        <f>IF(OR($B249="",D249=""),"",--(D249=$B249))</f>
        <v/>
      </c>
      <c r="P249" s="4">
        <f>IF(OR($B249="",D249=""),"",IF($B249=1,--(D249=1),""))</f>
        <v/>
      </c>
      <c r="Q249" s="4">
        <f>IF(OR($B249="",D249=""),"",IF($B249=0,--(D249=0),""))</f>
        <v/>
      </c>
      <c r="R249" s="4">
        <f>IF(D249="","",--(D249=1))</f>
        <v/>
      </c>
      <c r="S249" s="4">
        <f>IF(OR($B249="",E249=""),"",--(E249=$B249))</f>
        <v/>
      </c>
      <c r="T249" s="4">
        <f>IF(OR($B249="",E249=""),"",IF($B249=1,--(E249=1),""))</f>
        <v/>
      </c>
      <c r="U249" s="4">
        <f>IF(OR($B249="",E249=""),"",IF($B249=0,--(E249=0),""))</f>
        <v/>
      </c>
      <c r="V249" s="4">
        <f>IF(E249="","",--(E249=1))</f>
        <v/>
      </c>
      <c r="W249" s="4">
        <f>IF(OR($B249="",F249=""),"",--(F249=$B249))</f>
        <v/>
      </c>
      <c r="X249" s="4">
        <f>IF(OR($B249="",F249=""),"",IF($B249=1,--(F249=1),""))</f>
        <v/>
      </c>
      <c r="Y249" s="4">
        <f>IF(OR($B249="",F249=""),"",IF($B249=0,--(F249=0),""))</f>
        <v/>
      </c>
      <c r="Z249" s="4">
        <f>IF(F249="","",--(F249=1))</f>
        <v/>
      </c>
      <c r="AA249" s="4">
        <f>IF(OR($B249="",G249=""),"",--(G249=$B249))</f>
        <v/>
      </c>
      <c r="AB249" s="4">
        <f>IF(OR($B249="",G249=""),"",IF($B249=1,--(G249=1),""))</f>
        <v/>
      </c>
      <c r="AC249" s="4">
        <f>IF(OR($B249="",G249=""),"",IF($B249=0,--(G249=0),""))</f>
        <v/>
      </c>
      <c r="AD249" s="4">
        <f>IF(G249="","",--(G249=1))</f>
        <v/>
      </c>
      <c r="AE249" s="4">
        <f>IF(OR($B249="",H249=""),"",--(H249=$B249))</f>
        <v/>
      </c>
      <c r="AF249" s="4">
        <f>IF(OR($B249="",H249=""),"",IF($B249=1,--(H249=1),""))</f>
        <v/>
      </c>
      <c r="AG249" s="4">
        <f>IF(OR($B249="",H249=""),"",IF($B249=0,--(H249=0),""))</f>
        <v/>
      </c>
      <c r="AH249" s="4">
        <f>IF(H249="","",--(H249=1))</f>
        <v/>
      </c>
      <c r="AI249" s="4">
        <f>IF(OR($B249="",I249=""),"",--(I249=$B249))</f>
        <v/>
      </c>
      <c r="AJ249" s="4">
        <f>IF(OR($B249="",I249=""),"",IF($B249=1,--(I249=1),""))</f>
        <v/>
      </c>
      <c r="AK249" s="4">
        <f>IF(OR($B249="",I249=""),"",IF($B249=0,--(I249=0),""))</f>
        <v/>
      </c>
      <c r="AL249" s="4">
        <f>IF(I249="","",--(I249=1))</f>
        <v/>
      </c>
      <c r="AM249" s="4">
        <f>IF(OR($B249="",J249=""),"",--(J249=$B249))</f>
        <v/>
      </c>
      <c r="AN249" s="4">
        <f>IF(OR($B249="",J249=""),"",IF($B249=1,--(J249=1),""))</f>
        <v/>
      </c>
      <c r="AO249" s="4">
        <f>IF(OR($B249="",J249=""),"",IF($B249=0,--(J249=0),""))</f>
        <v/>
      </c>
      <c r="AP249" s="4">
        <f>IF(J249="","",--(J249=1))</f>
        <v/>
      </c>
      <c r="AQ249" s="4">
        <f>IF(OR($B249="",K249=""),"",--(K249=$B249))</f>
        <v/>
      </c>
      <c r="AR249" s="4">
        <f>IF(OR($B249="",K249=""),"",IF($B249=1,--(K249=1),""))</f>
        <v/>
      </c>
      <c r="AS249" s="4">
        <f>IF(OR($B249="",K249=""),"",IF($B249=0,--(K249=0),""))</f>
        <v/>
      </c>
      <c r="AT249" s="4">
        <f>IF(K249="","",--(K249=1))</f>
        <v/>
      </c>
      <c r="AU249" s="4">
        <f>IF(OR($B249="",L249=""),"",--(L249=$B249))</f>
        <v/>
      </c>
      <c r="AV249" s="4">
        <f>IF(OR($B249="",L249=""),"",IF($B249=1,--(L249=1),""))</f>
        <v/>
      </c>
      <c r="AW249" s="4">
        <f>IF(OR($B249="",L249=""),"",IF($B249=0,--(L249=0),""))</f>
        <v/>
      </c>
      <c r="AX249" s="4">
        <f>IF(L249="","",--(L249=1))</f>
        <v/>
      </c>
      <c r="AY249" s="4">
        <f>IF(OR($B249="",M249=""),"",--(M249=$B249))</f>
        <v/>
      </c>
      <c r="AZ249" s="4">
        <f>IF(OR($B249="",M249=""),"",IF($B249=1,--(M249=1),""))</f>
        <v/>
      </c>
      <c r="BA249" s="4">
        <f>IF(OR($B249="",M249=""),"",IF($B249=0,--(M249=0),""))</f>
        <v/>
      </c>
      <c r="BB249" s="4">
        <f>IF(M249="","",--(M249=1))</f>
        <v/>
      </c>
      <c r="BC249" s="4">
        <f>IF(OR($B249="",N249=""),"",--(N249=$B249))</f>
        <v/>
      </c>
      <c r="BD249" s="4">
        <f>IF(OR($B249="",N249=""),"",IF($B249=1,--(N249=1),""))</f>
        <v/>
      </c>
      <c r="BE249" s="4">
        <f>IF(OR($B249="",N249=""),"",IF($B249=0,--(N249=0),""))</f>
        <v/>
      </c>
      <c r="BF249" s="4">
        <f>IF(N249="","",--(N249=1))</f>
        <v/>
      </c>
    </row>
    <row r="250">
      <c r="A250" s="3" t="inlineStr">
        <is>
          <t>202127354</t>
        </is>
      </c>
      <c r="B250" s="3" t="inlineStr">
        <is>
          <t>0</t>
        </is>
      </c>
      <c r="C250" s="3" t="inlineStr">
        <is>
          <t>Direct</t>
        </is>
      </c>
      <c r="D250" s="3" t="inlineStr">
        <is>
          <t>1</t>
        </is>
      </c>
      <c r="E250" s="3" t="inlineStr">
        <is>
          <t>1</t>
        </is>
      </c>
      <c r="F250" s="3" t="inlineStr">
        <is>
          <t>0</t>
        </is>
      </c>
      <c r="G250" s="3" t="inlineStr">
        <is>
          <t>0</t>
        </is>
      </c>
      <c r="H250" s="3" t="inlineStr">
        <is>
          <t>1</t>
        </is>
      </c>
      <c r="I250" s="3" t="inlineStr">
        <is>
          <t>0</t>
        </is>
      </c>
      <c r="J250" s="3" t="inlineStr">
        <is>
          <t>0</t>
        </is>
      </c>
      <c r="K250" s="3" t="inlineStr">
        <is>
          <t>0</t>
        </is>
      </c>
      <c r="L250" s="3" t="inlineStr">
        <is>
          <t>1</t>
        </is>
      </c>
      <c r="M250" s="3" t="inlineStr">
        <is>
          <t>1</t>
        </is>
      </c>
      <c r="N250" s="3" t="inlineStr">
        <is>
          <t>1</t>
        </is>
      </c>
      <c r="O250" s="4">
        <f>IF(OR($B250="",D250=""),"",--(D250=$B250))</f>
        <v/>
      </c>
      <c r="P250" s="4">
        <f>IF(OR($B250="",D250=""),"",IF($B250=1,--(D250=1),""))</f>
        <v/>
      </c>
      <c r="Q250" s="4">
        <f>IF(OR($B250="",D250=""),"",IF($B250=0,--(D250=0),""))</f>
        <v/>
      </c>
      <c r="R250" s="4">
        <f>IF(D250="","",--(D250=1))</f>
        <v/>
      </c>
      <c r="S250" s="4">
        <f>IF(OR($B250="",E250=""),"",--(E250=$B250))</f>
        <v/>
      </c>
      <c r="T250" s="4">
        <f>IF(OR($B250="",E250=""),"",IF($B250=1,--(E250=1),""))</f>
        <v/>
      </c>
      <c r="U250" s="4">
        <f>IF(OR($B250="",E250=""),"",IF($B250=0,--(E250=0),""))</f>
        <v/>
      </c>
      <c r="V250" s="4">
        <f>IF(E250="","",--(E250=1))</f>
        <v/>
      </c>
      <c r="W250" s="4">
        <f>IF(OR($B250="",F250=""),"",--(F250=$B250))</f>
        <v/>
      </c>
      <c r="X250" s="4">
        <f>IF(OR($B250="",F250=""),"",IF($B250=1,--(F250=1),""))</f>
        <v/>
      </c>
      <c r="Y250" s="4">
        <f>IF(OR($B250="",F250=""),"",IF($B250=0,--(F250=0),""))</f>
        <v/>
      </c>
      <c r="Z250" s="4">
        <f>IF(F250="","",--(F250=1))</f>
        <v/>
      </c>
      <c r="AA250" s="4">
        <f>IF(OR($B250="",G250=""),"",--(G250=$B250))</f>
        <v/>
      </c>
      <c r="AB250" s="4">
        <f>IF(OR($B250="",G250=""),"",IF($B250=1,--(G250=1),""))</f>
        <v/>
      </c>
      <c r="AC250" s="4">
        <f>IF(OR($B250="",G250=""),"",IF($B250=0,--(G250=0),""))</f>
        <v/>
      </c>
      <c r="AD250" s="4">
        <f>IF(G250="","",--(G250=1))</f>
        <v/>
      </c>
      <c r="AE250" s="4">
        <f>IF(OR($B250="",H250=""),"",--(H250=$B250))</f>
        <v/>
      </c>
      <c r="AF250" s="4">
        <f>IF(OR($B250="",H250=""),"",IF($B250=1,--(H250=1),""))</f>
        <v/>
      </c>
      <c r="AG250" s="4">
        <f>IF(OR($B250="",H250=""),"",IF($B250=0,--(H250=0),""))</f>
        <v/>
      </c>
      <c r="AH250" s="4">
        <f>IF(H250="","",--(H250=1))</f>
        <v/>
      </c>
      <c r="AI250" s="4">
        <f>IF(OR($B250="",I250=""),"",--(I250=$B250))</f>
        <v/>
      </c>
      <c r="AJ250" s="4">
        <f>IF(OR($B250="",I250=""),"",IF($B250=1,--(I250=1),""))</f>
        <v/>
      </c>
      <c r="AK250" s="4">
        <f>IF(OR($B250="",I250=""),"",IF($B250=0,--(I250=0),""))</f>
        <v/>
      </c>
      <c r="AL250" s="4">
        <f>IF(I250="","",--(I250=1))</f>
        <v/>
      </c>
      <c r="AM250" s="4">
        <f>IF(OR($B250="",J250=""),"",--(J250=$B250))</f>
        <v/>
      </c>
      <c r="AN250" s="4">
        <f>IF(OR($B250="",J250=""),"",IF($B250=1,--(J250=1),""))</f>
        <v/>
      </c>
      <c r="AO250" s="4">
        <f>IF(OR($B250="",J250=""),"",IF($B250=0,--(J250=0),""))</f>
        <v/>
      </c>
      <c r="AP250" s="4">
        <f>IF(J250="","",--(J250=1))</f>
        <v/>
      </c>
      <c r="AQ250" s="4">
        <f>IF(OR($B250="",K250=""),"",--(K250=$B250))</f>
        <v/>
      </c>
      <c r="AR250" s="4">
        <f>IF(OR($B250="",K250=""),"",IF($B250=1,--(K250=1),""))</f>
        <v/>
      </c>
      <c r="AS250" s="4">
        <f>IF(OR($B250="",K250=""),"",IF($B250=0,--(K250=0),""))</f>
        <v/>
      </c>
      <c r="AT250" s="4">
        <f>IF(K250="","",--(K250=1))</f>
        <v/>
      </c>
      <c r="AU250" s="4">
        <f>IF(OR($B250="",L250=""),"",--(L250=$B250))</f>
        <v/>
      </c>
      <c r="AV250" s="4">
        <f>IF(OR($B250="",L250=""),"",IF($B250=1,--(L250=1),""))</f>
        <v/>
      </c>
      <c r="AW250" s="4">
        <f>IF(OR($B250="",L250=""),"",IF($B250=0,--(L250=0),""))</f>
        <v/>
      </c>
      <c r="AX250" s="4">
        <f>IF(L250="","",--(L250=1))</f>
        <v/>
      </c>
      <c r="AY250" s="4">
        <f>IF(OR($B250="",M250=""),"",--(M250=$B250))</f>
        <v/>
      </c>
      <c r="AZ250" s="4">
        <f>IF(OR($B250="",M250=""),"",IF($B250=1,--(M250=1),""))</f>
        <v/>
      </c>
      <c r="BA250" s="4">
        <f>IF(OR($B250="",M250=""),"",IF($B250=0,--(M250=0),""))</f>
        <v/>
      </c>
      <c r="BB250" s="4">
        <f>IF(M250="","",--(M250=1))</f>
        <v/>
      </c>
      <c r="BC250" s="4">
        <f>IF(OR($B250="",N250=""),"",--(N250=$B250))</f>
        <v/>
      </c>
      <c r="BD250" s="4">
        <f>IF(OR($B250="",N250=""),"",IF($B250=1,--(N250=1),""))</f>
        <v/>
      </c>
      <c r="BE250" s="4">
        <f>IF(OR($B250="",N250=""),"",IF($B250=0,--(N250=0),""))</f>
        <v/>
      </c>
      <c r="BF250" s="4">
        <f>IF(N250="","",--(N250=1))</f>
        <v/>
      </c>
    </row>
    <row r="251">
      <c r="A251" s="3" t="inlineStr">
        <is>
          <t>202127624</t>
        </is>
      </c>
      <c r="B251" s="3" t="inlineStr">
        <is>
          <t>0</t>
        </is>
      </c>
      <c r="C251" s="3" t="inlineStr">
        <is>
          <t>Direct</t>
        </is>
      </c>
      <c r="D251" s="3" t="inlineStr">
        <is>
          <t>1</t>
        </is>
      </c>
      <c r="E251" s="3" t="inlineStr">
        <is>
          <t>1</t>
        </is>
      </c>
      <c r="F251" s="3" t="inlineStr">
        <is>
          <t>1</t>
        </is>
      </c>
      <c r="G251" s="3" t="inlineStr">
        <is>
          <t>0</t>
        </is>
      </c>
      <c r="H251" s="3" t="inlineStr">
        <is>
          <t>1</t>
        </is>
      </c>
      <c r="I251" s="3" t="inlineStr">
        <is>
          <t>1</t>
        </is>
      </c>
      <c r="J251" s="3" t="inlineStr">
        <is>
          <t>1</t>
        </is>
      </c>
      <c r="K251" s="3" t="inlineStr">
        <is>
          <t>1</t>
        </is>
      </c>
      <c r="L251" s="3" t="inlineStr">
        <is>
          <t>1</t>
        </is>
      </c>
      <c r="M251" s="3" t="inlineStr">
        <is>
          <t>1</t>
        </is>
      </c>
      <c r="N251" s="3" t="inlineStr">
        <is>
          <t>1</t>
        </is>
      </c>
      <c r="O251" s="4">
        <f>IF(OR($B251="",D251=""),"",--(D251=$B251))</f>
        <v/>
      </c>
      <c r="P251" s="4">
        <f>IF(OR($B251="",D251=""),"",IF($B251=1,--(D251=1),""))</f>
        <v/>
      </c>
      <c r="Q251" s="4">
        <f>IF(OR($B251="",D251=""),"",IF($B251=0,--(D251=0),""))</f>
        <v/>
      </c>
      <c r="R251" s="4">
        <f>IF(D251="","",--(D251=1))</f>
        <v/>
      </c>
      <c r="S251" s="4">
        <f>IF(OR($B251="",E251=""),"",--(E251=$B251))</f>
        <v/>
      </c>
      <c r="T251" s="4">
        <f>IF(OR($B251="",E251=""),"",IF($B251=1,--(E251=1),""))</f>
        <v/>
      </c>
      <c r="U251" s="4">
        <f>IF(OR($B251="",E251=""),"",IF($B251=0,--(E251=0),""))</f>
        <v/>
      </c>
      <c r="V251" s="4">
        <f>IF(E251="","",--(E251=1))</f>
        <v/>
      </c>
      <c r="W251" s="4">
        <f>IF(OR($B251="",F251=""),"",--(F251=$B251))</f>
        <v/>
      </c>
      <c r="X251" s="4">
        <f>IF(OR($B251="",F251=""),"",IF($B251=1,--(F251=1),""))</f>
        <v/>
      </c>
      <c r="Y251" s="4">
        <f>IF(OR($B251="",F251=""),"",IF($B251=0,--(F251=0),""))</f>
        <v/>
      </c>
      <c r="Z251" s="4">
        <f>IF(F251="","",--(F251=1))</f>
        <v/>
      </c>
      <c r="AA251" s="4">
        <f>IF(OR($B251="",G251=""),"",--(G251=$B251))</f>
        <v/>
      </c>
      <c r="AB251" s="4">
        <f>IF(OR($B251="",G251=""),"",IF($B251=1,--(G251=1),""))</f>
        <v/>
      </c>
      <c r="AC251" s="4">
        <f>IF(OR($B251="",G251=""),"",IF($B251=0,--(G251=0),""))</f>
        <v/>
      </c>
      <c r="AD251" s="4">
        <f>IF(G251="","",--(G251=1))</f>
        <v/>
      </c>
      <c r="AE251" s="4">
        <f>IF(OR($B251="",H251=""),"",--(H251=$B251))</f>
        <v/>
      </c>
      <c r="AF251" s="4">
        <f>IF(OR($B251="",H251=""),"",IF($B251=1,--(H251=1),""))</f>
        <v/>
      </c>
      <c r="AG251" s="4">
        <f>IF(OR($B251="",H251=""),"",IF($B251=0,--(H251=0),""))</f>
        <v/>
      </c>
      <c r="AH251" s="4">
        <f>IF(H251="","",--(H251=1))</f>
        <v/>
      </c>
      <c r="AI251" s="4">
        <f>IF(OR($B251="",I251=""),"",--(I251=$B251))</f>
        <v/>
      </c>
      <c r="AJ251" s="4">
        <f>IF(OR($B251="",I251=""),"",IF($B251=1,--(I251=1),""))</f>
        <v/>
      </c>
      <c r="AK251" s="4">
        <f>IF(OR($B251="",I251=""),"",IF($B251=0,--(I251=0),""))</f>
        <v/>
      </c>
      <c r="AL251" s="4">
        <f>IF(I251="","",--(I251=1))</f>
        <v/>
      </c>
      <c r="AM251" s="4">
        <f>IF(OR($B251="",J251=""),"",--(J251=$B251))</f>
        <v/>
      </c>
      <c r="AN251" s="4">
        <f>IF(OR($B251="",J251=""),"",IF($B251=1,--(J251=1),""))</f>
        <v/>
      </c>
      <c r="AO251" s="4">
        <f>IF(OR($B251="",J251=""),"",IF($B251=0,--(J251=0),""))</f>
        <v/>
      </c>
      <c r="AP251" s="4">
        <f>IF(J251="","",--(J251=1))</f>
        <v/>
      </c>
      <c r="AQ251" s="4">
        <f>IF(OR($B251="",K251=""),"",--(K251=$B251))</f>
        <v/>
      </c>
      <c r="AR251" s="4">
        <f>IF(OR($B251="",K251=""),"",IF($B251=1,--(K251=1),""))</f>
        <v/>
      </c>
      <c r="AS251" s="4">
        <f>IF(OR($B251="",K251=""),"",IF($B251=0,--(K251=0),""))</f>
        <v/>
      </c>
      <c r="AT251" s="4">
        <f>IF(K251="","",--(K251=1))</f>
        <v/>
      </c>
      <c r="AU251" s="4">
        <f>IF(OR($B251="",L251=""),"",--(L251=$B251))</f>
        <v/>
      </c>
      <c r="AV251" s="4">
        <f>IF(OR($B251="",L251=""),"",IF($B251=1,--(L251=1),""))</f>
        <v/>
      </c>
      <c r="AW251" s="4">
        <f>IF(OR($B251="",L251=""),"",IF($B251=0,--(L251=0),""))</f>
        <v/>
      </c>
      <c r="AX251" s="4">
        <f>IF(L251="","",--(L251=1))</f>
        <v/>
      </c>
      <c r="AY251" s="4">
        <f>IF(OR($B251="",M251=""),"",--(M251=$B251))</f>
        <v/>
      </c>
      <c r="AZ251" s="4">
        <f>IF(OR($B251="",M251=""),"",IF($B251=1,--(M251=1),""))</f>
        <v/>
      </c>
      <c r="BA251" s="4">
        <f>IF(OR($B251="",M251=""),"",IF($B251=0,--(M251=0),""))</f>
        <v/>
      </c>
      <c r="BB251" s="4">
        <f>IF(M251="","",--(M251=1))</f>
        <v/>
      </c>
      <c r="BC251" s="4">
        <f>IF(OR($B251="",N251=""),"",--(N251=$B251))</f>
        <v/>
      </c>
      <c r="BD251" s="4">
        <f>IF(OR($B251="",N251=""),"",IF($B251=1,--(N251=1),""))</f>
        <v/>
      </c>
      <c r="BE251" s="4">
        <f>IF(OR($B251="",N251=""),"",IF($B251=0,--(N251=0),""))</f>
        <v/>
      </c>
      <c r="BF251" s="4">
        <f>IF(N251="","",--(N251=1))</f>
        <v/>
      </c>
    </row>
    <row r="252">
      <c r="A252" s="3" t="inlineStr">
        <is>
          <t>202127846</t>
        </is>
      </c>
      <c r="B252" s="3" t="inlineStr">
        <is>
          <t>1</t>
        </is>
      </c>
      <c r="C252" s="3" t="inlineStr">
        <is>
          <t>Direct</t>
        </is>
      </c>
      <c r="D252" s="3" t="inlineStr">
        <is>
          <t>1</t>
        </is>
      </c>
      <c r="E252" s="3" t="inlineStr">
        <is>
          <t>0</t>
        </is>
      </c>
      <c r="F252" s="3" t="inlineStr">
        <is>
          <t>0</t>
        </is>
      </c>
      <c r="G252" s="3" t="inlineStr">
        <is>
          <t>0</t>
        </is>
      </c>
      <c r="H252" s="3" t="inlineStr">
        <is>
          <t>1</t>
        </is>
      </c>
      <c r="I252" s="3" t="inlineStr">
        <is>
          <t>1</t>
        </is>
      </c>
      <c r="J252" s="3" t="inlineStr">
        <is>
          <t>1</t>
        </is>
      </c>
      <c r="K252" s="3" t="inlineStr">
        <is>
          <t>1</t>
        </is>
      </c>
      <c r="L252" s="3" t="inlineStr">
        <is>
          <t>1</t>
        </is>
      </c>
      <c r="M252" s="3" t="inlineStr">
        <is>
          <t>1</t>
        </is>
      </c>
      <c r="N252" s="3" t="inlineStr">
        <is>
          <t>1</t>
        </is>
      </c>
      <c r="O252" s="4">
        <f>IF(OR($B252="",D252=""),"",--(D252=$B252))</f>
        <v/>
      </c>
      <c r="P252" s="4">
        <f>IF(OR($B252="",D252=""),"",IF($B252=1,--(D252=1),""))</f>
        <v/>
      </c>
      <c r="Q252" s="4">
        <f>IF(OR($B252="",D252=""),"",IF($B252=0,--(D252=0),""))</f>
        <v/>
      </c>
      <c r="R252" s="4">
        <f>IF(D252="","",--(D252=1))</f>
        <v/>
      </c>
      <c r="S252" s="4">
        <f>IF(OR($B252="",E252=""),"",--(E252=$B252))</f>
        <v/>
      </c>
      <c r="T252" s="4">
        <f>IF(OR($B252="",E252=""),"",IF($B252=1,--(E252=1),""))</f>
        <v/>
      </c>
      <c r="U252" s="4">
        <f>IF(OR($B252="",E252=""),"",IF($B252=0,--(E252=0),""))</f>
        <v/>
      </c>
      <c r="V252" s="4">
        <f>IF(E252="","",--(E252=1))</f>
        <v/>
      </c>
      <c r="W252" s="4">
        <f>IF(OR($B252="",F252=""),"",--(F252=$B252))</f>
        <v/>
      </c>
      <c r="X252" s="4">
        <f>IF(OR($B252="",F252=""),"",IF($B252=1,--(F252=1),""))</f>
        <v/>
      </c>
      <c r="Y252" s="4">
        <f>IF(OR($B252="",F252=""),"",IF($B252=0,--(F252=0),""))</f>
        <v/>
      </c>
      <c r="Z252" s="4">
        <f>IF(F252="","",--(F252=1))</f>
        <v/>
      </c>
      <c r="AA252" s="4">
        <f>IF(OR($B252="",G252=""),"",--(G252=$B252))</f>
        <v/>
      </c>
      <c r="AB252" s="4">
        <f>IF(OR($B252="",G252=""),"",IF($B252=1,--(G252=1),""))</f>
        <v/>
      </c>
      <c r="AC252" s="4">
        <f>IF(OR($B252="",G252=""),"",IF($B252=0,--(G252=0),""))</f>
        <v/>
      </c>
      <c r="AD252" s="4">
        <f>IF(G252="","",--(G252=1))</f>
        <v/>
      </c>
      <c r="AE252" s="4">
        <f>IF(OR($B252="",H252=""),"",--(H252=$B252))</f>
        <v/>
      </c>
      <c r="AF252" s="4">
        <f>IF(OR($B252="",H252=""),"",IF($B252=1,--(H252=1),""))</f>
        <v/>
      </c>
      <c r="AG252" s="4">
        <f>IF(OR($B252="",H252=""),"",IF($B252=0,--(H252=0),""))</f>
        <v/>
      </c>
      <c r="AH252" s="4">
        <f>IF(H252="","",--(H252=1))</f>
        <v/>
      </c>
      <c r="AI252" s="4">
        <f>IF(OR($B252="",I252=""),"",--(I252=$B252))</f>
        <v/>
      </c>
      <c r="AJ252" s="4">
        <f>IF(OR($B252="",I252=""),"",IF($B252=1,--(I252=1),""))</f>
        <v/>
      </c>
      <c r="AK252" s="4">
        <f>IF(OR($B252="",I252=""),"",IF($B252=0,--(I252=0),""))</f>
        <v/>
      </c>
      <c r="AL252" s="4">
        <f>IF(I252="","",--(I252=1))</f>
        <v/>
      </c>
      <c r="AM252" s="4">
        <f>IF(OR($B252="",J252=""),"",--(J252=$B252))</f>
        <v/>
      </c>
      <c r="AN252" s="4">
        <f>IF(OR($B252="",J252=""),"",IF($B252=1,--(J252=1),""))</f>
        <v/>
      </c>
      <c r="AO252" s="4">
        <f>IF(OR($B252="",J252=""),"",IF($B252=0,--(J252=0),""))</f>
        <v/>
      </c>
      <c r="AP252" s="4">
        <f>IF(J252="","",--(J252=1))</f>
        <v/>
      </c>
      <c r="AQ252" s="4">
        <f>IF(OR($B252="",K252=""),"",--(K252=$B252))</f>
        <v/>
      </c>
      <c r="AR252" s="4">
        <f>IF(OR($B252="",K252=""),"",IF($B252=1,--(K252=1),""))</f>
        <v/>
      </c>
      <c r="AS252" s="4">
        <f>IF(OR($B252="",K252=""),"",IF($B252=0,--(K252=0),""))</f>
        <v/>
      </c>
      <c r="AT252" s="4">
        <f>IF(K252="","",--(K252=1))</f>
        <v/>
      </c>
      <c r="AU252" s="4">
        <f>IF(OR($B252="",L252=""),"",--(L252=$B252))</f>
        <v/>
      </c>
      <c r="AV252" s="4">
        <f>IF(OR($B252="",L252=""),"",IF($B252=1,--(L252=1),""))</f>
        <v/>
      </c>
      <c r="AW252" s="4">
        <f>IF(OR($B252="",L252=""),"",IF($B252=0,--(L252=0),""))</f>
        <v/>
      </c>
      <c r="AX252" s="4">
        <f>IF(L252="","",--(L252=1))</f>
        <v/>
      </c>
      <c r="AY252" s="4">
        <f>IF(OR($B252="",M252=""),"",--(M252=$B252))</f>
        <v/>
      </c>
      <c r="AZ252" s="4">
        <f>IF(OR($B252="",M252=""),"",IF($B252=1,--(M252=1),""))</f>
        <v/>
      </c>
      <c r="BA252" s="4">
        <f>IF(OR($B252="",M252=""),"",IF($B252=0,--(M252=0),""))</f>
        <v/>
      </c>
      <c r="BB252" s="4">
        <f>IF(M252="","",--(M252=1))</f>
        <v/>
      </c>
      <c r="BC252" s="4">
        <f>IF(OR($B252="",N252=""),"",--(N252=$B252))</f>
        <v/>
      </c>
      <c r="BD252" s="4">
        <f>IF(OR($B252="",N252=""),"",IF($B252=1,--(N252=1),""))</f>
        <v/>
      </c>
      <c r="BE252" s="4">
        <f>IF(OR($B252="",N252=""),"",IF($B252=0,--(N252=0),""))</f>
        <v/>
      </c>
      <c r="BF252" s="4">
        <f>IF(N252="","",--(N252=1))</f>
        <v/>
      </c>
    </row>
    <row r="253">
      <c r="A253" s="3" t="inlineStr">
        <is>
          <t>202128305</t>
        </is>
      </c>
      <c r="B253" s="3" t="inlineStr">
        <is>
          <t>1</t>
        </is>
      </c>
      <c r="C253" s="3" t="inlineStr">
        <is>
          <t>Direct</t>
        </is>
      </c>
      <c r="D253" s="3" t="inlineStr">
        <is>
          <t>1</t>
        </is>
      </c>
      <c r="E253" s="3" t="inlineStr">
        <is>
          <t>0</t>
        </is>
      </c>
      <c r="F253" s="3" t="inlineStr">
        <is>
          <t>1</t>
        </is>
      </c>
      <c r="G253" s="3" t="inlineStr">
        <is>
          <t>0</t>
        </is>
      </c>
      <c r="H253" s="3" t="inlineStr">
        <is>
          <t>1</t>
        </is>
      </c>
      <c r="I253" s="3" t="inlineStr">
        <is>
          <t>0</t>
        </is>
      </c>
      <c r="J253" s="3" t="inlineStr">
        <is>
          <t>1</t>
        </is>
      </c>
      <c r="K253" s="3" t="inlineStr">
        <is>
          <t>1</t>
        </is>
      </c>
      <c r="L253" s="3" t="inlineStr">
        <is>
          <t>1</t>
        </is>
      </c>
      <c r="M253" s="3" t="inlineStr">
        <is>
          <t>1</t>
        </is>
      </c>
      <c r="N253" s="3" t="inlineStr">
        <is>
          <t>1</t>
        </is>
      </c>
      <c r="O253" s="4">
        <f>IF(OR($B253="",D253=""),"",--(D253=$B253))</f>
        <v/>
      </c>
      <c r="P253" s="4">
        <f>IF(OR($B253="",D253=""),"",IF($B253=1,--(D253=1),""))</f>
        <v/>
      </c>
      <c r="Q253" s="4">
        <f>IF(OR($B253="",D253=""),"",IF($B253=0,--(D253=0),""))</f>
        <v/>
      </c>
      <c r="R253" s="4">
        <f>IF(D253="","",--(D253=1))</f>
        <v/>
      </c>
      <c r="S253" s="4">
        <f>IF(OR($B253="",E253=""),"",--(E253=$B253))</f>
        <v/>
      </c>
      <c r="T253" s="4">
        <f>IF(OR($B253="",E253=""),"",IF($B253=1,--(E253=1),""))</f>
        <v/>
      </c>
      <c r="U253" s="4">
        <f>IF(OR($B253="",E253=""),"",IF($B253=0,--(E253=0),""))</f>
        <v/>
      </c>
      <c r="V253" s="4">
        <f>IF(E253="","",--(E253=1))</f>
        <v/>
      </c>
      <c r="W253" s="4">
        <f>IF(OR($B253="",F253=""),"",--(F253=$B253))</f>
        <v/>
      </c>
      <c r="X253" s="4">
        <f>IF(OR($B253="",F253=""),"",IF($B253=1,--(F253=1),""))</f>
        <v/>
      </c>
      <c r="Y253" s="4">
        <f>IF(OR($B253="",F253=""),"",IF($B253=0,--(F253=0),""))</f>
        <v/>
      </c>
      <c r="Z253" s="4">
        <f>IF(F253="","",--(F253=1))</f>
        <v/>
      </c>
      <c r="AA253" s="4">
        <f>IF(OR($B253="",G253=""),"",--(G253=$B253))</f>
        <v/>
      </c>
      <c r="AB253" s="4">
        <f>IF(OR($B253="",G253=""),"",IF($B253=1,--(G253=1),""))</f>
        <v/>
      </c>
      <c r="AC253" s="4">
        <f>IF(OR($B253="",G253=""),"",IF($B253=0,--(G253=0),""))</f>
        <v/>
      </c>
      <c r="AD253" s="4">
        <f>IF(G253="","",--(G253=1))</f>
        <v/>
      </c>
      <c r="AE253" s="4">
        <f>IF(OR($B253="",H253=""),"",--(H253=$B253))</f>
        <v/>
      </c>
      <c r="AF253" s="4">
        <f>IF(OR($B253="",H253=""),"",IF($B253=1,--(H253=1),""))</f>
        <v/>
      </c>
      <c r="AG253" s="4">
        <f>IF(OR($B253="",H253=""),"",IF($B253=0,--(H253=0),""))</f>
        <v/>
      </c>
      <c r="AH253" s="4">
        <f>IF(H253="","",--(H253=1))</f>
        <v/>
      </c>
      <c r="AI253" s="4">
        <f>IF(OR($B253="",I253=""),"",--(I253=$B253))</f>
        <v/>
      </c>
      <c r="AJ253" s="4">
        <f>IF(OR($B253="",I253=""),"",IF($B253=1,--(I253=1),""))</f>
        <v/>
      </c>
      <c r="AK253" s="4">
        <f>IF(OR($B253="",I253=""),"",IF($B253=0,--(I253=0),""))</f>
        <v/>
      </c>
      <c r="AL253" s="4">
        <f>IF(I253="","",--(I253=1))</f>
        <v/>
      </c>
      <c r="AM253" s="4">
        <f>IF(OR($B253="",J253=""),"",--(J253=$B253))</f>
        <v/>
      </c>
      <c r="AN253" s="4">
        <f>IF(OR($B253="",J253=""),"",IF($B253=1,--(J253=1),""))</f>
        <v/>
      </c>
      <c r="AO253" s="4">
        <f>IF(OR($B253="",J253=""),"",IF($B253=0,--(J253=0),""))</f>
        <v/>
      </c>
      <c r="AP253" s="4">
        <f>IF(J253="","",--(J253=1))</f>
        <v/>
      </c>
      <c r="AQ253" s="4">
        <f>IF(OR($B253="",K253=""),"",--(K253=$B253))</f>
        <v/>
      </c>
      <c r="AR253" s="4">
        <f>IF(OR($B253="",K253=""),"",IF($B253=1,--(K253=1),""))</f>
        <v/>
      </c>
      <c r="AS253" s="4">
        <f>IF(OR($B253="",K253=""),"",IF($B253=0,--(K253=0),""))</f>
        <v/>
      </c>
      <c r="AT253" s="4">
        <f>IF(K253="","",--(K253=1))</f>
        <v/>
      </c>
      <c r="AU253" s="4">
        <f>IF(OR($B253="",L253=""),"",--(L253=$B253))</f>
        <v/>
      </c>
      <c r="AV253" s="4">
        <f>IF(OR($B253="",L253=""),"",IF($B253=1,--(L253=1),""))</f>
        <v/>
      </c>
      <c r="AW253" s="4">
        <f>IF(OR($B253="",L253=""),"",IF($B253=0,--(L253=0),""))</f>
        <v/>
      </c>
      <c r="AX253" s="4">
        <f>IF(L253="","",--(L253=1))</f>
        <v/>
      </c>
      <c r="AY253" s="4">
        <f>IF(OR($B253="",M253=""),"",--(M253=$B253))</f>
        <v/>
      </c>
      <c r="AZ253" s="4">
        <f>IF(OR($B253="",M253=""),"",IF($B253=1,--(M253=1),""))</f>
        <v/>
      </c>
      <c r="BA253" s="4">
        <f>IF(OR($B253="",M253=""),"",IF($B253=0,--(M253=0),""))</f>
        <v/>
      </c>
      <c r="BB253" s="4">
        <f>IF(M253="","",--(M253=1))</f>
        <v/>
      </c>
      <c r="BC253" s="4">
        <f>IF(OR($B253="",N253=""),"",--(N253=$B253))</f>
        <v/>
      </c>
      <c r="BD253" s="4">
        <f>IF(OR($B253="",N253=""),"",IF($B253=1,--(N253=1),""))</f>
        <v/>
      </c>
      <c r="BE253" s="4">
        <f>IF(OR($B253="",N253=""),"",IF($B253=0,--(N253=0),""))</f>
        <v/>
      </c>
      <c r="BF253" s="4">
        <f>IF(N253="","",--(N253=1))</f>
        <v/>
      </c>
    </row>
    <row r="254">
      <c r="A254" s="3" t="inlineStr">
        <is>
          <t>202128358</t>
        </is>
      </c>
      <c r="B254" s="3" t="inlineStr">
        <is>
          <t>1</t>
        </is>
      </c>
      <c r="C254" s="3" t="inlineStr">
        <is>
          <t>Direct</t>
        </is>
      </c>
      <c r="D254" s="3" t="inlineStr">
        <is>
          <t>1</t>
        </is>
      </c>
      <c r="E254" s="3" t="inlineStr">
        <is>
          <t>1</t>
        </is>
      </c>
      <c r="F254" s="3" t="inlineStr">
        <is>
          <t>0</t>
        </is>
      </c>
      <c r="G254" s="3" t="inlineStr">
        <is>
          <t>1</t>
        </is>
      </c>
      <c r="H254" s="3" t="inlineStr">
        <is>
          <t>1</t>
        </is>
      </c>
      <c r="I254" s="3" t="inlineStr">
        <is>
          <t>1</t>
        </is>
      </c>
      <c r="J254" s="3" t="inlineStr">
        <is>
          <t>1</t>
        </is>
      </c>
      <c r="K254" s="3" t="inlineStr">
        <is>
          <t>1</t>
        </is>
      </c>
      <c r="L254" s="3" t="inlineStr">
        <is>
          <t>1</t>
        </is>
      </c>
      <c r="M254" s="3" t="inlineStr">
        <is>
          <t>1</t>
        </is>
      </c>
      <c r="N254" s="3" t="inlineStr">
        <is>
          <t>1</t>
        </is>
      </c>
      <c r="O254" s="4">
        <f>IF(OR($B254="",D254=""),"",--(D254=$B254))</f>
        <v/>
      </c>
      <c r="P254" s="4">
        <f>IF(OR($B254="",D254=""),"",IF($B254=1,--(D254=1),""))</f>
        <v/>
      </c>
      <c r="Q254" s="4">
        <f>IF(OR($B254="",D254=""),"",IF($B254=0,--(D254=0),""))</f>
        <v/>
      </c>
      <c r="R254" s="4">
        <f>IF(D254="","",--(D254=1))</f>
        <v/>
      </c>
      <c r="S254" s="4">
        <f>IF(OR($B254="",E254=""),"",--(E254=$B254))</f>
        <v/>
      </c>
      <c r="T254" s="4">
        <f>IF(OR($B254="",E254=""),"",IF($B254=1,--(E254=1),""))</f>
        <v/>
      </c>
      <c r="U254" s="4">
        <f>IF(OR($B254="",E254=""),"",IF($B254=0,--(E254=0),""))</f>
        <v/>
      </c>
      <c r="V254" s="4">
        <f>IF(E254="","",--(E254=1))</f>
        <v/>
      </c>
      <c r="W254" s="4">
        <f>IF(OR($B254="",F254=""),"",--(F254=$B254))</f>
        <v/>
      </c>
      <c r="X254" s="4">
        <f>IF(OR($B254="",F254=""),"",IF($B254=1,--(F254=1),""))</f>
        <v/>
      </c>
      <c r="Y254" s="4">
        <f>IF(OR($B254="",F254=""),"",IF($B254=0,--(F254=0),""))</f>
        <v/>
      </c>
      <c r="Z254" s="4">
        <f>IF(F254="","",--(F254=1))</f>
        <v/>
      </c>
      <c r="AA254" s="4">
        <f>IF(OR($B254="",G254=""),"",--(G254=$B254))</f>
        <v/>
      </c>
      <c r="AB254" s="4">
        <f>IF(OR($B254="",G254=""),"",IF($B254=1,--(G254=1),""))</f>
        <v/>
      </c>
      <c r="AC254" s="4">
        <f>IF(OR($B254="",G254=""),"",IF($B254=0,--(G254=0),""))</f>
        <v/>
      </c>
      <c r="AD254" s="4">
        <f>IF(G254="","",--(G254=1))</f>
        <v/>
      </c>
      <c r="AE254" s="4">
        <f>IF(OR($B254="",H254=""),"",--(H254=$B254))</f>
        <v/>
      </c>
      <c r="AF254" s="4">
        <f>IF(OR($B254="",H254=""),"",IF($B254=1,--(H254=1),""))</f>
        <v/>
      </c>
      <c r="AG254" s="4">
        <f>IF(OR($B254="",H254=""),"",IF($B254=0,--(H254=0),""))</f>
        <v/>
      </c>
      <c r="AH254" s="4">
        <f>IF(H254="","",--(H254=1))</f>
        <v/>
      </c>
      <c r="AI254" s="4">
        <f>IF(OR($B254="",I254=""),"",--(I254=$B254))</f>
        <v/>
      </c>
      <c r="AJ254" s="4">
        <f>IF(OR($B254="",I254=""),"",IF($B254=1,--(I254=1),""))</f>
        <v/>
      </c>
      <c r="AK254" s="4">
        <f>IF(OR($B254="",I254=""),"",IF($B254=0,--(I254=0),""))</f>
        <v/>
      </c>
      <c r="AL254" s="4">
        <f>IF(I254="","",--(I254=1))</f>
        <v/>
      </c>
      <c r="AM254" s="4">
        <f>IF(OR($B254="",J254=""),"",--(J254=$B254))</f>
        <v/>
      </c>
      <c r="AN254" s="4">
        <f>IF(OR($B254="",J254=""),"",IF($B254=1,--(J254=1),""))</f>
        <v/>
      </c>
      <c r="AO254" s="4">
        <f>IF(OR($B254="",J254=""),"",IF($B254=0,--(J254=0),""))</f>
        <v/>
      </c>
      <c r="AP254" s="4">
        <f>IF(J254="","",--(J254=1))</f>
        <v/>
      </c>
      <c r="AQ254" s="4">
        <f>IF(OR($B254="",K254=""),"",--(K254=$B254))</f>
        <v/>
      </c>
      <c r="AR254" s="4">
        <f>IF(OR($B254="",K254=""),"",IF($B254=1,--(K254=1),""))</f>
        <v/>
      </c>
      <c r="AS254" s="4">
        <f>IF(OR($B254="",K254=""),"",IF($B254=0,--(K254=0),""))</f>
        <v/>
      </c>
      <c r="AT254" s="4">
        <f>IF(K254="","",--(K254=1))</f>
        <v/>
      </c>
      <c r="AU254" s="4">
        <f>IF(OR($B254="",L254=""),"",--(L254=$B254))</f>
        <v/>
      </c>
      <c r="AV254" s="4">
        <f>IF(OR($B254="",L254=""),"",IF($B254=1,--(L254=1),""))</f>
        <v/>
      </c>
      <c r="AW254" s="4">
        <f>IF(OR($B254="",L254=""),"",IF($B254=0,--(L254=0),""))</f>
        <v/>
      </c>
      <c r="AX254" s="4">
        <f>IF(L254="","",--(L254=1))</f>
        <v/>
      </c>
      <c r="AY254" s="4">
        <f>IF(OR($B254="",M254=""),"",--(M254=$B254))</f>
        <v/>
      </c>
      <c r="AZ254" s="4">
        <f>IF(OR($B254="",M254=""),"",IF($B254=1,--(M254=1),""))</f>
        <v/>
      </c>
      <c r="BA254" s="4">
        <f>IF(OR($B254="",M254=""),"",IF($B254=0,--(M254=0),""))</f>
        <v/>
      </c>
      <c r="BB254" s="4">
        <f>IF(M254="","",--(M254=1))</f>
        <v/>
      </c>
      <c r="BC254" s="4">
        <f>IF(OR($B254="",N254=""),"",--(N254=$B254))</f>
        <v/>
      </c>
      <c r="BD254" s="4">
        <f>IF(OR($B254="",N254=""),"",IF($B254=1,--(N254=1),""))</f>
        <v/>
      </c>
      <c r="BE254" s="4">
        <f>IF(OR($B254="",N254=""),"",IF($B254=0,--(N254=0),""))</f>
        <v/>
      </c>
      <c r="BF254" s="4">
        <f>IF(N254="","",--(N254=1))</f>
        <v/>
      </c>
    </row>
    <row r="255">
      <c r="A255" s="3" t="inlineStr">
        <is>
          <t>202128410</t>
        </is>
      </c>
      <c r="B255" s="3" t="inlineStr">
        <is>
          <t>0</t>
        </is>
      </c>
      <c r="C255" s="3" t="inlineStr">
        <is>
          <t>RQ</t>
        </is>
      </c>
      <c r="D255" s="3" t="inlineStr">
        <is>
          <t>0</t>
        </is>
      </c>
      <c r="E255" s="3" t="inlineStr">
        <is>
          <t>0</t>
        </is>
      </c>
      <c r="F255" s="3" t="inlineStr">
        <is>
          <t>0</t>
        </is>
      </c>
      <c r="G255" s="3" t="inlineStr">
        <is>
          <t>0</t>
        </is>
      </c>
      <c r="H255" s="3" t="inlineStr">
        <is>
          <t>0</t>
        </is>
      </c>
      <c r="I255" s="3" t="inlineStr">
        <is>
          <t>0</t>
        </is>
      </c>
      <c r="J255" s="3" t="inlineStr">
        <is>
          <t>0</t>
        </is>
      </c>
      <c r="K255" s="3" t="inlineStr">
        <is>
          <t>0</t>
        </is>
      </c>
      <c r="L255" s="3" t="inlineStr">
        <is>
          <t>0</t>
        </is>
      </c>
      <c r="M255" s="3" t="inlineStr">
        <is>
          <t>0</t>
        </is>
      </c>
      <c r="N255" s="3" t="inlineStr">
        <is>
          <t>0</t>
        </is>
      </c>
      <c r="O255" s="4">
        <f>IF(OR($B255="",D255=""),"",--(D255=$B255))</f>
        <v/>
      </c>
      <c r="P255" s="4">
        <f>IF(OR($B255="",D255=""),"",IF($B255=1,--(D255=1),""))</f>
        <v/>
      </c>
      <c r="Q255" s="4">
        <f>IF(OR($B255="",D255=""),"",IF($B255=0,--(D255=0),""))</f>
        <v/>
      </c>
      <c r="R255" s="4">
        <f>IF(D255="","",--(D255=1))</f>
        <v/>
      </c>
      <c r="S255" s="4">
        <f>IF(OR($B255="",E255=""),"",--(E255=$B255))</f>
        <v/>
      </c>
      <c r="T255" s="4">
        <f>IF(OR($B255="",E255=""),"",IF($B255=1,--(E255=1),""))</f>
        <v/>
      </c>
      <c r="U255" s="4">
        <f>IF(OR($B255="",E255=""),"",IF($B255=0,--(E255=0),""))</f>
        <v/>
      </c>
      <c r="V255" s="4">
        <f>IF(E255="","",--(E255=1))</f>
        <v/>
      </c>
      <c r="W255" s="4">
        <f>IF(OR($B255="",F255=""),"",--(F255=$B255))</f>
        <v/>
      </c>
      <c r="X255" s="4">
        <f>IF(OR($B255="",F255=""),"",IF($B255=1,--(F255=1),""))</f>
        <v/>
      </c>
      <c r="Y255" s="4">
        <f>IF(OR($B255="",F255=""),"",IF($B255=0,--(F255=0),""))</f>
        <v/>
      </c>
      <c r="Z255" s="4">
        <f>IF(F255="","",--(F255=1))</f>
        <v/>
      </c>
      <c r="AA255" s="4">
        <f>IF(OR($B255="",G255=""),"",--(G255=$B255))</f>
        <v/>
      </c>
      <c r="AB255" s="4">
        <f>IF(OR($B255="",G255=""),"",IF($B255=1,--(G255=1),""))</f>
        <v/>
      </c>
      <c r="AC255" s="4">
        <f>IF(OR($B255="",G255=""),"",IF($B255=0,--(G255=0),""))</f>
        <v/>
      </c>
      <c r="AD255" s="4">
        <f>IF(G255="","",--(G255=1))</f>
        <v/>
      </c>
      <c r="AE255" s="4">
        <f>IF(OR($B255="",H255=""),"",--(H255=$B255))</f>
        <v/>
      </c>
      <c r="AF255" s="4">
        <f>IF(OR($B255="",H255=""),"",IF($B255=1,--(H255=1),""))</f>
        <v/>
      </c>
      <c r="AG255" s="4">
        <f>IF(OR($B255="",H255=""),"",IF($B255=0,--(H255=0),""))</f>
        <v/>
      </c>
      <c r="AH255" s="4">
        <f>IF(H255="","",--(H255=1))</f>
        <v/>
      </c>
      <c r="AI255" s="4">
        <f>IF(OR($B255="",I255=""),"",--(I255=$B255))</f>
        <v/>
      </c>
      <c r="AJ255" s="4">
        <f>IF(OR($B255="",I255=""),"",IF($B255=1,--(I255=1),""))</f>
        <v/>
      </c>
      <c r="AK255" s="4">
        <f>IF(OR($B255="",I255=""),"",IF($B255=0,--(I255=0),""))</f>
        <v/>
      </c>
      <c r="AL255" s="4">
        <f>IF(I255="","",--(I255=1))</f>
        <v/>
      </c>
      <c r="AM255" s="4">
        <f>IF(OR($B255="",J255=""),"",--(J255=$B255))</f>
        <v/>
      </c>
      <c r="AN255" s="4">
        <f>IF(OR($B255="",J255=""),"",IF($B255=1,--(J255=1),""))</f>
        <v/>
      </c>
      <c r="AO255" s="4">
        <f>IF(OR($B255="",J255=""),"",IF($B255=0,--(J255=0),""))</f>
        <v/>
      </c>
      <c r="AP255" s="4">
        <f>IF(J255="","",--(J255=1))</f>
        <v/>
      </c>
      <c r="AQ255" s="4">
        <f>IF(OR($B255="",K255=""),"",--(K255=$B255))</f>
        <v/>
      </c>
      <c r="AR255" s="4">
        <f>IF(OR($B255="",K255=""),"",IF($B255=1,--(K255=1),""))</f>
        <v/>
      </c>
      <c r="AS255" s="4">
        <f>IF(OR($B255="",K255=""),"",IF($B255=0,--(K255=0),""))</f>
        <v/>
      </c>
      <c r="AT255" s="4">
        <f>IF(K255="","",--(K255=1))</f>
        <v/>
      </c>
      <c r="AU255" s="4">
        <f>IF(OR($B255="",L255=""),"",--(L255=$B255))</f>
        <v/>
      </c>
      <c r="AV255" s="4">
        <f>IF(OR($B255="",L255=""),"",IF($B255=1,--(L255=1),""))</f>
        <v/>
      </c>
      <c r="AW255" s="4">
        <f>IF(OR($B255="",L255=""),"",IF($B255=0,--(L255=0),""))</f>
        <v/>
      </c>
      <c r="AX255" s="4">
        <f>IF(L255="","",--(L255=1))</f>
        <v/>
      </c>
      <c r="AY255" s="4">
        <f>IF(OR($B255="",M255=""),"",--(M255=$B255))</f>
        <v/>
      </c>
      <c r="AZ255" s="4">
        <f>IF(OR($B255="",M255=""),"",IF($B255=1,--(M255=1),""))</f>
        <v/>
      </c>
      <c r="BA255" s="4">
        <f>IF(OR($B255="",M255=""),"",IF($B255=0,--(M255=0),""))</f>
        <v/>
      </c>
      <c r="BB255" s="4">
        <f>IF(M255="","",--(M255=1))</f>
        <v/>
      </c>
      <c r="BC255" s="4">
        <f>IF(OR($B255="",N255=""),"",--(N255=$B255))</f>
        <v/>
      </c>
      <c r="BD255" s="4">
        <f>IF(OR($B255="",N255=""),"",IF($B255=1,--(N255=1),""))</f>
        <v/>
      </c>
      <c r="BE255" s="4">
        <f>IF(OR($B255="",N255=""),"",IF($B255=0,--(N255=0),""))</f>
        <v/>
      </c>
      <c r="BF255" s="4">
        <f>IF(N255="","",--(N255=1))</f>
        <v/>
      </c>
    </row>
    <row r="256">
      <c r="A256" s="3" t="inlineStr">
        <is>
          <t>202128430</t>
        </is>
      </c>
      <c r="B256" s="3" t="inlineStr">
        <is>
          <t>1</t>
        </is>
      </c>
      <c r="C256" s="3" t="inlineStr">
        <is>
          <t>Direct</t>
        </is>
      </c>
      <c r="D256" s="3" t="inlineStr">
        <is>
          <t>1</t>
        </is>
      </c>
      <c r="E256" s="3" t="inlineStr">
        <is>
          <t>1</t>
        </is>
      </c>
      <c r="F256" s="3" t="inlineStr">
        <is>
          <t>0</t>
        </is>
      </c>
      <c r="G256" s="3" t="inlineStr">
        <is>
          <t>0</t>
        </is>
      </c>
      <c r="H256" s="3" t="inlineStr">
        <is>
          <t>1</t>
        </is>
      </c>
      <c r="I256" s="3" t="inlineStr">
        <is>
          <t>1</t>
        </is>
      </c>
      <c r="J256" s="3" t="inlineStr">
        <is>
          <t>0</t>
        </is>
      </c>
      <c r="K256" s="3" t="inlineStr">
        <is>
          <t>0</t>
        </is>
      </c>
      <c r="L256" s="3" t="inlineStr">
        <is>
          <t>1</t>
        </is>
      </c>
      <c r="M256" s="3" t="inlineStr">
        <is>
          <t>1</t>
        </is>
      </c>
      <c r="N256" s="3" t="inlineStr">
        <is>
          <t>1</t>
        </is>
      </c>
      <c r="O256" s="4">
        <f>IF(OR($B256="",D256=""),"",--(D256=$B256))</f>
        <v/>
      </c>
      <c r="P256" s="4">
        <f>IF(OR($B256="",D256=""),"",IF($B256=1,--(D256=1),""))</f>
        <v/>
      </c>
      <c r="Q256" s="4">
        <f>IF(OR($B256="",D256=""),"",IF($B256=0,--(D256=0),""))</f>
        <v/>
      </c>
      <c r="R256" s="4">
        <f>IF(D256="","",--(D256=1))</f>
        <v/>
      </c>
      <c r="S256" s="4">
        <f>IF(OR($B256="",E256=""),"",--(E256=$B256))</f>
        <v/>
      </c>
      <c r="T256" s="4">
        <f>IF(OR($B256="",E256=""),"",IF($B256=1,--(E256=1),""))</f>
        <v/>
      </c>
      <c r="U256" s="4">
        <f>IF(OR($B256="",E256=""),"",IF($B256=0,--(E256=0),""))</f>
        <v/>
      </c>
      <c r="V256" s="4">
        <f>IF(E256="","",--(E256=1))</f>
        <v/>
      </c>
      <c r="W256" s="4">
        <f>IF(OR($B256="",F256=""),"",--(F256=$B256))</f>
        <v/>
      </c>
      <c r="X256" s="4">
        <f>IF(OR($B256="",F256=""),"",IF($B256=1,--(F256=1),""))</f>
        <v/>
      </c>
      <c r="Y256" s="4">
        <f>IF(OR($B256="",F256=""),"",IF($B256=0,--(F256=0),""))</f>
        <v/>
      </c>
      <c r="Z256" s="4">
        <f>IF(F256="","",--(F256=1))</f>
        <v/>
      </c>
      <c r="AA256" s="4">
        <f>IF(OR($B256="",G256=""),"",--(G256=$B256))</f>
        <v/>
      </c>
      <c r="AB256" s="4">
        <f>IF(OR($B256="",G256=""),"",IF($B256=1,--(G256=1),""))</f>
        <v/>
      </c>
      <c r="AC256" s="4">
        <f>IF(OR($B256="",G256=""),"",IF($B256=0,--(G256=0),""))</f>
        <v/>
      </c>
      <c r="AD256" s="4">
        <f>IF(G256="","",--(G256=1))</f>
        <v/>
      </c>
      <c r="AE256" s="4">
        <f>IF(OR($B256="",H256=""),"",--(H256=$B256))</f>
        <v/>
      </c>
      <c r="AF256" s="4">
        <f>IF(OR($B256="",H256=""),"",IF($B256=1,--(H256=1),""))</f>
        <v/>
      </c>
      <c r="AG256" s="4">
        <f>IF(OR($B256="",H256=""),"",IF($B256=0,--(H256=0),""))</f>
        <v/>
      </c>
      <c r="AH256" s="4">
        <f>IF(H256="","",--(H256=1))</f>
        <v/>
      </c>
      <c r="AI256" s="4">
        <f>IF(OR($B256="",I256=""),"",--(I256=$B256))</f>
        <v/>
      </c>
      <c r="AJ256" s="4">
        <f>IF(OR($B256="",I256=""),"",IF($B256=1,--(I256=1),""))</f>
        <v/>
      </c>
      <c r="AK256" s="4">
        <f>IF(OR($B256="",I256=""),"",IF($B256=0,--(I256=0),""))</f>
        <v/>
      </c>
      <c r="AL256" s="4">
        <f>IF(I256="","",--(I256=1))</f>
        <v/>
      </c>
      <c r="AM256" s="4">
        <f>IF(OR($B256="",J256=""),"",--(J256=$B256))</f>
        <v/>
      </c>
      <c r="AN256" s="4">
        <f>IF(OR($B256="",J256=""),"",IF($B256=1,--(J256=1),""))</f>
        <v/>
      </c>
      <c r="AO256" s="4">
        <f>IF(OR($B256="",J256=""),"",IF($B256=0,--(J256=0),""))</f>
        <v/>
      </c>
      <c r="AP256" s="4">
        <f>IF(J256="","",--(J256=1))</f>
        <v/>
      </c>
      <c r="AQ256" s="4">
        <f>IF(OR($B256="",K256=""),"",--(K256=$B256))</f>
        <v/>
      </c>
      <c r="AR256" s="4">
        <f>IF(OR($B256="",K256=""),"",IF($B256=1,--(K256=1),""))</f>
        <v/>
      </c>
      <c r="AS256" s="4">
        <f>IF(OR($B256="",K256=""),"",IF($B256=0,--(K256=0),""))</f>
        <v/>
      </c>
      <c r="AT256" s="4">
        <f>IF(K256="","",--(K256=1))</f>
        <v/>
      </c>
      <c r="AU256" s="4">
        <f>IF(OR($B256="",L256=""),"",--(L256=$B256))</f>
        <v/>
      </c>
      <c r="AV256" s="4">
        <f>IF(OR($B256="",L256=""),"",IF($B256=1,--(L256=1),""))</f>
        <v/>
      </c>
      <c r="AW256" s="4">
        <f>IF(OR($B256="",L256=""),"",IF($B256=0,--(L256=0),""))</f>
        <v/>
      </c>
      <c r="AX256" s="4">
        <f>IF(L256="","",--(L256=1))</f>
        <v/>
      </c>
      <c r="AY256" s="4">
        <f>IF(OR($B256="",M256=""),"",--(M256=$B256))</f>
        <v/>
      </c>
      <c r="AZ256" s="4">
        <f>IF(OR($B256="",M256=""),"",IF($B256=1,--(M256=1),""))</f>
        <v/>
      </c>
      <c r="BA256" s="4">
        <f>IF(OR($B256="",M256=""),"",IF($B256=0,--(M256=0),""))</f>
        <v/>
      </c>
      <c r="BB256" s="4">
        <f>IF(M256="","",--(M256=1))</f>
        <v/>
      </c>
      <c r="BC256" s="4">
        <f>IF(OR($B256="",N256=""),"",--(N256=$B256))</f>
        <v/>
      </c>
      <c r="BD256" s="4">
        <f>IF(OR($B256="",N256=""),"",IF($B256=1,--(N256=1),""))</f>
        <v/>
      </c>
      <c r="BE256" s="4">
        <f>IF(OR($B256="",N256=""),"",IF($B256=0,--(N256=0),""))</f>
        <v/>
      </c>
      <c r="BF256" s="4">
        <f>IF(N256="","",--(N256=1))</f>
        <v/>
      </c>
    </row>
    <row r="257">
      <c r="A257" s="3" t="inlineStr">
        <is>
          <t>202128432</t>
        </is>
      </c>
      <c r="B257" s="3" t="inlineStr">
        <is>
          <t>1</t>
        </is>
      </c>
      <c r="C257" s="3" t="inlineStr">
        <is>
          <t>Direct</t>
        </is>
      </c>
      <c r="D257" s="3" t="inlineStr">
        <is>
          <t>1</t>
        </is>
      </c>
      <c r="E257" s="3" t="inlineStr">
        <is>
          <t>1</t>
        </is>
      </c>
      <c r="F257" s="3" t="inlineStr">
        <is>
          <t>0</t>
        </is>
      </c>
      <c r="G257" s="3" t="inlineStr">
        <is>
          <t>0</t>
        </is>
      </c>
      <c r="H257" s="3" t="inlineStr">
        <is>
          <t>0</t>
        </is>
      </c>
      <c r="I257" s="3" t="inlineStr">
        <is>
          <t>1</t>
        </is>
      </c>
      <c r="J257" s="3" t="inlineStr">
        <is>
          <t>0</t>
        </is>
      </c>
      <c r="K257" s="3" t="inlineStr">
        <is>
          <t>1</t>
        </is>
      </c>
      <c r="L257" s="3" t="inlineStr">
        <is>
          <t>1</t>
        </is>
      </c>
      <c r="M257" s="3" t="inlineStr">
        <is>
          <t>1</t>
        </is>
      </c>
      <c r="N257" s="3" t="inlineStr">
        <is>
          <t>1</t>
        </is>
      </c>
      <c r="O257" s="4">
        <f>IF(OR($B257="",D257=""),"",--(D257=$B257))</f>
        <v/>
      </c>
      <c r="P257" s="4">
        <f>IF(OR($B257="",D257=""),"",IF($B257=1,--(D257=1),""))</f>
        <v/>
      </c>
      <c r="Q257" s="4">
        <f>IF(OR($B257="",D257=""),"",IF($B257=0,--(D257=0),""))</f>
        <v/>
      </c>
      <c r="R257" s="4">
        <f>IF(D257="","",--(D257=1))</f>
        <v/>
      </c>
      <c r="S257" s="4">
        <f>IF(OR($B257="",E257=""),"",--(E257=$B257))</f>
        <v/>
      </c>
      <c r="T257" s="4">
        <f>IF(OR($B257="",E257=""),"",IF($B257=1,--(E257=1),""))</f>
        <v/>
      </c>
      <c r="U257" s="4">
        <f>IF(OR($B257="",E257=""),"",IF($B257=0,--(E257=0),""))</f>
        <v/>
      </c>
      <c r="V257" s="4">
        <f>IF(E257="","",--(E257=1))</f>
        <v/>
      </c>
      <c r="W257" s="4">
        <f>IF(OR($B257="",F257=""),"",--(F257=$B257))</f>
        <v/>
      </c>
      <c r="X257" s="4">
        <f>IF(OR($B257="",F257=""),"",IF($B257=1,--(F257=1),""))</f>
        <v/>
      </c>
      <c r="Y257" s="4">
        <f>IF(OR($B257="",F257=""),"",IF($B257=0,--(F257=0),""))</f>
        <v/>
      </c>
      <c r="Z257" s="4">
        <f>IF(F257="","",--(F257=1))</f>
        <v/>
      </c>
      <c r="AA257" s="4">
        <f>IF(OR($B257="",G257=""),"",--(G257=$B257))</f>
        <v/>
      </c>
      <c r="AB257" s="4">
        <f>IF(OR($B257="",G257=""),"",IF($B257=1,--(G257=1),""))</f>
        <v/>
      </c>
      <c r="AC257" s="4">
        <f>IF(OR($B257="",G257=""),"",IF($B257=0,--(G257=0),""))</f>
        <v/>
      </c>
      <c r="AD257" s="4">
        <f>IF(G257="","",--(G257=1))</f>
        <v/>
      </c>
      <c r="AE257" s="4">
        <f>IF(OR($B257="",H257=""),"",--(H257=$B257))</f>
        <v/>
      </c>
      <c r="AF257" s="4">
        <f>IF(OR($B257="",H257=""),"",IF($B257=1,--(H257=1),""))</f>
        <v/>
      </c>
      <c r="AG257" s="4">
        <f>IF(OR($B257="",H257=""),"",IF($B257=0,--(H257=0),""))</f>
        <v/>
      </c>
      <c r="AH257" s="4">
        <f>IF(H257="","",--(H257=1))</f>
        <v/>
      </c>
      <c r="AI257" s="4">
        <f>IF(OR($B257="",I257=""),"",--(I257=$B257))</f>
        <v/>
      </c>
      <c r="AJ257" s="4">
        <f>IF(OR($B257="",I257=""),"",IF($B257=1,--(I257=1),""))</f>
        <v/>
      </c>
      <c r="AK257" s="4">
        <f>IF(OR($B257="",I257=""),"",IF($B257=0,--(I257=0),""))</f>
        <v/>
      </c>
      <c r="AL257" s="4">
        <f>IF(I257="","",--(I257=1))</f>
        <v/>
      </c>
      <c r="AM257" s="4">
        <f>IF(OR($B257="",J257=""),"",--(J257=$B257))</f>
        <v/>
      </c>
      <c r="AN257" s="4">
        <f>IF(OR($B257="",J257=""),"",IF($B257=1,--(J257=1),""))</f>
        <v/>
      </c>
      <c r="AO257" s="4">
        <f>IF(OR($B257="",J257=""),"",IF($B257=0,--(J257=0),""))</f>
        <v/>
      </c>
      <c r="AP257" s="4">
        <f>IF(J257="","",--(J257=1))</f>
        <v/>
      </c>
      <c r="AQ257" s="4">
        <f>IF(OR($B257="",K257=""),"",--(K257=$B257))</f>
        <v/>
      </c>
      <c r="AR257" s="4">
        <f>IF(OR($B257="",K257=""),"",IF($B257=1,--(K257=1),""))</f>
        <v/>
      </c>
      <c r="AS257" s="4">
        <f>IF(OR($B257="",K257=""),"",IF($B257=0,--(K257=0),""))</f>
        <v/>
      </c>
      <c r="AT257" s="4">
        <f>IF(K257="","",--(K257=1))</f>
        <v/>
      </c>
      <c r="AU257" s="4">
        <f>IF(OR($B257="",L257=""),"",--(L257=$B257))</f>
        <v/>
      </c>
      <c r="AV257" s="4">
        <f>IF(OR($B257="",L257=""),"",IF($B257=1,--(L257=1),""))</f>
        <v/>
      </c>
      <c r="AW257" s="4">
        <f>IF(OR($B257="",L257=""),"",IF($B257=0,--(L257=0),""))</f>
        <v/>
      </c>
      <c r="AX257" s="4">
        <f>IF(L257="","",--(L257=1))</f>
        <v/>
      </c>
      <c r="AY257" s="4">
        <f>IF(OR($B257="",M257=""),"",--(M257=$B257))</f>
        <v/>
      </c>
      <c r="AZ257" s="4">
        <f>IF(OR($B257="",M257=""),"",IF($B257=1,--(M257=1),""))</f>
        <v/>
      </c>
      <c r="BA257" s="4">
        <f>IF(OR($B257="",M257=""),"",IF($B257=0,--(M257=0),""))</f>
        <v/>
      </c>
      <c r="BB257" s="4">
        <f>IF(M257="","",--(M257=1))</f>
        <v/>
      </c>
      <c r="BC257" s="4">
        <f>IF(OR($B257="",N257=""),"",--(N257=$B257))</f>
        <v/>
      </c>
      <c r="BD257" s="4">
        <f>IF(OR($B257="",N257=""),"",IF($B257=1,--(N257=1),""))</f>
        <v/>
      </c>
      <c r="BE257" s="4">
        <f>IF(OR($B257="",N257=""),"",IF($B257=0,--(N257=0),""))</f>
        <v/>
      </c>
      <c r="BF257" s="4">
        <f>IF(N257="","",--(N257=1))</f>
        <v/>
      </c>
    </row>
    <row r="258">
      <c r="A258" s="3" t="inlineStr">
        <is>
          <t>202128682</t>
        </is>
      </c>
      <c r="B258" s="3" t="inlineStr">
        <is>
          <t>1</t>
        </is>
      </c>
      <c r="C258" s="3" t="inlineStr">
        <is>
          <t>Direct</t>
        </is>
      </c>
      <c r="D258" s="3" t="inlineStr">
        <is>
          <t>1</t>
        </is>
      </c>
      <c r="E258" s="3" t="inlineStr">
        <is>
          <t>0</t>
        </is>
      </c>
      <c r="F258" s="3" t="inlineStr">
        <is>
          <t>0</t>
        </is>
      </c>
      <c r="G258" s="3" t="inlineStr">
        <is>
          <t>0</t>
        </is>
      </c>
      <c r="H258" s="3" t="inlineStr">
        <is>
          <t>0</t>
        </is>
      </c>
      <c r="I258" s="3" t="inlineStr">
        <is>
          <t>1</t>
        </is>
      </c>
      <c r="J258" s="3" t="inlineStr">
        <is>
          <t>1</t>
        </is>
      </c>
      <c r="K258" s="3" t="inlineStr">
        <is>
          <t>1</t>
        </is>
      </c>
      <c r="L258" s="3" t="inlineStr">
        <is>
          <t>1</t>
        </is>
      </c>
      <c r="M258" s="3" t="inlineStr">
        <is>
          <t>1</t>
        </is>
      </c>
      <c r="N258" s="3" t="inlineStr">
        <is>
          <t>1</t>
        </is>
      </c>
      <c r="O258" s="4">
        <f>IF(OR($B258="",D258=""),"",--(D258=$B258))</f>
        <v/>
      </c>
      <c r="P258" s="4">
        <f>IF(OR($B258="",D258=""),"",IF($B258=1,--(D258=1),""))</f>
        <v/>
      </c>
      <c r="Q258" s="4">
        <f>IF(OR($B258="",D258=""),"",IF($B258=0,--(D258=0),""))</f>
        <v/>
      </c>
      <c r="R258" s="4">
        <f>IF(D258="","",--(D258=1))</f>
        <v/>
      </c>
      <c r="S258" s="4">
        <f>IF(OR($B258="",E258=""),"",--(E258=$B258))</f>
        <v/>
      </c>
      <c r="T258" s="4">
        <f>IF(OR($B258="",E258=""),"",IF($B258=1,--(E258=1),""))</f>
        <v/>
      </c>
      <c r="U258" s="4">
        <f>IF(OR($B258="",E258=""),"",IF($B258=0,--(E258=0),""))</f>
        <v/>
      </c>
      <c r="V258" s="4">
        <f>IF(E258="","",--(E258=1))</f>
        <v/>
      </c>
      <c r="W258" s="4">
        <f>IF(OR($B258="",F258=""),"",--(F258=$B258))</f>
        <v/>
      </c>
      <c r="X258" s="4">
        <f>IF(OR($B258="",F258=""),"",IF($B258=1,--(F258=1),""))</f>
        <v/>
      </c>
      <c r="Y258" s="4">
        <f>IF(OR($B258="",F258=""),"",IF($B258=0,--(F258=0),""))</f>
        <v/>
      </c>
      <c r="Z258" s="4">
        <f>IF(F258="","",--(F258=1))</f>
        <v/>
      </c>
      <c r="AA258" s="4">
        <f>IF(OR($B258="",G258=""),"",--(G258=$B258))</f>
        <v/>
      </c>
      <c r="AB258" s="4">
        <f>IF(OR($B258="",G258=""),"",IF($B258=1,--(G258=1),""))</f>
        <v/>
      </c>
      <c r="AC258" s="4">
        <f>IF(OR($B258="",G258=""),"",IF($B258=0,--(G258=0),""))</f>
        <v/>
      </c>
      <c r="AD258" s="4">
        <f>IF(G258="","",--(G258=1))</f>
        <v/>
      </c>
      <c r="AE258" s="4">
        <f>IF(OR($B258="",H258=""),"",--(H258=$B258))</f>
        <v/>
      </c>
      <c r="AF258" s="4">
        <f>IF(OR($B258="",H258=""),"",IF($B258=1,--(H258=1),""))</f>
        <v/>
      </c>
      <c r="AG258" s="4">
        <f>IF(OR($B258="",H258=""),"",IF($B258=0,--(H258=0),""))</f>
        <v/>
      </c>
      <c r="AH258" s="4">
        <f>IF(H258="","",--(H258=1))</f>
        <v/>
      </c>
      <c r="AI258" s="4">
        <f>IF(OR($B258="",I258=""),"",--(I258=$B258))</f>
        <v/>
      </c>
      <c r="AJ258" s="4">
        <f>IF(OR($B258="",I258=""),"",IF($B258=1,--(I258=1),""))</f>
        <v/>
      </c>
      <c r="AK258" s="4">
        <f>IF(OR($B258="",I258=""),"",IF($B258=0,--(I258=0),""))</f>
        <v/>
      </c>
      <c r="AL258" s="4">
        <f>IF(I258="","",--(I258=1))</f>
        <v/>
      </c>
      <c r="AM258" s="4">
        <f>IF(OR($B258="",J258=""),"",--(J258=$B258))</f>
        <v/>
      </c>
      <c r="AN258" s="4">
        <f>IF(OR($B258="",J258=""),"",IF($B258=1,--(J258=1),""))</f>
        <v/>
      </c>
      <c r="AO258" s="4">
        <f>IF(OR($B258="",J258=""),"",IF($B258=0,--(J258=0),""))</f>
        <v/>
      </c>
      <c r="AP258" s="4">
        <f>IF(J258="","",--(J258=1))</f>
        <v/>
      </c>
      <c r="AQ258" s="4">
        <f>IF(OR($B258="",K258=""),"",--(K258=$B258))</f>
        <v/>
      </c>
      <c r="AR258" s="4">
        <f>IF(OR($B258="",K258=""),"",IF($B258=1,--(K258=1),""))</f>
        <v/>
      </c>
      <c r="AS258" s="4">
        <f>IF(OR($B258="",K258=""),"",IF($B258=0,--(K258=0),""))</f>
        <v/>
      </c>
      <c r="AT258" s="4">
        <f>IF(K258="","",--(K258=1))</f>
        <v/>
      </c>
      <c r="AU258" s="4">
        <f>IF(OR($B258="",L258=""),"",--(L258=$B258))</f>
        <v/>
      </c>
      <c r="AV258" s="4">
        <f>IF(OR($B258="",L258=""),"",IF($B258=1,--(L258=1),""))</f>
        <v/>
      </c>
      <c r="AW258" s="4">
        <f>IF(OR($B258="",L258=""),"",IF($B258=0,--(L258=0),""))</f>
        <v/>
      </c>
      <c r="AX258" s="4">
        <f>IF(L258="","",--(L258=1))</f>
        <v/>
      </c>
      <c r="AY258" s="4">
        <f>IF(OR($B258="",M258=""),"",--(M258=$B258))</f>
        <v/>
      </c>
      <c r="AZ258" s="4">
        <f>IF(OR($B258="",M258=""),"",IF($B258=1,--(M258=1),""))</f>
        <v/>
      </c>
      <c r="BA258" s="4">
        <f>IF(OR($B258="",M258=""),"",IF($B258=0,--(M258=0),""))</f>
        <v/>
      </c>
      <c r="BB258" s="4">
        <f>IF(M258="","",--(M258=1))</f>
        <v/>
      </c>
      <c r="BC258" s="4">
        <f>IF(OR($B258="",N258=""),"",--(N258=$B258))</f>
        <v/>
      </c>
      <c r="BD258" s="4">
        <f>IF(OR($B258="",N258=""),"",IF($B258=1,--(N258=1),""))</f>
        <v/>
      </c>
      <c r="BE258" s="4">
        <f>IF(OR($B258="",N258=""),"",IF($B258=0,--(N258=0),""))</f>
        <v/>
      </c>
      <c r="BF258" s="4">
        <f>IF(N258="","",--(N258=1))</f>
        <v/>
      </c>
    </row>
    <row r="259">
      <c r="A259" s="3" t="inlineStr">
        <is>
          <t>202129033</t>
        </is>
      </c>
      <c r="B259" s="3" t="inlineStr">
        <is>
          <t>1</t>
        </is>
      </c>
      <c r="C259" s="3" t="inlineStr">
        <is>
          <t>Direct</t>
        </is>
      </c>
      <c r="D259" s="3" t="inlineStr">
        <is>
          <t>1</t>
        </is>
      </c>
      <c r="E259" s="3" t="inlineStr">
        <is>
          <t>1</t>
        </is>
      </c>
      <c r="F259" s="3" t="inlineStr">
        <is>
          <t>0</t>
        </is>
      </c>
      <c r="G259" s="3" t="inlineStr">
        <is>
          <t>0</t>
        </is>
      </c>
      <c r="H259" s="3" t="inlineStr">
        <is>
          <t>0</t>
        </is>
      </c>
      <c r="I259" s="3" t="inlineStr">
        <is>
          <t>1</t>
        </is>
      </c>
      <c r="J259" s="3" t="inlineStr">
        <is>
          <t>1</t>
        </is>
      </c>
      <c r="K259" s="3" t="inlineStr">
        <is>
          <t>1</t>
        </is>
      </c>
      <c r="L259" s="3" t="inlineStr">
        <is>
          <t>0</t>
        </is>
      </c>
      <c r="M259" s="3" t="inlineStr">
        <is>
          <t>1</t>
        </is>
      </c>
      <c r="N259" s="3" t="inlineStr">
        <is>
          <t>1</t>
        </is>
      </c>
      <c r="O259" s="4">
        <f>IF(OR($B259="",D259=""),"",--(D259=$B259))</f>
        <v/>
      </c>
      <c r="P259" s="4">
        <f>IF(OR($B259="",D259=""),"",IF($B259=1,--(D259=1),""))</f>
        <v/>
      </c>
      <c r="Q259" s="4">
        <f>IF(OR($B259="",D259=""),"",IF($B259=0,--(D259=0),""))</f>
        <v/>
      </c>
      <c r="R259" s="4">
        <f>IF(D259="","",--(D259=1))</f>
        <v/>
      </c>
      <c r="S259" s="4">
        <f>IF(OR($B259="",E259=""),"",--(E259=$B259))</f>
        <v/>
      </c>
      <c r="T259" s="4">
        <f>IF(OR($B259="",E259=""),"",IF($B259=1,--(E259=1),""))</f>
        <v/>
      </c>
      <c r="U259" s="4">
        <f>IF(OR($B259="",E259=""),"",IF($B259=0,--(E259=0),""))</f>
        <v/>
      </c>
      <c r="V259" s="4">
        <f>IF(E259="","",--(E259=1))</f>
        <v/>
      </c>
      <c r="W259" s="4">
        <f>IF(OR($B259="",F259=""),"",--(F259=$B259))</f>
        <v/>
      </c>
      <c r="X259" s="4">
        <f>IF(OR($B259="",F259=""),"",IF($B259=1,--(F259=1),""))</f>
        <v/>
      </c>
      <c r="Y259" s="4">
        <f>IF(OR($B259="",F259=""),"",IF($B259=0,--(F259=0),""))</f>
        <v/>
      </c>
      <c r="Z259" s="4">
        <f>IF(F259="","",--(F259=1))</f>
        <v/>
      </c>
      <c r="AA259" s="4">
        <f>IF(OR($B259="",G259=""),"",--(G259=$B259))</f>
        <v/>
      </c>
      <c r="AB259" s="4">
        <f>IF(OR($B259="",G259=""),"",IF($B259=1,--(G259=1),""))</f>
        <v/>
      </c>
      <c r="AC259" s="4">
        <f>IF(OR($B259="",G259=""),"",IF($B259=0,--(G259=0),""))</f>
        <v/>
      </c>
      <c r="AD259" s="4">
        <f>IF(G259="","",--(G259=1))</f>
        <v/>
      </c>
      <c r="AE259" s="4">
        <f>IF(OR($B259="",H259=""),"",--(H259=$B259))</f>
        <v/>
      </c>
      <c r="AF259" s="4">
        <f>IF(OR($B259="",H259=""),"",IF($B259=1,--(H259=1),""))</f>
        <v/>
      </c>
      <c r="AG259" s="4">
        <f>IF(OR($B259="",H259=""),"",IF($B259=0,--(H259=0),""))</f>
        <v/>
      </c>
      <c r="AH259" s="4">
        <f>IF(H259="","",--(H259=1))</f>
        <v/>
      </c>
      <c r="AI259" s="4">
        <f>IF(OR($B259="",I259=""),"",--(I259=$B259))</f>
        <v/>
      </c>
      <c r="AJ259" s="4">
        <f>IF(OR($B259="",I259=""),"",IF($B259=1,--(I259=1),""))</f>
        <v/>
      </c>
      <c r="AK259" s="4">
        <f>IF(OR($B259="",I259=""),"",IF($B259=0,--(I259=0),""))</f>
        <v/>
      </c>
      <c r="AL259" s="4">
        <f>IF(I259="","",--(I259=1))</f>
        <v/>
      </c>
      <c r="AM259" s="4">
        <f>IF(OR($B259="",J259=""),"",--(J259=$B259))</f>
        <v/>
      </c>
      <c r="AN259" s="4">
        <f>IF(OR($B259="",J259=""),"",IF($B259=1,--(J259=1),""))</f>
        <v/>
      </c>
      <c r="AO259" s="4">
        <f>IF(OR($B259="",J259=""),"",IF($B259=0,--(J259=0),""))</f>
        <v/>
      </c>
      <c r="AP259" s="4">
        <f>IF(J259="","",--(J259=1))</f>
        <v/>
      </c>
      <c r="AQ259" s="4">
        <f>IF(OR($B259="",K259=""),"",--(K259=$B259))</f>
        <v/>
      </c>
      <c r="AR259" s="4">
        <f>IF(OR($B259="",K259=""),"",IF($B259=1,--(K259=1),""))</f>
        <v/>
      </c>
      <c r="AS259" s="4">
        <f>IF(OR($B259="",K259=""),"",IF($B259=0,--(K259=0),""))</f>
        <v/>
      </c>
      <c r="AT259" s="4">
        <f>IF(K259="","",--(K259=1))</f>
        <v/>
      </c>
      <c r="AU259" s="4">
        <f>IF(OR($B259="",L259=""),"",--(L259=$B259))</f>
        <v/>
      </c>
      <c r="AV259" s="4">
        <f>IF(OR($B259="",L259=""),"",IF($B259=1,--(L259=1),""))</f>
        <v/>
      </c>
      <c r="AW259" s="4">
        <f>IF(OR($B259="",L259=""),"",IF($B259=0,--(L259=0),""))</f>
        <v/>
      </c>
      <c r="AX259" s="4">
        <f>IF(L259="","",--(L259=1))</f>
        <v/>
      </c>
      <c r="AY259" s="4">
        <f>IF(OR($B259="",M259=""),"",--(M259=$B259))</f>
        <v/>
      </c>
      <c r="AZ259" s="4">
        <f>IF(OR($B259="",M259=""),"",IF($B259=1,--(M259=1),""))</f>
        <v/>
      </c>
      <c r="BA259" s="4">
        <f>IF(OR($B259="",M259=""),"",IF($B259=0,--(M259=0),""))</f>
        <v/>
      </c>
      <c r="BB259" s="4">
        <f>IF(M259="","",--(M259=1))</f>
        <v/>
      </c>
      <c r="BC259" s="4">
        <f>IF(OR($B259="",N259=""),"",--(N259=$B259))</f>
        <v/>
      </c>
      <c r="BD259" s="4">
        <f>IF(OR($B259="",N259=""),"",IF($B259=1,--(N259=1),""))</f>
        <v/>
      </c>
      <c r="BE259" s="4">
        <f>IF(OR($B259="",N259=""),"",IF($B259=0,--(N259=0),""))</f>
        <v/>
      </c>
      <c r="BF259" s="4">
        <f>IF(N259="","",--(N259=1))</f>
        <v/>
      </c>
    </row>
    <row r="260">
      <c r="A260" s="3" t="inlineStr">
        <is>
          <t>202129116</t>
        </is>
      </c>
      <c r="B260" s="3" t="inlineStr">
        <is>
          <t>1</t>
        </is>
      </c>
      <c r="C260" s="3" t="inlineStr">
        <is>
          <t>Direct</t>
        </is>
      </c>
      <c r="D260" s="3" t="inlineStr">
        <is>
          <t>1</t>
        </is>
      </c>
      <c r="E260" s="3" t="inlineStr">
        <is>
          <t>0</t>
        </is>
      </c>
      <c r="F260" s="3" t="inlineStr">
        <is>
          <t>0</t>
        </is>
      </c>
      <c r="G260" s="3" t="inlineStr">
        <is>
          <t>1</t>
        </is>
      </c>
      <c r="H260" s="3" t="inlineStr">
        <is>
          <t>1</t>
        </is>
      </c>
      <c r="I260" s="3" t="inlineStr">
        <is>
          <t>1</t>
        </is>
      </c>
      <c r="J260" s="3" t="inlineStr">
        <is>
          <t>1</t>
        </is>
      </c>
      <c r="K260" s="3" t="inlineStr">
        <is>
          <t>1</t>
        </is>
      </c>
      <c r="L260" s="3" t="inlineStr">
        <is>
          <t>1</t>
        </is>
      </c>
      <c r="M260" s="3" t="inlineStr">
        <is>
          <t>1</t>
        </is>
      </c>
      <c r="N260" s="3" t="inlineStr">
        <is>
          <t>1</t>
        </is>
      </c>
      <c r="O260" s="4">
        <f>IF(OR($B260="",D260=""),"",--(D260=$B260))</f>
        <v/>
      </c>
      <c r="P260" s="4">
        <f>IF(OR($B260="",D260=""),"",IF($B260=1,--(D260=1),""))</f>
        <v/>
      </c>
      <c r="Q260" s="4">
        <f>IF(OR($B260="",D260=""),"",IF($B260=0,--(D260=0),""))</f>
        <v/>
      </c>
      <c r="R260" s="4">
        <f>IF(D260="","",--(D260=1))</f>
        <v/>
      </c>
      <c r="S260" s="4">
        <f>IF(OR($B260="",E260=""),"",--(E260=$B260))</f>
        <v/>
      </c>
      <c r="T260" s="4">
        <f>IF(OR($B260="",E260=""),"",IF($B260=1,--(E260=1),""))</f>
        <v/>
      </c>
      <c r="U260" s="4">
        <f>IF(OR($B260="",E260=""),"",IF($B260=0,--(E260=0),""))</f>
        <v/>
      </c>
      <c r="V260" s="4">
        <f>IF(E260="","",--(E260=1))</f>
        <v/>
      </c>
      <c r="W260" s="4">
        <f>IF(OR($B260="",F260=""),"",--(F260=$B260))</f>
        <v/>
      </c>
      <c r="X260" s="4">
        <f>IF(OR($B260="",F260=""),"",IF($B260=1,--(F260=1),""))</f>
        <v/>
      </c>
      <c r="Y260" s="4">
        <f>IF(OR($B260="",F260=""),"",IF($B260=0,--(F260=0),""))</f>
        <v/>
      </c>
      <c r="Z260" s="4">
        <f>IF(F260="","",--(F260=1))</f>
        <v/>
      </c>
      <c r="AA260" s="4">
        <f>IF(OR($B260="",G260=""),"",--(G260=$B260))</f>
        <v/>
      </c>
      <c r="AB260" s="4">
        <f>IF(OR($B260="",G260=""),"",IF($B260=1,--(G260=1),""))</f>
        <v/>
      </c>
      <c r="AC260" s="4">
        <f>IF(OR($B260="",G260=""),"",IF($B260=0,--(G260=0),""))</f>
        <v/>
      </c>
      <c r="AD260" s="4">
        <f>IF(G260="","",--(G260=1))</f>
        <v/>
      </c>
      <c r="AE260" s="4">
        <f>IF(OR($B260="",H260=""),"",--(H260=$B260))</f>
        <v/>
      </c>
      <c r="AF260" s="4">
        <f>IF(OR($B260="",H260=""),"",IF($B260=1,--(H260=1),""))</f>
        <v/>
      </c>
      <c r="AG260" s="4">
        <f>IF(OR($B260="",H260=""),"",IF($B260=0,--(H260=0),""))</f>
        <v/>
      </c>
      <c r="AH260" s="4">
        <f>IF(H260="","",--(H260=1))</f>
        <v/>
      </c>
      <c r="AI260" s="4">
        <f>IF(OR($B260="",I260=""),"",--(I260=$B260))</f>
        <v/>
      </c>
      <c r="AJ260" s="4">
        <f>IF(OR($B260="",I260=""),"",IF($B260=1,--(I260=1),""))</f>
        <v/>
      </c>
      <c r="AK260" s="4">
        <f>IF(OR($B260="",I260=""),"",IF($B260=0,--(I260=0),""))</f>
        <v/>
      </c>
      <c r="AL260" s="4">
        <f>IF(I260="","",--(I260=1))</f>
        <v/>
      </c>
      <c r="AM260" s="4">
        <f>IF(OR($B260="",J260=""),"",--(J260=$B260))</f>
        <v/>
      </c>
      <c r="AN260" s="4">
        <f>IF(OR($B260="",J260=""),"",IF($B260=1,--(J260=1),""))</f>
        <v/>
      </c>
      <c r="AO260" s="4">
        <f>IF(OR($B260="",J260=""),"",IF($B260=0,--(J260=0),""))</f>
        <v/>
      </c>
      <c r="AP260" s="4">
        <f>IF(J260="","",--(J260=1))</f>
        <v/>
      </c>
      <c r="AQ260" s="4">
        <f>IF(OR($B260="",K260=""),"",--(K260=$B260))</f>
        <v/>
      </c>
      <c r="AR260" s="4">
        <f>IF(OR($B260="",K260=""),"",IF($B260=1,--(K260=1),""))</f>
        <v/>
      </c>
      <c r="AS260" s="4">
        <f>IF(OR($B260="",K260=""),"",IF($B260=0,--(K260=0),""))</f>
        <v/>
      </c>
      <c r="AT260" s="4">
        <f>IF(K260="","",--(K260=1))</f>
        <v/>
      </c>
      <c r="AU260" s="4">
        <f>IF(OR($B260="",L260=""),"",--(L260=$B260))</f>
        <v/>
      </c>
      <c r="AV260" s="4">
        <f>IF(OR($B260="",L260=""),"",IF($B260=1,--(L260=1),""))</f>
        <v/>
      </c>
      <c r="AW260" s="4">
        <f>IF(OR($B260="",L260=""),"",IF($B260=0,--(L260=0),""))</f>
        <v/>
      </c>
      <c r="AX260" s="4">
        <f>IF(L260="","",--(L260=1))</f>
        <v/>
      </c>
      <c r="AY260" s="4">
        <f>IF(OR($B260="",M260=""),"",--(M260=$B260))</f>
        <v/>
      </c>
      <c r="AZ260" s="4">
        <f>IF(OR($B260="",M260=""),"",IF($B260=1,--(M260=1),""))</f>
        <v/>
      </c>
      <c r="BA260" s="4">
        <f>IF(OR($B260="",M260=""),"",IF($B260=0,--(M260=0),""))</f>
        <v/>
      </c>
      <c r="BB260" s="4">
        <f>IF(M260="","",--(M260=1))</f>
        <v/>
      </c>
      <c r="BC260" s="4">
        <f>IF(OR($B260="",N260=""),"",--(N260=$B260))</f>
        <v/>
      </c>
      <c r="BD260" s="4">
        <f>IF(OR($B260="",N260=""),"",IF($B260=1,--(N260=1),""))</f>
        <v/>
      </c>
      <c r="BE260" s="4">
        <f>IF(OR($B260="",N260=""),"",IF($B260=0,--(N260=0),""))</f>
        <v/>
      </c>
      <c r="BF260" s="4">
        <f>IF(N260="","",--(N260=1))</f>
        <v/>
      </c>
    </row>
    <row r="261">
      <c r="A261" s="3" t="inlineStr">
        <is>
          <t>202129532</t>
        </is>
      </c>
      <c r="B261" s="3" t="inlineStr">
        <is>
          <t>1</t>
        </is>
      </c>
      <c r="C261" s="3" t="inlineStr">
        <is>
          <t>Direct</t>
        </is>
      </c>
      <c r="D261" s="3" t="inlineStr">
        <is>
          <t>1</t>
        </is>
      </c>
      <c r="E261" s="3" t="inlineStr">
        <is>
          <t>0</t>
        </is>
      </c>
      <c r="F261" s="3" t="inlineStr">
        <is>
          <t>0</t>
        </is>
      </c>
      <c r="G261" s="3" t="inlineStr">
        <is>
          <t>0</t>
        </is>
      </c>
      <c r="H261" s="3" t="inlineStr">
        <is>
          <t>1</t>
        </is>
      </c>
      <c r="I261" s="3" t="inlineStr">
        <is>
          <t>0</t>
        </is>
      </c>
      <c r="J261" s="3" t="inlineStr">
        <is>
          <t>0</t>
        </is>
      </c>
      <c r="K261" s="3" t="inlineStr">
        <is>
          <t>1</t>
        </is>
      </c>
      <c r="L261" s="3" t="inlineStr">
        <is>
          <t>1</t>
        </is>
      </c>
      <c r="M261" s="3" t="inlineStr">
        <is>
          <t>1</t>
        </is>
      </c>
      <c r="N261" s="3" t="inlineStr">
        <is>
          <t>1</t>
        </is>
      </c>
      <c r="O261" s="4">
        <f>IF(OR($B261="",D261=""),"",--(D261=$B261))</f>
        <v/>
      </c>
      <c r="P261" s="4">
        <f>IF(OR($B261="",D261=""),"",IF($B261=1,--(D261=1),""))</f>
        <v/>
      </c>
      <c r="Q261" s="4">
        <f>IF(OR($B261="",D261=""),"",IF($B261=0,--(D261=0),""))</f>
        <v/>
      </c>
      <c r="R261" s="4">
        <f>IF(D261="","",--(D261=1))</f>
        <v/>
      </c>
      <c r="S261" s="4">
        <f>IF(OR($B261="",E261=""),"",--(E261=$B261))</f>
        <v/>
      </c>
      <c r="T261" s="4">
        <f>IF(OR($B261="",E261=""),"",IF($B261=1,--(E261=1),""))</f>
        <v/>
      </c>
      <c r="U261" s="4">
        <f>IF(OR($B261="",E261=""),"",IF($B261=0,--(E261=0),""))</f>
        <v/>
      </c>
      <c r="V261" s="4">
        <f>IF(E261="","",--(E261=1))</f>
        <v/>
      </c>
      <c r="W261" s="4">
        <f>IF(OR($B261="",F261=""),"",--(F261=$B261))</f>
        <v/>
      </c>
      <c r="X261" s="4">
        <f>IF(OR($B261="",F261=""),"",IF($B261=1,--(F261=1),""))</f>
        <v/>
      </c>
      <c r="Y261" s="4">
        <f>IF(OR($B261="",F261=""),"",IF($B261=0,--(F261=0),""))</f>
        <v/>
      </c>
      <c r="Z261" s="4">
        <f>IF(F261="","",--(F261=1))</f>
        <v/>
      </c>
      <c r="AA261" s="4">
        <f>IF(OR($B261="",G261=""),"",--(G261=$B261))</f>
        <v/>
      </c>
      <c r="AB261" s="4">
        <f>IF(OR($B261="",G261=""),"",IF($B261=1,--(G261=1),""))</f>
        <v/>
      </c>
      <c r="AC261" s="4">
        <f>IF(OR($B261="",G261=""),"",IF($B261=0,--(G261=0),""))</f>
        <v/>
      </c>
      <c r="AD261" s="4">
        <f>IF(G261="","",--(G261=1))</f>
        <v/>
      </c>
      <c r="AE261" s="4">
        <f>IF(OR($B261="",H261=""),"",--(H261=$B261))</f>
        <v/>
      </c>
      <c r="AF261" s="4">
        <f>IF(OR($B261="",H261=""),"",IF($B261=1,--(H261=1),""))</f>
        <v/>
      </c>
      <c r="AG261" s="4">
        <f>IF(OR($B261="",H261=""),"",IF($B261=0,--(H261=0),""))</f>
        <v/>
      </c>
      <c r="AH261" s="4">
        <f>IF(H261="","",--(H261=1))</f>
        <v/>
      </c>
      <c r="AI261" s="4">
        <f>IF(OR($B261="",I261=""),"",--(I261=$B261))</f>
        <v/>
      </c>
      <c r="AJ261" s="4">
        <f>IF(OR($B261="",I261=""),"",IF($B261=1,--(I261=1),""))</f>
        <v/>
      </c>
      <c r="AK261" s="4">
        <f>IF(OR($B261="",I261=""),"",IF($B261=0,--(I261=0),""))</f>
        <v/>
      </c>
      <c r="AL261" s="4">
        <f>IF(I261="","",--(I261=1))</f>
        <v/>
      </c>
      <c r="AM261" s="4">
        <f>IF(OR($B261="",J261=""),"",--(J261=$B261))</f>
        <v/>
      </c>
      <c r="AN261" s="4">
        <f>IF(OR($B261="",J261=""),"",IF($B261=1,--(J261=1),""))</f>
        <v/>
      </c>
      <c r="AO261" s="4">
        <f>IF(OR($B261="",J261=""),"",IF($B261=0,--(J261=0),""))</f>
        <v/>
      </c>
      <c r="AP261" s="4">
        <f>IF(J261="","",--(J261=1))</f>
        <v/>
      </c>
      <c r="AQ261" s="4">
        <f>IF(OR($B261="",K261=""),"",--(K261=$B261))</f>
        <v/>
      </c>
      <c r="AR261" s="4">
        <f>IF(OR($B261="",K261=""),"",IF($B261=1,--(K261=1),""))</f>
        <v/>
      </c>
      <c r="AS261" s="4">
        <f>IF(OR($B261="",K261=""),"",IF($B261=0,--(K261=0),""))</f>
        <v/>
      </c>
      <c r="AT261" s="4">
        <f>IF(K261="","",--(K261=1))</f>
        <v/>
      </c>
      <c r="AU261" s="4">
        <f>IF(OR($B261="",L261=""),"",--(L261=$B261))</f>
        <v/>
      </c>
      <c r="AV261" s="4">
        <f>IF(OR($B261="",L261=""),"",IF($B261=1,--(L261=1),""))</f>
        <v/>
      </c>
      <c r="AW261" s="4">
        <f>IF(OR($B261="",L261=""),"",IF($B261=0,--(L261=0),""))</f>
        <v/>
      </c>
      <c r="AX261" s="4">
        <f>IF(L261="","",--(L261=1))</f>
        <v/>
      </c>
      <c r="AY261" s="4">
        <f>IF(OR($B261="",M261=""),"",--(M261=$B261))</f>
        <v/>
      </c>
      <c r="AZ261" s="4">
        <f>IF(OR($B261="",M261=""),"",IF($B261=1,--(M261=1),""))</f>
        <v/>
      </c>
      <c r="BA261" s="4">
        <f>IF(OR($B261="",M261=""),"",IF($B261=0,--(M261=0),""))</f>
        <v/>
      </c>
      <c r="BB261" s="4">
        <f>IF(M261="","",--(M261=1))</f>
        <v/>
      </c>
      <c r="BC261" s="4">
        <f>IF(OR($B261="",N261=""),"",--(N261=$B261))</f>
        <v/>
      </c>
      <c r="BD261" s="4">
        <f>IF(OR($B261="",N261=""),"",IF($B261=1,--(N261=1),""))</f>
        <v/>
      </c>
      <c r="BE261" s="4">
        <f>IF(OR($B261="",N261=""),"",IF($B261=0,--(N261=0),""))</f>
        <v/>
      </c>
      <c r="BF261" s="4">
        <f>IF(N261="","",--(N261=1))</f>
        <v/>
      </c>
    </row>
    <row r="262">
      <c r="A262" s="3" t="inlineStr">
        <is>
          <t>202129783</t>
        </is>
      </c>
      <c r="B262" s="3" t="inlineStr">
        <is>
          <t>1</t>
        </is>
      </c>
      <c r="C262" s="3" t="inlineStr">
        <is>
          <t>Direct</t>
        </is>
      </c>
      <c r="D262" s="3" t="inlineStr">
        <is>
          <t>1</t>
        </is>
      </c>
      <c r="E262" s="3" t="inlineStr">
        <is>
          <t>1</t>
        </is>
      </c>
      <c r="F262" s="3" t="inlineStr">
        <is>
          <t>1</t>
        </is>
      </c>
      <c r="G262" s="3" t="inlineStr">
        <is>
          <t>1</t>
        </is>
      </c>
      <c r="H262" s="3" t="inlineStr">
        <is>
          <t>1</t>
        </is>
      </c>
      <c r="I262" s="3" t="inlineStr">
        <is>
          <t>1</t>
        </is>
      </c>
      <c r="J262" s="3" t="inlineStr">
        <is>
          <t>1</t>
        </is>
      </c>
      <c r="K262" s="3" t="inlineStr">
        <is>
          <t>1</t>
        </is>
      </c>
      <c r="L262" s="3" t="inlineStr">
        <is>
          <t>1</t>
        </is>
      </c>
      <c r="M262" s="3" t="inlineStr">
        <is>
          <t>1</t>
        </is>
      </c>
      <c r="N262" s="3" t="inlineStr">
        <is>
          <t>1</t>
        </is>
      </c>
      <c r="O262" s="4">
        <f>IF(OR($B262="",D262=""),"",--(D262=$B262))</f>
        <v/>
      </c>
      <c r="P262" s="4">
        <f>IF(OR($B262="",D262=""),"",IF($B262=1,--(D262=1),""))</f>
        <v/>
      </c>
      <c r="Q262" s="4">
        <f>IF(OR($B262="",D262=""),"",IF($B262=0,--(D262=0),""))</f>
        <v/>
      </c>
      <c r="R262" s="4">
        <f>IF(D262="","",--(D262=1))</f>
        <v/>
      </c>
      <c r="S262" s="4">
        <f>IF(OR($B262="",E262=""),"",--(E262=$B262))</f>
        <v/>
      </c>
      <c r="T262" s="4">
        <f>IF(OR($B262="",E262=""),"",IF($B262=1,--(E262=1),""))</f>
        <v/>
      </c>
      <c r="U262" s="4">
        <f>IF(OR($B262="",E262=""),"",IF($B262=0,--(E262=0),""))</f>
        <v/>
      </c>
      <c r="V262" s="4">
        <f>IF(E262="","",--(E262=1))</f>
        <v/>
      </c>
      <c r="W262" s="4">
        <f>IF(OR($B262="",F262=""),"",--(F262=$B262))</f>
        <v/>
      </c>
      <c r="X262" s="4">
        <f>IF(OR($B262="",F262=""),"",IF($B262=1,--(F262=1),""))</f>
        <v/>
      </c>
      <c r="Y262" s="4">
        <f>IF(OR($B262="",F262=""),"",IF($B262=0,--(F262=0),""))</f>
        <v/>
      </c>
      <c r="Z262" s="4">
        <f>IF(F262="","",--(F262=1))</f>
        <v/>
      </c>
      <c r="AA262" s="4">
        <f>IF(OR($B262="",G262=""),"",--(G262=$B262))</f>
        <v/>
      </c>
      <c r="AB262" s="4">
        <f>IF(OR($B262="",G262=""),"",IF($B262=1,--(G262=1),""))</f>
        <v/>
      </c>
      <c r="AC262" s="4">
        <f>IF(OR($B262="",G262=""),"",IF($B262=0,--(G262=0),""))</f>
        <v/>
      </c>
      <c r="AD262" s="4">
        <f>IF(G262="","",--(G262=1))</f>
        <v/>
      </c>
      <c r="AE262" s="4">
        <f>IF(OR($B262="",H262=""),"",--(H262=$B262))</f>
        <v/>
      </c>
      <c r="AF262" s="4">
        <f>IF(OR($B262="",H262=""),"",IF($B262=1,--(H262=1),""))</f>
        <v/>
      </c>
      <c r="AG262" s="4">
        <f>IF(OR($B262="",H262=""),"",IF($B262=0,--(H262=0),""))</f>
        <v/>
      </c>
      <c r="AH262" s="4">
        <f>IF(H262="","",--(H262=1))</f>
        <v/>
      </c>
      <c r="AI262" s="4">
        <f>IF(OR($B262="",I262=""),"",--(I262=$B262))</f>
        <v/>
      </c>
      <c r="AJ262" s="4">
        <f>IF(OR($B262="",I262=""),"",IF($B262=1,--(I262=1),""))</f>
        <v/>
      </c>
      <c r="AK262" s="4">
        <f>IF(OR($B262="",I262=""),"",IF($B262=0,--(I262=0),""))</f>
        <v/>
      </c>
      <c r="AL262" s="4">
        <f>IF(I262="","",--(I262=1))</f>
        <v/>
      </c>
      <c r="AM262" s="4">
        <f>IF(OR($B262="",J262=""),"",--(J262=$B262))</f>
        <v/>
      </c>
      <c r="AN262" s="4">
        <f>IF(OR($B262="",J262=""),"",IF($B262=1,--(J262=1),""))</f>
        <v/>
      </c>
      <c r="AO262" s="4">
        <f>IF(OR($B262="",J262=""),"",IF($B262=0,--(J262=0),""))</f>
        <v/>
      </c>
      <c r="AP262" s="4">
        <f>IF(J262="","",--(J262=1))</f>
        <v/>
      </c>
      <c r="AQ262" s="4">
        <f>IF(OR($B262="",K262=""),"",--(K262=$B262))</f>
        <v/>
      </c>
      <c r="AR262" s="4">
        <f>IF(OR($B262="",K262=""),"",IF($B262=1,--(K262=1),""))</f>
        <v/>
      </c>
      <c r="AS262" s="4">
        <f>IF(OR($B262="",K262=""),"",IF($B262=0,--(K262=0),""))</f>
        <v/>
      </c>
      <c r="AT262" s="4">
        <f>IF(K262="","",--(K262=1))</f>
        <v/>
      </c>
      <c r="AU262" s="4">
        <f>IF(OR($B262="",L262=""),"",--(L262=$B262))</f>
        <v/>
      </c>
      <c r="AV262" s="4">
        <f>IF(OR($B262="",L262=""),"",IF($B262=1,--(L262=1),""))</f>
        <v/>
      </c>
      <c r="AW262" s="4">
        <f>IF(OR($B262="",L262=""),"",IF($B262=0,--(L262=0),""))</f>
        <v/>
      </c>
      <c r="AX262" s="4">
        <f>IF(L262="","",--(L262=1))</f>
        <v/>
      </c>
      <c r="AY262" s="4">
        <f>IF(OR($B262="",M262=""),"",--(M262=$B262))</f>
        <v/>
      </c>
      <c r="AZ262" s="4">
        <f>IF(OR($B262="",M262=""),"",IF($B262=1,--(M262=1),""))</f>
        <v/>
      </c>
      <c r="BA262" s="4">
        <f>IF(OR($B262="",M262=""),"",IF($B262=0,--(M262=0),""))</f>
        <v/>
      </c>
      <c r="BB262" s="4">
        <f>IF(M262="","",--(M262=1))</f>
        <v/>
      </c>
      <c r="BC262" s="4">
        <f>IF(OR($B262="",N262=""),"",--(N262=$B262))</f>
        <v/>
      </c>
      <c r="BD262" s="4">
        <f>IF(OR($B262="",N262=""),"",IF($B262=1,--(N262=1),""))</f>
        <v/>
      </c>
      <c r="BE262" s="4">
        <f>IF(OR($B262="",N262=""),"",IF($B262=0,--(N262=0),""))</f>
        <v/>
      </c>
      <c r="BF262" s="4">
        <f>IF(N262="","",--(N262=1))</f>
        <v/>
      </c>
    </row>
    <row r="263">
      <c r="A263" s="3" t="inlineStr">
        <is>
          <t>202130079</t>
        </is>
      </c>
      <c r="B263" s="3" t="inlineStr">
        <is>
          <t>0</t>
        </is>
      </c>
      <c r="C263" s="3" t="inlineStr">
        <is>
          <t>Direct</t>
        </is>
      </c>
      <c r="D263" s="3" t="inlineStr">
        <is>
          <t>1</t>
        </is>
      </c>
      <c r="E263" s="3" t="inlineStr">
        <is>
          <t>0</t>
        </is>
      </c>
      <c r="F263" s="3" t="inlineStr">
        <is>
          <t>0</t>
        </is>
      </c>
      <c r="G263" s="3" t="inlineStr">
        <is>
          <t>0</t>
        </is>
      </c>
      <c r="H263" s="3" t="inlineStr">
        <is>
          <t>0</t>
        </is>
      </c>
      <c r="I263" s="3" t="inlineStr">
        <is>
          <t>1</t>
        </is>
      </c>
      <c r="J263" s="3" t="inlineStr">
        <is>
          <t>0</t>
        </is>
      </c>
      <c r="K263" s="3" t="inlineStr">
        <is>
          <t>0</t>
        </is>
      </c>
      <c r="L263" s="3" t="inlineStr">
        <is>
          <t>1</t>
        </is>
      </c>
      <c r="M263" s="3" t="inlineStr">
        <is>
          <t>1</t>
        </is>
      </c>
      <c r="N263" s="3" t="inlineStr">
        <is>
          <t>1</t>
        </is>
      </c>
      <c r="O263" s="4">
        <f>IF(OR($B263="",D263=""),"",--(D263=$B263))</f>
        <v/>
      </c>
      <c r="P263" s="4">
        <f>IF(OR($B263="",D263=""),"",IF($B263=1,--(D263=1),""))</f>
        <v/>
      </c>
      <c r="Q263" s="4">
        <f>IF(OR($B263="",D263=""),"",IF($B263=0,--(D263=0),""))</f>
        <v/>
      </c>
      <c r="R263" s="4">
        <f>IF(D263="","",--(D263=1))</f>
        <v/>
      </c>
      <c r="S263" s="4">
        <f>IF(OR($B263="",E263=""),"",--(E263=$B263))</f>
        <v/>
      </c>
      <c r="T263" s="4">
        <f>IF(OR($B263="",E263=""),"",IF($B263=1,--(E263=1),""))</f>
        <v/>
      </c>
      <c r="U263" s="4">
        <f>IF(OR($B263="",E263=""),"",IF($B263=0,--(E263=0),""))</f>
        <v/>
      </c>
      <c r="V263" s="4">
        <f>IF(E263="","",--(E263=1))</f>
        <v/>
      </c>
      <c r="W263" s="4">
        <f>IF(OR($B263="",F263=""),"",--(F263=$B263))</f>
        <v/>
      </c>
      <c r="X263" s="4">
        <f>IF(OR($B263="",F263=""),"",IF($B263=1,--(F263=1),""))</f>
        <v/>
      </c>
      <c r="Y263" s="4">
        <f>IF(OR($B263="",F263=""),"",IF($B263=0,--(F263=0),""))</f>
        <v/>
      </c>
      <c r="Z263" s="4">
        <f>IF(F263="","",--(F263=1))</f>
        <v/>
      </c>
      <c r="AA263" s="4">
        <f>IF(OR($B263="",G263=""),"",--(G263=$B263))</f>
        <v/>
      </c>
      <c r="AB263" s="4">
        <f>IF(OR($B263="",G263=""),"",IF($B263=1,--(G263=1),""))</f>
        <v/>
      </c>
      <c r="AC263" s="4">
        <f>IF(OR($B263="",G263=""),"",IF($B263=0,--(G263=0),""))</f>
        <v/>
      </c>
      <c r="AD263" s="4">
        <f>IF(G263="","",--(G263=1))</f>
        <v/>
      </c>
      <c r="AE263" s="4">
        <f>IF(OR($B263="",H263=""),"",--(H263=$B263))</f>
        <v/>
      </c>
      <c r="AF263" s="4">
        <f>IF(OR($B263="",H263=""),"",IF($B263=1,--(H263=1),""))</f>
        <v/>
      </c>
      <c r="AG263" s="4">
        <f>IF(OR($B263="",H263=""),"",IF($B263=0,--(H263=0),""))</f>
        <v/>
      </c>
      <c r="AH263" s="4">
        <f>IF(H263="","",--(H263=1))</f>
        <v/>
      </c>
      <c r="AI263" s="4">
        <f>IF(OR($B263="",I263=""),"",--(I263=$B263))</f>
        <v/>
      </c>
      <c r="AJ263" s="4">
        <f>IF(OR($B263="",I263=""),"",IF($B263=1,--(I263=1),""))</f>
        <v/>
      </c>
      <c r="AK263" s="4">
        <f>IF(OR($B263="",I263=""),"",IF($B263=0,--(I263=0),""))</f>
        <v/>
      </c>
      <c r="AL263" s="4">
        <f>IF(I263="","",--(I263=1))</f>
        <v/>
      </c>
      <c r="AM263" s="4">
        <f>IF(OR($B263="",J263=""),"",--(J263=$B263))</f>
        <v/>
      </c>
      <c r="AN263" s="4">
        <f>IF(OR($B263="",J263=""),"",IF($B263=1,--(J263=1),""))</f>
        <v/>
      </c>
      <c r="AO263" s="4">
        <f>IF(OR($B263="",J263=""),"",IF($B263=0,--(J263=0),""))</f>
        <v/>
      </c>
      <c r="AP263" s="4">
        <f>IF(J263="","",--(J263=1))</f>
        <v/>
      </c>
      <c r="AQ263" s="4">
        <f>IF(OR($B263="",K263=""),"",--(K263=$B263))</f>
        <v/>
      </c>
      <c r="AR263" s="4">
        <f>IF(OR($B263="",K263=""),"",IF($B263=1,--(K263=1),""))</f>
        <v/>
      </c>
      <c r="AS263" s="4">
        <f>IF(OR($B263="",K263=""),"",IF($B263=0,--(K263=0),""))</f>
        <v/>
      </c>
      <c r="AT263" s="4">
        <f>IF(K263="","",--(K263=1))</f>
        <v/>
      </c>
      <c r="AU263" s="4">
        <f>IF(OR($B263="",L263=""),"",--(L263=$B263))</f>
        <v/>
      </c>
      <c r="AV263" s="4">
        <f>IF(OR($B263="",L263=""),"",IF($B263=1,--(L263=1),""))</f>
        <v/>
      </c>
      <c r="AW263" s="4">
        <f>IF(OR($B263="",L263=""),"",IF($B263=0,--(L263=0),""))</f>
        <v/>
      </c>
      <c r="AX263" s="4">
        <f>IF(L263="","",--(L263=1))</f>
        <v/>
      </c>
      <c r="AY263" s="4">
        <f>IF(OR($B263="",M263=""),"",--(M263=$B263))</f>
        <v/>
      </c>
      <c r="AZ263" s="4">
        <f>IF(OR($B263="",M263=""),"",IF($B263=1,--(M263=1),""))</f>
        <v/>
      </c>
      <c r="BA263" s="4">
        <f>IF(OR($B263="",M263=""),"",IF($B263=0,--(M263=0),""))</f>
        <v/>
      </c>
      <c r="BB263" s="4">
        <f>IF(M263="","",--(M263=1))</f>
        <v/>
      </c>
      <c r="BC263" s="4">
        <f>IF(OR($B263="",N263=""),"",--(N263=$B263))</f>
        <v/>
      </c>
      <c r="BD263" s="4">
        <f>IF(OR($B263="",N263=""),"",IF($B263=1,--(N263=1),""))</f>
        <v/>
      </c>
      <c r="BE263" s="4">
        <f>IF(OR($B263="",N263=""),"",IF($B263=0,--(N263=0),""))</f>
        <v/>
      </c>
      <c r="BF263" s="4">
        <f>IF(N263="","",--(N263=1))</f>
        <v/>
      </c>
    </row>
    <row r="264">
      <c r="A264" s="3" t="inlineStr">
        <is>
          <t>202130620</t>
        </is>
      </c>
      <c r="B264" s="3" t="inlineStr">
        <is>
          <t>0</t>
        </is>
      </c>
      <c r="C264" s="3" t="inlineStr">
        <is>
          <t>Direct</t>
        </is>
      </c>
      <c r="D264" s="3" t="inlineStr">
        <is>
          <t>1</t>
        </is>
      </c>
      <c r="E264" s="3" t="inlineStr">
        <is>
          <t>0</t>
        </is>
      </c>
      <c r="F264" s="3" t="inlineStr">
        <is>
          <t>0</t>
        </is>
      </c>
      <c r="G264" s="3" t="inlineStr">
        <is>
          <t>0</t>
        </is>
      </c>
      <c r="H264" s="3" t="inlineStr">
        <is>
          <t>1</t>
        </is>
      </c>
      <c r="I264" s="3" t="inlineStr">
        <is>
          <t>0</t>
        </is>
      </c>
      <c r="J264" s="3" t="inlineStr">
        <is>
          <t>0</t>
        </is>
      </c>
      <c r="K264" s="3" t="inlineStr">
        <is>
          <t>0</t>
        </is>
      </c>
      <c r="L264" s="3" t="inlineStr">
        <is>
          <t>1</t>
        </is>
      </c>
      <c r="M264" s="3" t="inlineStr">
        <is>
          <t>1</t>
        </is>
      </c>
      <c r="N264" s="3" t="inlineStr">
        <is>
          <t>1</t>
        </is>
      </c>
      <c r="O264" s="4">
        <f>IF(OR($B264="",D264=""),"",--(D264=$B264))</f>
        <v/>
      </c>
      <c r="P264" s="4">
        <f>IF(OR($B264="",D264=""),"",IF($B264=1,--(D264=1),""))</f>
        <v/>
      </c>
      <c r="Q264" s="4">
        <f>IF(OR($B264="",D264=""),"",IF($B264=0,--(D264=0),""))</f>
        <v/>
      </c>
      <c r="R264" s="4">
        <f>IF(D264="","",--(D264=1))</f>
        <v/>
      </c>
      <c r="S264" s="4">
        <f>IF(OR($B264="",E264=""),"",--(E264=$B264))</f>
        <v/>
      </c>
      <c r="T264" s="4">
        <f>IF(OR($B264="",E264=""),"",IF($B264=1,--(E264=1),""))</f>
        <v/>
      </c>
      <c r="U264" s="4">
        <f>IF(OR($B264="",E264=""),"",IF($B264=0,--(E264=0),""))</f>
        <v/>
      </c>
      <c r="V264" s="4">
        <f>IF(E264="","",--(E264=1))</f>
        <v/>
      </c>
      <c r="W264" s="4">
        <f>IF(OR($B264="",F264=""),"",--(F264=$B264))</f>
        <v/>
      </c>
      <c r="X264" s="4">
        <f>IF(OR($B264="",F264=""),"",IF($B264=1,--(F264=1),""))</f>
        <v/>
      </c>
      <c r="Y264" s="4">
        <f>IF(OR($B264="",F264=""),"",IF($B264=0,--(F264=0),""))</f>
        <v/>
      </c>
      <c r="Z264" s="4">
        <f>IF(F264="","",--(F264=1))</f>
        <v/>
      </c>
      <c r="AA264" s="4">
        <f>IF(OR($B264="",G264=""),"",--(G264=$B264))</f>
        <v/>
      </c>
      <c r="AB264" s="4">
        <f>IF(OR($B264="",G264=""),"",IF($B264=1,--(G264=1),""))</f>
        <v/>
      </c>
      <c r="AC264" s="4">
        <f>IF(OR($B264="",G264=""),"",IF($B264=0,--(G264=0),""))</f>
        <v/>
      </c>
      <c r="AD264" s="4">
        <f>IF(G264="","",--(G264=1))</f>
        <v/>
      </c>
      <c r="AE264" s="4">
        <f>IF(OR($B264="",H264=""),"",--(H264=$B264))</f>
        <v/>
      </c>
      <c r="AF264" s="4">
        <f>IF(OR($B264="",H264=""),"",IF($B264=1,--(H264=1),""))</f>
        <v/>
      </c>
      <c r="AG264" s="4">
        <f>IF(OR($B264="",H264=""),"",IF($B264=0,--(H264=0),""))</f>
        <v/>
      </c>
      <c r="AH264" s="4">
        <f>IF(H264="","",--(H264=1))</f>
        <v/>
      </c>
      <c r="AI264" s="4">
        <f>IF(OR($B264="",I264=""),"",--(I264=$B264))</f>
        <v/>
      </c>
      <c r="AJ264" s="4">
        <f>IF(OR($B264="",I264=""),"",IF($B264=1,--(I264=1),""))</f>
        <v/>
      </c>
      <c r="AK264" s="4">
        <f>IF(OR($B264="",I264=""),"",IF($B264=0,--(I264=0),""))</f>
        <v/>
      </c>
      <c r="AL264" s="4">
        <f>IF(I264="","",--(I264=1))</f>
        <v/>
      </c>
      <c r="AM264" s="4">
        <f>IF(OR($B264="",J264=""),"",--(J264=$B264))</f>
        <v/>
      </c>
      <c r="AN264" s="4">
        <f>IF(OR($B264="",J264=""),"",IF($B264=1,--(J264=1),""))</f>
        <v/>
      </c>
      <c r="AO264" s="4">
        <f>IF(OR($B264="",J264=""),"",IF($B264=0,--(J264=0),""))</f>
        <v/>
      </c>
      <c r="AP264" s="4">
        <f>IF(J264="","",--(J264=1))</f>
        <v/>
      </c>
      <c r="AQ264" s="4">
        <f>IF(OR($B264="",K264=""),"",--(K264=$B264))</f>
        <v/>
      </c>
      <c r="AR264" s="4">
        <f>IF(OR($B264="",K264=""),"",IF($B264=1,--(K264=1),""))</f>
        <v/>
      </c>
      <c r="AS264" s="4">
        <f>IF(OR($B264="",K264=""),"",IF($B264=0,--(K264=0),""))</f>
        <v/>
      </c>
      <c r="AT264" s="4">
        <f>IF(K264="","",--(K264=1))</f>
        <v/>
      </c>
      <c r="AU264" s="4">
        <f>IF(OR($B264="",L264=""),"",--(L264=$B264))</f>
        <v/>
      </c>
      <c r="AV264" s="4">
        <f>IF(OR($B264="",L264=""),"",IF($B264=1,--(L264=1),""))</f>
        <v/>
      </c>
      <c r="AW264" s="4">
        <f>IF(OR($B264="",L264=""),"",IF($B264=0,--(L264=0),""))</f>
        <v/>
      </c>
      <c r="AX264" s="4">
        <f>IF(L264="","",--(L264=1))</f>
        <v/>
      </c>
      <c r="AY264" s="4">
        <f>IF(OR($B264="",M264=""),"",--(M264=$B264))</f>
        <v/>
      </c>
      <c r="AZ264" s="4">
        <f>IF(OR($B264="",M264=""),"",IF($B264=1,--(M264=1),""))</f>
        <v/>
      </c>
      <c r="BA264" s="4">
        <f>IF(OR($B264="",M264=""),"",IF($B264=0,--(M264=0),""))</f>
        <v/>
      </c>
      <c r="BB264" s="4">
        <f>IF(M264="","",--(M264=1))</f>
        <v/>
      </c>
      <c r="BC264" s="4">
        <f>IF(OR($B264="",N264=""),"",--(N264=$B264))</f>
        <v/>
      </c>
      <c r="BD264" s="4">
        <f>IF(OR($B264="",N264=""),"",IF($B264=1,--(N264=1),""))</f>
        <v/>
      </c>
      <c r="BE264" s="4">
        <f>IF(OR($B264="",N264=""),"",IF($B264=0,--(N264=0),""))</f>
        <v/>
      </c>
      <c r="BF264" s="4">
        <f>IF(N264="","",--(N264=1))</f>
        <v/>
      </c>
    </row>
    <row r="265">
      <c r="A265" s="3" t="inlineStr">
        <is>
          <t>202130782</t>
        </is>
      </c>
      <c r="B265" s="3" t="inlineStr">
        <is>
          <t>0</t>
        </is>
      </c>
      <c r="C265" s="3" t="inlineStr">
        <is>
          <t>Direct</t>
        </is>
      </c>
      <c r="D265" s="3" t="inlineStr">
        <is>
          <t>1</t>
        </is>
      </c>
      <c r="E265" s="3" t="inlineStr">
        <is>
          <t>1</t>
        </is>
      </c>
      <c r="F265" s="3" t="inlineStr">
        <is>
          <t>0</t>
        </is>
      </c>
      <c r="G265" s="3" t="inlineStr">
        <is>
          <t>1</t>
        </is>
      </c>
      <c r="H265" s="3" t="inlineStr">
        <is>
          <t>1</t>
        </is>
      </c>
      <c r="I265" s="3" t="inlineStr">
        <is>
          <t>1</t>
        </is>
      </c>
      <c r="J265" s="3" t="inlineStr">
        <is>
          <t>1</t>
        </is>
      </c>
      <c r="K265" s="3" t="inlineStr">
        <is>
          <t>1</t>
        </is>
      </c>
      <c r="L265" s="3" t="inlineStr">
        <is>
          <t>1</t>
        </is>
      </c>
      <c r="M265" s="3" t="inlineStr">
        <is>
          <t>1</t>
        </is>
      </c>
      <c r="N265" s="3" t="inlineStr">
        <is>
          <t>1</t>
        </is>
      </c>
      <c r="O265" s="4">
        <f>IF(OR($B265="",D265=""),"",--(D265=$B265))</f>
        <v/>
      </c>
      <c r="P265" s="4">
        <f>IF(OR($B265="",D265=""),"",IF($B265=1,--(D265=1),""))</f>
        <v/>
      </c>
      <c r="Q265" s="4">
        <f>IF(OR($B265="",D265=""),"",IF($B265=0,--(D265=0),""))</f>
        <v/>
      </c>
      <c r="R265" s="4">
        <f>IF(D265="","",--(D265=1))</f>
        <v/>
      </c>
      <c r="S265" s="4">
        <f>IF(OR($B265="",E265=""),"",--(E265=$B265))</f>
        <v/>
      </c>
      <c r="T265" s="4">
        <f>IF(OR($B265="",E265=""),"",IF($B265=1,--(E265=1),""))</f>
        <v/>
      </c>
      <c r="U265" s="4">
        <f>IF(OR($B265="",E265=""),"",IF($B265=0,--(E265=0),""))</f>
        <v/>
      </c>
      <c r="V265" s="4">
        <f>IF(E265="","",--(E265=1))</f>
        <v/>
      </c>
      <c r="W265" s="4">
        <f>IF(OR($B265="",F265=""),"",--(F265=$B265))</f>
        <v/>
      </c>
      <c r="X265" s="4">
        <f>IF(OR($B265="",F265=""),"",IF($B265=1,--(F265=1),""))</f>
        <v/>
      </c>
      <c r="Y265" s="4">
        <f>IF(OR($B265="",F265=""),"",IF($B265=0,--(F265=0),""))</f>
        <v/>
      </c>
      <c r="Z265" s="4">
        <f>IF(F265="","",--(F265=1))</f>
        <v/>
      </c>
      <c r="AA265" s="4">
        <f>IF(OR($B265="",G265=""),"",--(G265=$B265))</f>
        <v/>
      </c>
      <c r="AB265" s="4">
        <f>IF(OR($B265="",G265=""),"",IF($B265=1,--(G265=1),""))</f>
        <v/>
      </c>
      <c r="AC265" s="4">
        <f>IF(OR($B265="",G265=""),"",IF($B265=0,--(G265=0),""))</f>
        <v/>
      </c>
      <c r="AD265" s="4">
        <f>IF(G265="","",--(G265=1))</f>
        <v/>
      </c>
      <c r="AE265" s="4">
        <f>IF(OR($B265="",H265=""),"",--(H265=$B265))</f>
        <v/>
      </c>
      <c r="AF265" s="4">
        <f>IF(OR($B265="",H265=""),"",IF($B265=1,--(H265=1),""))</f>
        <v/>
      </c>
      <c r="AG265" s="4">
        <f>IF(OR($B265="",H265=""),"",IF($B265=0,--(H265=0),""))</f>
        <v/>
      </c>
      <c r="AH265" s="4">
        <f>IF(H265="","",--(H265=1))</f>
        <v/>
      </c>
      <c r="AI265" s="4">
        <f>IF(OR($B265="",I265=""),"",--(I265=$B265))</f>
        <v/>
      </c>
      <c r="AJ265" s="4">
        <f>IF(OR($B265="",I265=""),"",IF($B265=1,--(I265=1),""))</f>
        <v/>
      </c>
      <c r="AK265" s="4">
        <f>IF(OR($B265="",I265=""),"",IF($B265=0,--(I265=0),""))</f>
        <v/>
      </c>
      <c r="AL265" s="4">
        <f>IF(I265="","",--(I265=1))</f>
        <v/>
      </c>
      <c r="AM265" s="4">
        <f>IF(OR($B265="",J265=""),"",--(J265=$B265))</f>
        <v/>
      </c>
      <c r="AN265" s="4">
        <f>IF(OR($B265="",J265=""),"",IF($B265=1,--(J265=1),""))</f>
        <v/>
      </c>
      <c r="AO265" s="4">
        <f>IF(OR($B265="",J265=""),"",IF($B265=0,--(J265=0),""))</f>
        <v/>
      </c>
      <c r="AP265" s="4">
        <f>IF(J265="","",--(J265=1))</f>
        <v/>
      </c>
      <c r="AQ265" s="4">
        <f>IF(OR($B265="",K265=""),"",--(K265=$B265))</f>
        <v/>
      </c>
      <c r="AR265" s="4">
        <f>IF(OR($B265="",K265=""),"",IF($B265=1,--(K265=1),""))</f>
        <v/>
      </c>
      <c r="AS265" s="4">
        <f>IF(OR($B265="",K265=""),"",IF($B265=0,--(K265=0),""))</f>
        <v/>
      </c>
      <c r="AT265" s="4">
        <f>IF(K265="","",--(K265=1))</f>
        <v/>
      </c>
      <c r="AU265" s="4">
        <f>IF(OR($B265="",L265=""),"",--(L265=$B265))</f>
        <v/>
      </c>
      <c r="AV265" s="4">
        <f>IF(OR($B265="",L265=""),"",IF($B265=1,--(L265=1),""))</f>
        <v/>
      </c>
      <c r="AW265" s="4">
        <f>IF(OR($B265="",L265=""),"",IF($B265=0,--(L265=0),""))</f>
        <v/>
      </c>
      <c r="AX265" s="4">
        <f>IF(L265="","",--(L265=1))</f>
        <v/>
      </c>
      <c r="AY265" s="4">
        <f>IF(OR($B265="",M265=""),"",--(M265=$B265))</f>
        <v/>
      </c>
      <c r="AZ265" s="4">
        <f>IF(OR($B265="",M265=""),"",IF($B265=1,--(M265=1),""))</f>
        <v/>
      </c>
      <c r="BA265" s="4">
        <f>IF(OR($B265="",M265=""),"",IF($B265=0,--(M265=0),""))</f>
        <v/>
      </c>
      <c r="BB265" s="4">
        <f>IF(M265="","",--(M265=1))</f>
        <v/>
      </c>
      <c r="BC265" s="4">
        <f>IF(OR($B265="",N265=""),"",--(N265=$B265))</f>
        <v/>
      </c>
      <c r="BD265" s="4">
        <f>IF(OR($B265="",N265=""),"",IF($B265=1,--(N265=1),""))</f>
        <v/>
      </c>
      <c r="BE265" s="4">
        <f>IF(OR($B265="",N265=""),"",IF($B265=0,--(N265=0),""))</f>
        <v/>
      </c>
      <c r="BF265" s="4">
        <f>IF(N265="","",--(N265=1))</f>
        <v/>
      </c>
    </row>
    <row r="266">
      <c r="A266" s="3" t="inlineStr">
        <is>
          <t>202130913</t>
        </is>
      </c>
      <c r="B266" s="3" t="inlineStr">
        <is>
          <t>0</t>
        </is>
      </c>
      <c r="C266" s="3" t="inlineStr">
        <is>
          <t>Direct</t>
        </is>
      </c>
      <c r="D266" s="3" t="inlineStr">
        <is>
          <t>1</t>
        </is>
      </c>
      <c r="E266" s="3" t="inlineStr">
        <is>
          <t>1</t>
        </is>
      </c>
      <c r="F266" s="3" t="inlineStr">
        <is>
          <t>1</t>
        </is>
      </c>
      <c r="G266" s="3" t="inlineStr">
        <is>
          <t>1</t>
        </is>
      </c>
      <c r="H266" s="3" t="inlineStr">
        <is>
          <t>1</t>
        </is>
      </c>
      <c r="I266" s="3" t="inlineStr">
        <is>
          <t>1</t>
        </is>
      </c>
      <c r="J266" s="3" t="inlineStr">
        <is>
          <t>1</t>
        </is>
      </c>
      <c r="K266" s="3" t="inlineStr">
        <is>
          <t>1</t>
        </is>
      </c>
      <c r="L266" s="3" t="inlineStr">
        <is>
          <t>1</t>
        </is>
      </c>
      <c r="M266" s="3" t="inlineStr">
        <is>
          <t>1</t>
        </is>
      </c>
      <c r="N266" s="3" t="inlineStr">
        <is>
          <t>1</t>
        </is>
      </c>
      <c r="O266" s="4">
        <f>IF(OR($B266="",D266=""),"",--(D266=$B266))</f>
        <v/>
      </c>
      <c r="P266" s="4">
        <f>IF(OR($B266="",D266=""),"",IF($B266=1,--(D266=1),""))</f>
        <v/>
      </c>
      <c r="Q266" s="4">
        <f>IF(OR($B266="",D266=""),"",IF($B266=0,--(D266=0),""))</f>
        <v/>
      </c>
      <c r="R266" s="4">
        <f>IF(D266="","",--(D266=1))</f>
        <v/>
      </c>
      <c r="S266" s="4">
        <f>IF(OR($B266="",E266=""),"",--(E266=$B266))</f>
        <v/>
      </c>
      <c r="T266" s="4">
        <f>IF(OR($B266="",E266=""),"",IF($B266=1,--(E266=1),""))</f>
        <v/>
      </c>
      <c r="U266" s="4">
        <f>IF(OR($B266="",E266=""),"",IF($B266=0,--(E266=0),""))</f>
        <v/>
      </c>
      <c r="V266" s="4">
        <f>IF(E266="","",--(E266=1))</f>
        <v/>
      </c>
      <c r="W266" s="4">
        <f>IF(OR($B266="",F266=""),"",--(F266=$B266))</f>
        <v/>
      </c>
      <c r="X266" s="4">
        <f>IF(OR($B266="",F266=""),"",IF($B266=1,--(F266=1),""))</f>
        <v/>
      </c>
      <c r="Y266" s="4">
        <f>IF(OR($B266="",F266=""),"",IF($B266=0,--(F266=0),""))</f>
        <v/>
      </c>
      <c r="Z266" s="4">
        <f>IF(F266="","",--(F266=1))</f>
        <v/>
      </c>
      <c r="AA266" s="4">
        <f>IF(OR($B266="",G266=""),"",--(G266=$B266))</f>
        <v/>
      </c>
      <c r="AB266" s="4">
        <f>IF(OR($B266="",G266=""),"",IF($B266=1,--(G266=1),""))</f>
        <v/>
      </c>
      <c r="AC266" s="4">
        <f>IF(OR($B266="",G266=""),"",IF($B266=0,--(G266=0),""))</f>
        <v/>
      </c>
      <c r="AD266" s="4">
        <f>IF(G266="","",--(G266=1))</f>
        <v/>
      </c>
      <c r="AE266" s="4">
        <f>IF(OR($B266="",H266=""),"",--(H266=$B266))</f>
        <v/>
      </c>
      <c r="AF266" s="4">
        <f>IF(OR($B266="",H266=""),"",IF($B266=1,--(H266=1),""))</f>
        <v/>
      </c>
      <c r="AG266" s="4">
        <f>IF(OR($B266="",H266=""),"",IF($B266=0,--(H266=0),""))</f>
        <v/>
      </c>
      <c r="AH266" s="4">
        <f>IF(H266="","",--(H266=1))</f>
        <v/>
      </c>
      <c r="AI266" s="4">
        <f>IF(OR($B266="",I266=""),"",--(I266=$B266))</f>
        <v/>
      </c>
      <c r="AJ266" s="4">
        <f>IF(OR($B266="",I266=""),"",IF($B266=1,--(I266=1),""))</f>
        <v/>
      </c>
      <c r="AK266" s="4">
        <f>IF(OR($B266="",I266=""),"",IF($B266=0,--(I266=0),""))</f>
        <v/>
      </c>
      <c r="AL266" s="4">
        <f>IF(I266="","",--(I266=1))</f>
        <v/>
      </c>
      <c r="AM266" s="4">
        <f>IF(OR($B266="",J266=""),"",--(J266=$B266))</f>
        <v/>
      </c>
      <c r="AN266" s="4">
        <f>IF(OR($B266="",J266=""),"",IF($B266=1,--(J266=1),""))</f>
        <v/>
      </c>
      <c r="AO266" s="4">
        <f>IF(OR($B266="",J266=""),"",IF($B266=0,--(J266=0),""))</f>
        <v/>
      </c>
      <c r="AP266" s="4">
        <f>IF(J266="","",--(J266=1))</f>
        <v/>
      </c>
      <c r="AQ266" s="4">
        <f>IF(OR($B266="",K266=""),"",--(K266=$B266))</f>
        <v/>
      </c>
      <c r="AR266" s="4">
        <f>IF(OR($B266="",K266=""),"",IF($B266=1,--(K266=1),""))</f>
        <v/>
      </c>
      <c r="AS266" s="4">
        <f>IF(OR($B266="",K266=""),"",IF($B266=0,--(K266=0),""))</f>
        <v/>
      </c>
      <c r="AT266" s="4">
        <f>IF(K266="","",--(K266=1))</f>
        <v/>
      </c>
      <c r="AU266" s="4">
        <f>IF(OR($B266="",L266=""),"",--(L266=$B266))</f>
        <v/>
      </c>
      <c r="AV266" s="4">
        <f>IF(OR($B266="",L266=""),"",IF($B266=1,--(L266=1),""))</f>
        <v/>
      </c>
      <c r="AW266" s="4">
        <f>IF(OR($B266="",L266=""),"",IF($B266=0,--(L266=0),""))</f>
        <v/>
      </c>
      <c r="AX266" s="4">
        <f>IF(L266="","",--(L266=1))</f>
        <v/>
      </c>
      <c r="AY266" s="4">
        <f>IF(OR($B266="",M266=""),"",--(M266=$B266))</f>
        <v/>
      </c>
      <c r="AZ266" s="4">
        <f>IF(OR($B266="",M266=""),"",IF($B266=1,--(M266=1),""))</f>
        <v/>
      </c>
      <c r="BA266" s="4">
        <f>IF(OR($B266="",M266=""),"",IF($B266=0,--(M266=0),""))</f>
        <v/>
      </c>
      <c r="BB266" s="4">
        <f>IF(M266="","",--(M266=1))</f>
        <v/>
      </c>
      <c r="BC266" s="4">
        <f>IF(OR($B266="",N266=""),"",--(N266=$B266))</f>
        <v/>
      </c>
      <c r="BD266" s="4">
        <f>IF(OR($B266="",N266=""),"",IF($B266=1,--(N266=1),""))</f>
        <v/>
      </c>
      <c r="BE266" s="4">
        <f>IF(OR($B266="",N266=""),"",IF($B266=0,--(N266=0),""))</f>
        <v/>
      </c>
      <c r="BF266" s="4">
        <f>IF(N266="","",--(N266=1))</f>
        <v/>
      </c>
    </row>
    <row r="267">
      <c r="A267" s="3" t="inlineStr">
        <is>
          <t>202131101</t>
        </is>
      </c>
      <c r="B267" s="3" t="inlineStr">
        <is>
          <t>1</t>
        </is>
      </c>
      <c r="C267" s="3" t="inlineStr">
        <is>
          <t>Direct</t>
        </is>
      </c>
      <c r="D267" s="3" t="inlineStr">
        <is>
          <t>1</t>
        </is>
      </c>
      <c r="E267" s="3" t="inlineStr">
        <is>
          <t>0</t>
        </is>
      </c>
      <c r="F267" s="3" t="inlineStr">
        <is>
          <t>1</t>
        </is>
      </c>
      <c r="G267" s="3" t="inlineStr">
        <is>
          <t>1</t>
        </is>
      </c>
      <c r="H267" s="3" t="inlineStr">
        <is>
          <t>1</t>
        </is>
      </c>
      <c r="I267" s="3" t="inlineStr">
        <is>
          <t>1</t>
        </is>
      </c>
      <c r="J267" s="3" t="inlineStr">
        <is>
          <t>1</t>
        </is>
      </c>
      <c r="K267" s="3" t="inlineStr">
        <is>
          <t>1</t>
        </is>
      </c>
      <c r="L267" s="3" t="inlineStr">
        <is>
          <t>1</t>
        </is>
      </c>
      <c r="M267" s="3" t="inlineStr">
        <is>
          <t>1</t>
        </is>
      </c>
      <c r="N267" s="3" t="inlineStr">
        <is>
          <t>1</t>
        </is>
      </c>
      <c r="O267" s="4">
        <f>IF(OR($B267="",D267=""),"",--(D267=$B267))</f>
        <v/>
      </c>
      <c r="P267" s="4">
        <f>IF(OR($B267="",D267=""),"",IF($B267=1,--(D267=1),""))</f>
        <v/>
      </c>
      <c r="Q267" s="4">
        <f>IF(OR($B267="",D267=""),"",IF($B267=0,--(D267=0),""))</f>
        <v/>
      </c>
      <c r="R267" s="4">
        <f>IF(D267="","",--(D267=1))</f>
        <v/>
      </c>
      <c r="S267" s="4">
        <f>IF(OR($B267="",E267=""),"",--(E267=$B267))</f>
        <v/>
      </c>
      <c r="T267" s="4">
        <f>IF(OR($B267="",E267=""),"",IF($B267=1,--(E267=1),""))</f>
        <v/>
      </c>
      <c r="U267" s="4">
        <f>IF(OR($B267="",E267=""),"",IF($B267=0,--(E267=0),""))</f>
        <v/>
      </c>
      <c r="V267" s="4">
        <f>IF(E267="","",--(E267=1))</f>
        <v/>
      </c>
      <c r="W267" s="4">
        <f>IF(OR($B267="",F267=""),"",--(F267=$B267))</f>
        <v/>
      </c>
      <c r="X267" s="4">
        <f>IF(OR($B267="",F267=""),"",IF($B267=1,--(F267=1),""))</f>
        <v/>
      </c>
      <c r="Y267" s="4">
        <f>IF(OR($B267="",F267=""),"",IF($B267=0,--(F267=0),""))</f>
        <v/>
      </c>
      <c r="Z267" s="4">
        <f>IF(F267="","",--(F267=1))</f>
        <v/>
      </c>
      <c r="AA267" s="4">
        <f>IF(OR($B267="",G267=""),"",--(G267=$B267))</f>
        <v/>
      </c>
      <c r="AB267" s="4">
        <f>IF(OR($B267="",G267=""),"",IF($B267=1,--(G267=1),""))</f>
        <v/>
      </c>
      <c r="AC267" s="4">
        <f>IF(OR($B267="",G267=""),"",IF($B267=0,--(G267=0),""))</f>
        <v/>
      </c>
      <c r="AD267" s="4">
        <f>IF(G267="","",--(G267=1))</f>
        <v/>
      </c>
      <c r="AE267" s="4">
        <f>IF(OR($B267="",H267=""),"",--(H267=$B267))</f>
        <v/>
      </c>
      <c r="AF267" s="4">
        <f>IF(OR($B267="",H267=""),"",IF($B267=1,--(H267=1),""))</f>
        <v/>
      </c>
      <c r="AG267" s="4">
        <f>IF(OR($B267="",H267=""),"",IF($B267=0,--(H267=0),""))</f>
        <v/>
      </c>
      <c r="AH267" s="4">
        <f>IF(H267="","",--(H267=1))</f>
        <v/>
      </c>
      <c r="AI267" s="4">
        <f>IF(OR($B267="",I267=""),"",--(I267=$B267))</f>
        <v/>
      </c>
      <c r="AJ267" s="4">
        <f>IF(OR($B267="",I267=""),"",IF($B267=1,--(I267=1),""))</f>
        <v/>
      </c>
      <c r="AK267" s="4">
        <f>IF(OR($B267="",I267=""),"",IF($B267=0,--(I267=0),""))</f>
        <v/>
      </c>
      <c r="AL267" s="4">
        <f>IF(I267="","",--(I267=1))</f>
        <v/>
      </c>
      <c r="AM267" s="4">
        <f>IF(OR($B267="",J267=""),"",--(J267=$B267))</f>
        <v/>
      </c>
      <c r="AN267" s="4">
        <f>IF(OR($B267="",J267=""),"",IF($B267=1,--(J267=1),""))</f>
        <v/>
      </c>
      <c r="AO267" s="4">
        <f>IF(OR($B267="",J267=""),"",IF($B267=0,--(J267=0),""))</f>
        <v/>
      </c>
      <c r="AP267" s="4">
        <f>IF(J267="","",--(J267=1))</f>
        <v/>
      </c>
      <c r="AQ267" s="4">
        <f>IF(OR($B267="",K267=""),"",--(K267=$B267))</f>
        <v/>
      </c>
      <c r="AR267" s="4">
        <f>IF(OR($B267="",K267=""),"",IF($B267=1,--(K267=1),""))</f>
        <v/>
      </c>
      <c r="AS267" s="4">
        <f>IF(OR($B267="",K267=""),"",IF($B267=0,--(K267=0),""))</f>
        <v/>
      </c>
      <c r="AT267" s="4">
        <f>IF(K267="","",--(K267=1))</f>
        <v/>
      </c>
      <c r="AU267" s="4">
        <f>IF(OR($B267="",L267=""),"",--(L267=$B267))</f>
        <v/>
      </c>
      <c r="AV267" s="4">
        <f>IF(OR($B267="",L267=""),"",IF($B267=1,--(L267=1),""))</f>
        <v/>
      </c>
      <c r="AW267" s="4">
        <f>IF(OR($B267="",L267=""),"",IF($B267=0,--(L267=0),""))</f>
        <v/>
      </c>
      <c r="AX267" s="4">
        <f>IF(L267="","",--(L267=1))</f>
        <v/>
      </c>
      <c r="AY267" s="4">
        <f>IF(OR($B267="",M267=""),"",--(M267=$B267))</f>
        <v/>
      </c>
      <c r="AZ267" s="4">
        <f>IF(OR($B267="",M267=""),"",IF($B267=1,--(M267=1),""))</f>
        <v/>
      </c>
      <c r="BA267" s="4">
        <f>IF(OR($B267="",M267=""),"",IF($B267=0,--(M267=0),""))</f>
        <v/>
      </c>
      <c r="BB267" s="4">
        <f>IF(M267="","",--(M267=1))</f>
        <v/>
      </c>
      <c r="BC267" s="4">
        <f>IF(OR($B267="",N267=""),"",--(N267=$B267))</f>
        <v/>
      </c>
      <c r="BD267" s="4">
        <f>IF(OR($B267="",N267=""),"",IF($B267=1,--(N267=1),""))</f>
        <v/>
      </c>
      <c r="BE267" s="4">
        <f>IF(OR($B267="",N267=""),"",IF($B267=0,--(N267=0),""))</f>
        <v/>
      </c>
      <c r="BF267" s="4">
        <f>IF(N267="","",--(N267=1))</f>
        <v/>
      </c>
    </row>
    <row r="268">
      <c r="A268" s="3" t="inlineStr">
        <is>
          <t>202131427</t>
        </is>
      </c>
      <c r="B268" s="3" t="inlineStr">
        <is>
          <t>0</t>
        </is>
      </c>
      <c r="C268" s="3" t="inlineStr">
        <is>
          <t>Direct</t>
        </is>
      </c>
      <c r="D268" s="3" t="inlineStr">
        <is>
          <t>1</t>
        </is>
      </c>
      <c r="E268" s="3" t="inlineStr">
        <is>
          <t>1</t>
        </is>
      </c>
      <c r="F268" s="3" t="inlineStr">
        <is>
          <t>0</t>
        </is>
      </c>
      <c r="G268" s="3" t="inlineStr">
        <is>
          <t>0</t>
        </is>
      </c>
      <c r="H268" s="3" t="inlineStr">
        <is>
          <t>0</t>
        </is>
      </c>
      <c r="I268" s="3" t="inlineStr">
        <is>
          <t>1</t>
        </is>
      </c>
      <c r="J268" s="3" t="inlineStr">
        <is>
          <t>1</t>
        </is>
      </c>
      <c r="K268" s="3" t="inlineStr">
        <is>
          <t>1</t>
        </is>
      </c>
      <c r="L268" s="3" t="inlineStr">
        <is>
          <t>1</t>
        </is>
      </c>
      <c r="M268" s="3" t="inlineStr">
        <is>
          <t>1</t>
        </is>
      </c>
      <c r="N268" s="3" t="inlineStr">
        <is>
          <t>1</t>
        </is>
      </c>
      <c r="O268" s="4">
        <f>IF(OR($B268="",D268=""),"",--(D268=$B268))</f>
        <v/>
      </c>
      <c r="P268" s="4">
        <f>IF(OR($B268="",D268=""),"",IF($B268=1,--(D268=1),""))</f>
        <v/>
      </c>
      <c r="Q268" s="4">
        <f>IF(OR($B268="",D268=""),"",IF($B268=0,--(D268=0),""))</f>
        <v/>
      </c>
      <c r="R268" s="4">
        <f>IF(D268="","",--(D268=1))</f>
        <v/>
      </c>
      <c r="S268" s="4">
        <f>IF(OR($B268="",E268=""),"",--(E268=$B268))</f>
        <v/>
      </c>
      <c r="T268" s="4">
        <f>IF(OR($B268="",E268=""),"",IF($B268=1,--(E268=1),""))</f>
        <v/>
      </c>
      <c r="U268" s="4">
        <f>IF(OR($B268="",E268=""),"",IF($B268=0,--(E268=0),""))</f>
        <v/>
      </c>
      <c r="V268" s="4">
        <f>IF(E268="","",--(E268=1))</f>
        <v/>
      </c>
      <c r="W268" s="4">
        <f>IF(OR($B268="",F268=""),"",--(F268=$B268))</f>
        <v/>
      </c>
      <c r="X268" s="4">
        <f>IF(OR($B268="",F268=""),"",IF($B268=1,--(F268=1),""))</f>
        <v/>
      </c>
      <c r="Y268" s="4">
        <f>IF(OR($B268="",F268=""),"",IF($B268=0,--(F268=0),""))</f>
        <v/>
      </c>
      <c r="Z268" s="4">
        <f>IF(F268="","",--(F268=1))</f>
        <v/>
      </c>
      <c r="AA268" s="4">
        <f>IF(OR($B268="",G268=""),"",--(G268=$B268))</f>
        <v/>
      </c>
      <c r="AB268" s="4">
        <f>IF(OR($B268="",G268=""),"",IF($B268=1,--(G268=1),""))</f>
        <v/>
      </c>
      <c r="AC268" s="4">
        <f>IF(OR($B268="",G268=""),"",IF($B268=0,--(G268=0),""))</f>
        <v/>
      </c>
      <c r="AD268" s="4">
        <f>IF(G268="","",--(G268=1))</f>
        <v/>
      </c>
      <c r="AE268" s="4">
        <f>IF(OR($B268="",H268=""),"",--(H268=$B268))</f>
        <v/>
      </c>
      <c r="AF268" s="4">
        <f>IF(OR($B268="",H268=""),"",IF($B268=1,--(H268=1),""))</f>
        <v/>
      </c>
      <c r="AG268" s="4">
        <f>IF(OR($B268="",H268=""),"",IF($B268=0,--(H268=0),""))</f>
        <v/>
      </c>
      <c r="AH268" s="4">
        <f>IF(H268="","",--(H268=1))</f>
        <v/>
      </c>
      <c r="AI268" s="4">
        <f>IF(OR($B268="",I268=""),"",--(I268=$B268))</f>
        <v/>
      </c>
      <c r="AJ268" s="4">
        <f>IF(OR($B268="",I268=""),"",IF($B268=1,--(I268=1),""))</f>
        <v/>
      </c>
      <c r="AK268" s="4">
        <f>IF(OR($B268="",I268=""),"",IF($B268=0,--(I268=0),""))</f>
        <v/>
      </c>
      <c r="AL268" s="4">
        <f>IF(I268="","",--(I268=1))</f>
        <v/>
      </c>
      <c r="AM268" s="4">
        <f>IF(OR($B268="",J268=""),"",--(J268=$B268))</f>
        <v/>
      </c>
      <c r="AN268" s="4">
        <f>IF(OR($B268="",J268=""),"",IF($B268=1,--(J268=1),""))</f>
        <v/>
      </c>
      <c r="AO268" s="4">
        <f>IF(OR($B268="",J268=""),"",IF($B268=0,--(J268=0),""))</f>
        <v/>
      </c>
      <c r="AP268" s="4">
        <f>IF(J268="","",--(J268=1))</f>
        <v/>
      </c>
      <c r="AQ268" s="4">
        <f>IF(OR($B268="",K268=""),"",--(K268=$B268))</f>
        <v/>
      </c>
      <c r="AR268" s="4">
        <f>IF(OR($B268="",K268=""),"",IF($B268=1,--(K268=1),""))</f>
        <v/>
      </c>
      <c r="AS268" s="4">
        <f>IF(OR($B268="",K268=""),"",IF($B268=0,--(K268=0),""))</f>
        <v/>
      </c>
      <c r="AT268" s="4">
        <f>IF(K268="","",--(K268=1))</f>
        <v/>
      </c>
      <c r="AU268" s="4">
        <f>IF(OR($B268="",L268=""),"",--(L268=$B268))</f>
        <v/>
      </c>
      <c r="AV268" s="4">
        <f>IF(OR($B268="",L268=""),"",IF($B268=1,--(L268=1),""))</f>
        <v/>
      </c>
      <c r="AW268" s="4">
        <f>IF(OR($B268="",L268=""),"",IF($B268=0,--(L268=0),""))</f>
        <v/>
      </c>
      <c r="AX268" s="4">
        <f>IF(L268="","",--(L268=1))</f>
        <v/>
      </c>
      <c r="AY268" s="4">
        <f>IF(OR($B268="",M268=""),"",--(M268=$B268))</f>
        <v/>
      </c>
      <c r="AZ268" s="4">
        <f>IF(OR($B268="",M268=""),"",IF($B268=1,--(M268=1),""))</f>
        <v/>
      </c>
      <c r="BA268" s="4">
        <f>IF(OR($B268="",M268=""),"",IF($B268=0,--(M268=0),""))</f>
        <v/>
      </c>
      <c r="BB268" s="4">
        <f>IF(M268="","",--(M268=1))</f>
        <v/>
      </c>
      <c r="BC268" s="4">
        <f>IF(OR($B268="",N268=""),"",--(N268=$B268))</f>
        <v/>
      </c>
      <c r="BD268" s="4">
        <f>IF(OR($B268="",N268=""),"",IF($B268=1,--(N268=1),""))</f>
        <v/>
      </c>
      <c r="BE268" s="4">
        <f>IF(OR($B268="",N268=""),"",IF($B268=0,--(N268=0),""))</f>
        <v/>
      </c>
      <c r="BF268" s="4">
        <f>IF(N268="","",--(N268=1))</f>
        <v/>
      </c>
    </row>
    <row r="269">
      <c r="A269" s="3" t="inlineStr">
        <is>
          <t>202132603</t>
        </is>
      </c>
      <c r="B269" s="3" t="inlineStr">
        <is>
          <t>0</t>
        </is>
      </c>
      <c r="C269" s="3" t="inlineStr">
        <is>
          <t>Direct</t>
        </is>
      </c>
      <c r="D269" s="3" t="inlineStr">
        <is>
          <t>0</t>
        </is>
      </c>
      <c r="E269" s="3" t="inlineStr">
        <is>
          <t>0</t>
        </is>
      </c>
      <c r="F269" s="3" t="inlineStr">
        <is>
          <t>0</t>
        </is>
      </c>
      <c r="G269" s="3" t="inlineStr">
        <is>
          <t>0</t>
        </is>
      </c>
      <c r="H269" s="3" t="inlineStr">
        <is>
          <t>0</t>
        </is>
      </c>
      <c r="I269" s="3" t="inlineStr">
        <is>
          <t>1</t>
        </is>
      </c>
      <c r="J269" s="3" t="inlineStr">
        <is>
          <t>1</t>
        </is>
      </c>
      <c r="K269" s="3" t="inlineStr">
        <is>
          <t>1</t>
        </is>
      </c>
      <c r="L269" s="3" t="inlineStr">
        <is>
          <t>1</t>
        </is>
      </c>
      <c r="M269" s="3" t="inlineStr">
        <is>
          <t>1</t>
        </is>
      </c>
      <c r="N269" s="3" t="inlineStr">
        <is>
          <t>1</t>
        </is>
      </c>
      <c r="O269" s="4">
        <f>IF(OR($B269="",D269=""),"",--(D269=$B269))</f>
        <v/>
      </c>
      <c r="P269" s="4">
        <f>IF(OR($B269="",D269=""),"",IF($B269=1,--(D269=1),""))</f>
        <v/>
      </c>
      <c r="Q269" s="4">
        <f>IF(OR($B269="",D269=""),"",IF($B269=0,--(D269=0),""))</f>
        <v/>
      </c>
      <c r="R269" s="4">
        <f>IF(D269="","",--(D269=1))</f>
        <v/>
      </c>
      <c r="S269" s="4">
        <f>IF(OR($B269="",E269=""),"",--(E269=$B269))</f>
        <v/>
      </c>
      <c r="T269" s="4">
        <f>IF(OR($B269="",E269=""),"",IF($B269=1,--(E269=1),""))</f>
        <v/>
      </c>
      <c r="U269" s="4">
        <f>IF(OR($B269="",E269=""),"",IF($B269=0,--(E269=0),""))</f>
        <v/>
      </c>
      <c r="V269" s="4">
        <f>IF(E269="","",--(E269=1))</f>
        <v/>
      </c>
      <c r="W269" s="4">
        <f>IF(OR($B269="",F269=""),"",--(F269=$B269))</f>
        <v/>
      </c>
      <c r="X269" s="4">
        <f>IF(OR($B269="",F269=""),"",IF($B269=1,--(F269=1),""))</f>
        <v/>
      </c>
      <c r="Y269" s="4">
        <f>IF(OR($B269="",F269=""),"",IF($B269=0,--(F269=0),""))</f>
        <v/>
      </c>
      <c r="Z269" s="4">
        <f>IF(F269="","",--(F269=1))</f>
        <v/>
      </c>
      <c r="AA269" s="4">
        <f>IF(OR($B269="",G269=""),"",--(G269=$B269))</f>
        <v/>
      </c>
      <c r="AB269" s="4">
        <f>IF(OR($B269="",G269=""),"",IF($B269=1,--(G269=1),""))</f>
        <v/>
      </c>
      <c r="AC269" s="4">
        <f>IF(OR($B269="",G269=""),"",IF($B269=0,--(G269=0),""))</f>
        <v/>
      </c>
      <c r="AD269" s="4">
        <f>IF(G269="","",--(G269=1))</f>
        <v/>
      </c>
      <c r="AE269" s="4">
        <f>IF(OR($B269="",H269=""),"",--(H269=$B269))</f>
        <v/>
      </c>
      <c r="AF269" s="4">
        <f>IF(OR($B269="",H269=""),"",IF($B269=1,--(H269=1),""))</f>
        <v/>
      </c>
      <c r="AG269" s="4">
        <f>IF(OR($B269="",H269=""),"",IF($B269=0,--(H269=0),""))</f>
        <v/>
      </c>
      <c r="AH269" s="4">
        <f>IF(H269="","",--(H269=1))</f>
        <v/>
      </c>
      <c r="AI269" s="4">
        <f>IF(OR($B269="",I269=""),"",--(I269=$B269))</f>
        <v/>
      </c>
      <c r="AJ269" s="4">
        <f>IF(OR($B269="",I269=""),"",IF($B269=1,--(I269=1),""))</f>
        <v/>
      </c>
      <c r="AK269" s="4">
        <f>IF(OR($B269="",I269=""),"",IF($B269=0,--(I269=0),""))</f>
        <v/>
      </c>
      <c r="AL269" s="4">
        <f>IF(I269="","",--(I269=1))</f>
        <v/>
      </c>
      <c r="AM269" s="4">
        <f>IF(OR($B269="",J269=""),"",--(J269=$B269))</f>
        <v/>
      </c>
      <c r="AN269" s="4">
        <f>IF(OR($B269="",J269=""),"",IF($B269=1,--(J269=1),""))</f>
        <v/>
      </c>
      <c r="AO269" s="4">
        <f>IF(OR($B269="",J269=""),"",IF($B269=0,--(J269=0),""))</f>
        <v/>
      </c>
      <c r="AP269" s="4">
        <f>IF(J269="","",--(J269=1))</f>
        <v/>
      </c>
      <c r="AQ269" s="4">
        <f>IF(OR($B269="",K269=""),"",--(K269=$B269))</f>
        <v/>
      </c>
      <c r="AR269" s="4">
        <f>IF(OR($B269="",K269=""),"",IF($B269=1,--(K269=1),""))</f>
        <v/>
      </c>
      <c r="AS269" s="4">
        <f>IF(OR($B269="",K269=""),"",IF($B269=0,--(K269=0),""))</f>
        <v/>
      </c>
      <c r="AT269" s="4">
        <f>IF(K269="","",--(K269=1))</f>
        <v/>
      </c>
      <c r="AU269" s="4">
        <f>IF(OR($B269="",L269=""),"",--(L269=$B269))</f>
        <v/>
      </c>
      <c r="AV269" s="4">
        <f>IF(OR($B269="",L269=""),"",IF($B269=1,--(L269=1),""))</f>
        <v/>
      </c>
      <c r="AW269" s="4">
        <f>IF(OR($B269="",L269=""),"",IF($B269=0,--(L269=0),""))</f>
        <v/>
      </c>
      <c r="AX269" s="4">
        <f>IF(L269="","",--(L269=1))</f>
        <v/>
      </c>
      <c r="AY269" s="4">
        <f>IF(OR($B269="",M269=""),"",--(M269=$B269))</f>
        <v/>
      </c>
      <c r="AZ269" s="4">
        <f>IF(OR($B269="",M269=""),"",IF($B269=1,--(M269=1),""))</f>
        <v/>
      </c>
      <c r="BA269" s="4">
        <f>IF(OR($B269="",M269=""),"",IF($B269=0,--(M269=0),""))</f>
        <v/>
      </c>
      <c r="BB269" s="4">
        <f>IF(M269="","",--(M269=1))</f>
        <v/>
      </c>
      <c r="BC269" s="4">
        <f>IF(OR($B269="",N269=""),"",--(N269=$B269))</f>
        <v/>
      </c>
      <c r="BD269" s="4">
        <f>IF(OR($B269="",N269=""),"",IF($B269=1,--(N269=1),""))</f>
        <v/>
      </c>
      <c r="BE269" s="4">
        <f>IF(OR($B269="",N269=""),"",IF($B269=0,--(N269=0),""))</f>
        <v/>
      </c>
      <c r="BF269" s="4">
        <f>IF(N269="","",--(N269=1))</f>
        <v/>
      </c>
    </row>
    <row r="270">
      <c r="A270" s="3" t="inlineStr">
        <is>
          <t>202133344</t>
        </is>
      </c>
      <c r="B270" s="3" t="inlineStr">
        <is>
          <t>0</t>
        </is>
      </c>
      <c r="C270" s="3" t="inlineStr">
        <is>
          <t>Direct</t>
        </is>
      </c>
      <c r="D270" s="3" t="inlineStr">
        <is>
          <t>1</t>
        </is>
      </c>
      <c r="E270" s="3" t="inlineStr">
        <is>
          <t>0</t>
        </is>
      </c>
      <c r="F270" s="3" t="inlineStr">
        <is>
          <t>1</t>
        </is>
      </c>
      <c r="G270" s="3" t="inlineStr">
        <is>
          <t>0</t>
        </is>
      </c>
      <c r="H270" s="3" t="inlineStr">
        <is>
          <t>1</t>
        </is>
      </c>
      <c r="I270" s="3" t="inlineStr">
        <is>
          <t>0</t>
        </is>
      </c>
      <c r="J270" s="3" t="inlineStr">
        <is>
          <t>0</t>
        </is>
      </c>
      <c r="K270" s="3" t="inlineStr">
        <is>
          <t>0</t>
        </is>
      </c>
      <c r="L270" s="3" t="inlineStr">
        <is>
          <t>1</t>
        </is>
      </c>
      <c r="M270" s="3" t="inlineStr">
        <is>
          <t>0</t>
        </is>
      </c>
      <c r="N270" s="3" t="inlineStr">
        <is>
          <t>1</t>
        </is>
      </c>
      <c r="O270" s="4">
        <f>IF(OR($B270="",D270=""),"",--(D270=$B270))</f>
        <v/>
      </c>
      <c r="P270" s="4">
        <f>IF(OR($B270="",D270=""),"",IF($B270=1,--(D270=1),""))</f>
        <v/>
      </c>
      <c r="Q270" s="4">
        <f>IF(OR($B270="",D270=""),"",IF($B270=0,--(D270=0),""))</f>
        <v/>
      </c>
      <c r="R270" s="4">
        <f>IF(D270="","",--(D270=1))</f>
        <v/>
      </c>
      <c r="S270" s="4">
        <f>IF(OR($B270="",E270=""),"",--(E270=$B270))</f>
        <v/>
      </c>
      <c r="T270" s="4">
        <f>IF(OR($B270="",E270=""),"",IF($B270=1,--(E270=1),""))</f>
        <v/>
      </c>
      <c r="U270" s="4">
        <f>IF(OR($B270="",E270=""),"",IF($B270=0,--(E270=0),""))</f>
        <v/>
      </c>
      <c r="V270" s="4">
        <f>IF(E270="","",--(E270=1))</f>
        <v/>
      </c>
      <c r="W270" s="4">
        <f>IF(OR($B270="",F270=""),"",--(F270=$B270))</f>
        <v/>
      </c>
      <c r="X270" s="4">
        <f>IF(OR($B270="",F270=""),"",IF($B270=1,--(F270=1),""))</f>
        <v/>
      </c>
      <c r="Y270" s="4">
        <f>IF(OR($B270="",F270=""),"",IF($B270=0,--(F270=0),""))</f>
        <v/>
      </c>
      <c r="Z270" s="4">
        <f>IF(F270="","",--(F270=1))</f>
        <v/>
      </c>
      <c r="AA270" s="4">
        <f>IF(OR($B270="",G270=""),"",--(G270=$B270))</f>
        <v/>
      </c>
      <c r="AB270" s="4">
        <f>IF(OR($B270="",G270=""),"",IF($B270=1,--(G270=1),""))</f>
        <v/>
      </c>
      <c r="AC270" s="4">
        <f>IF(OR($B270="",G270=""),"",IF($B270=0,--(G270=0),""))</f>
        <v/>
      </c>
      <c r="AD270" s="4">
        <f>IF(G270="","",--(G270=1))</f>
        <v/>
      </c>
      <c r="AE270" s="4">
        <f>IF(OR($B270="",H270=""),"",--(H270=$B270))</f>
        <v/>
      </c>
      <c r="AF270" s="4">
        <f>IF(OR($B270="",H270=""),"",IF($B270=1,--(H270=1),""))</f>
        <v/>
      </c>
      <c r="AG270" s="4">
        <f>IF(OR($B270="",H270=""),"",IF($B270=0,--(H270=0),""))</f>
        <v/>
      </c>
      <c r="AH270" s="4">
        <f>IF(H270="","",--(H270=1))</f>
        <v/>
      </c>
      <c r="AI270" s="4">
        <f>IF(OR($B270="",I270=""),"",--(I270=$B270))</f>
        <v/>
      </c>
      <c r="AJ270" s="4">
        <f>IF(OR($B270="",I270=""),"",IF($B270=1,--(I270=1),""))</f>
        <v/>
      </c>
      <c r="AK270" s="4">
        <f>IF(OR($B270="",I270=""),"",IF($B270=0,--(I270=0),""))</f>
        <v/>
      </c>
      <c r="AL270" s="4">
        <f>IF(I270="","",--(I270=1))</f>
        <v/>
      </c>
      <c r="AM270" s="4">
        <f>IF(OR($B270="",J270=""),"",--(J270=$B270))</f>
        <v/>
      </c>
      <c r="AN270" s="4">
        <f>IF(OR($B270="",J270=""),"",IF($B270=1,--(J270=1),""))</f>
        <v/>
      </c>
      <c r="AO270" s="4">
        <f>IF(OR($B270="",J270=""),"",IF($B270=0,--(J270=0),""))</f>
        <v/>
      </c>
      <c r="AP270" s="4">
        <f>IF(J270="","",--(J270=1))</f>
        <v/>
      </c>
      <c r="AQ270" s="4">
        <f>IF(OR($B270="",K270=""),"",--(K270=$B270))</f>
        <v/>
      </c>
      <c r="AR270" s="4">
        <f>IF(OR($B270="",K270=""),"",IF($B270=1,--(K270=1),""))</f>
        <v/>
      </c>
      <c r="AS270" s="4">
        <f>IF(OR($B270="",K270=""),"",IF($B270=0,--(K270=0),""))</f>
        <v/>
      </c>
      <c r="AT270" s="4">
        <f>IF(K270="","",--(K270=1))</f>
        <v/>
      </c>
      <c r="AU270" s="4">
        <f>IF(OR($B270="",L270=""),"",--(L270=$B270))</f>
        <v/>
      </c>
      <c r="AV270" s="4">
        <f>IF(OR($B270="",L270=""),"",IF($B270=1,--(L270=1),""))</f>
        <v/>
      </c>
      <c r="AW270" s="4">
        <f>IF(OR($B270="",L270=""),"",IF($B270=0,--(L270=0),""))</f>
        <v/>
      </c>
      <c r="AX270" s="4">
        <f>IF(L270="","",--(L270=1))</f>
        <v/>
      </c>
      <c r="AY270" s="4">
        <f>IF(OR($B270="",M270=""),"",--(M270=$B270))</f>
        <v/>
      </c>
      <c r="AZ270" s="4">
        <f>IF(OR($B270="",M270=""),"",IF($B270=1,--(M270=1),""))</f>
        <v/>
      </c>
      <c r="BA270" s="4">
        <f>IF(OR($B270="",M270=""),"",IF($B270=0,--(M270=0),""))</f>
        <v/>
      </c>
      <c r="BB270" s="4">
        <f>IF(M270="","",--(M270=1))</f>
        <v/>
      </c>
      <c r="BC270" s="4">
        <f>IF(OR($B270="",N270=""),"",--(N270=$B270))</f>
        <v/>
      </c>
      <c r="BD270" s="4">
        <f>IF(OR($B270="",N270=""),"",IF($B270=1,--(N270=1),""))</f>
        <v/>
      </c>
      <c r="BE270" s="4">
        <f>IF(OR($B270="",N270=""),"",IF($B270=0,--(N270=0),""))</f>
        <v/>
      </c>
      <c r="BF270" s="4">
        <f>IF(N270="","",--(N270=1))</f>
        <v/>
      </c>
    </row>
    <row r="271">
      <c r="A271" s="3" t="inlineStr">
        <is>
          <t>202133722</t>
        </is>
      </c>
      <c r="B271" s="3" t="inlineStr">
        <is>
          <t>0</t>
        </is>
      </c>
      <c r="C271" s="3" t="inlineStr">
        <is>
          <t>Direct</t>
        </is>
      </c>
      <c r="D271" s="3" t="inlineStr">
        <is>
          <t>0</t>
        </is>
      </c>
      <c r="E271" s="3" t="inlineStr">
        <is>
          <t>0</t>
        </is>
      </c>
      <c r="F271" s="3" t="inlineStr">
        <is>
          <t>0</t>
        </is>
      </c>
      <c r="G271" s="3" t="inlineStr">
        <is>
          <t>0</t>
        </is>
      </c>
      <c r="H271" s="3" t="inlineStr">
        <is>
          <t>0</t>
        </is>
      </c>
      <c r="I271" s="3" t="inlineStr">
        <is>
          <t>0</t>
        </is>
      </c>
      <c r="J271" s="3" t="inlineStr">
        <is>
          <t>0</t>
        </is>
      </c>
      <c r="K271" s="3" t="inlineStr">
        <is>
          <t>0</t>
        </is>
      </c>
      <c r="L271" s="3" t="inlineStr">
        <is>
          <t>0</t>
        </is>
      </c>
      <c r="M271" s="3" t="inlineStr">
        <is>
          <t>0</t>
        </is>
      </c>
      <c r="N271" s="3" t="inlineStr">
        <is>
          <t>0</t>
        </is>
      </c>
      <c r="O271" s="4">
        <f>IF(OR($B271="",D271=""),"",--(D271=$B271))</f>
        <v/>
      </c>
      <c r="P271" s="4">
        <f>IF(OR($B271="",D271=""),"",IF($B271=1,--(D271=1),""))</f>
        <v/>
      </c>
      <c r="Q271" s="4">
        <f>IF(OR($B271="",D271=""),"",IF($B271=0,--(D271=0),""))</f>
        <v/>
      </c>
      <c r="R271" s="4">
        <f>IF(D271="","",--(D271=1))</f>
        <v/>
      </c>
      <c r="S271" s="4">
        <f>IF(OR($B271="",E271=""),"",--(E271=$B271))</f>
        <v/>
      </c>
      <c r="T271" s="4">
        <f>IF(OR($B271="",E271=""),"",IF($B271=1,--(E271=1),""))</f>
        <v/>
      </c>
      <c r="U271" s="4">
        <f>IF(OR($B271="",E271=""),"",IF($B271=0,--(E271=0),""))</f>
        <v/>
      </c>
      <c r="V271" s="4">
        <f>IF(E271="","",--(E271=1))</f>
        <v/>
      </c>
      <c r="W271" s="4">
        <f>IF(OR($B271="",F271=""),"",--(F271=$B271))</f>
        <v/>
      </c>
      <c r="X271" s="4">
        <f>IF(OR($B271="",F271=""),"",IF($B271=1,--(F271=1),""))</f>
        <v/>
      </c>
      <c r="Y271" s="4">
        <f>IF(OR($B271="",F271=""),"",IF($B271=0,--(F271=0),""))</f>
        <v/>
      </c>
      <c r="Z271" s="4">
        <f>IF(F271="","",--(F271=1))</f>
        <v/>
      </c>
      <c r="AA271" s="4">
        <f>IF(OR($B271="",G271=""),"",--(G271=$B271))</f>
        <v/>
      </c>
      <c r="AB271" s="4">
        <f>IF(OR($B271="",G271=""),"",IF($B271=1,--(G271=1),""))</f>
        <v/>
      </c>
      <c r="AC271" s="4">
        <f>IF(OR($B271="",G271=""),"",IF($B271=0,--(G271=0),""))</f>
        <v/>
      </c>
      <c r="AD271" s="4">
        <f>IF(G271="","",--(G271=1))</f>
        <v/>
      </c>
      <c r="AE271" s="4">
        <f>IF(OR($B271="",H271=""),"",--(H271=$B271))</f>
        <v/>
      </c>
      <c r="AF271" s="4">
        <f>IF(OR($B271="",H271=""),"",IF($B271=1,--(H271=1),""))</f>
        <v/>
      </c>
      <c r="AG271" s="4">
        <f>IF(OR($B271="",H271=""),"",IF($B271=0,--(H271=0),""))</f>
        <v/>
      </c>
      <c r="AH271" s="4">
        <f>IF(H271="","",--(H271=1))</f>
        <v/>
      </c>
      <c r="AI271" s="4">
        <f>IF(OR($B271="",I271=""),"",--(I271=$B271))</f>
        <v/>
      </c>
      <c r="AJ271" s="4">
        <f>IF(OR($B271="",I271=""),"",IF($B271=1,--(I271=1),""))</f>
        <v/>
      </c>
      <c r="AK271" s="4">
        <f>IF(OR($B271="",I271=""),"",IF($B271=0,--(I271=0),""))</f>
        <v/>
      </c>
      <c r="AL271" s="4">
        <f>IF(I271="","",--(I271=1))</f>
        <v/>
      </c>
      <c r="AM271" s="4">
        <f>IF(OR($B271="",J271=""),"",--(J271=$B271))</f>
        <v/>
      </c>
      <c r="AN271" s="4">
        <f>IF(OR($B271="",J271=""),"",IF($B271=1,--(J271=1),""))</f>
        <v/>
      </c>
      <c r="AO271" s="4">
        <f>IF(OR($B271="",J271=""),"",IF($B271=0,--(J271=0),""))</f>
        <v/>
      </c>
      <c r="AP271" s="4">
        <f>IF(J271="","",--(J271=1))</f>
        <v/>
      </c>
      <c r="AQ271" s="4">
        <f>IF(OR($B271="",K271=""),"",--(K271=$B271))</f>
        <v/>
      </c>
      <c r="AR271" s="4">
        <f>IF(OR($B271="",K271=""),"",IF($B271=1,--(K271=1),""))</f>
        <v/>
      </c>
      <c r="AS271" s="4">
        <f>IF(OR($B271="",K271=""),"",IF($B271=0,--(K271=0),""))</f>
        <v/>
      </c>
      <c r="AT271" s="4">
        <f>IF(K271="","",--(K271=1))</f>
        <v/>
      </c>
      <c r="AU271" s="4">
        <f>IF(OR($B271="",L271=""),"",--(L271=$B271))</f>
        <v/>
      </c>
      <c r="AV271" s="4">
        <f>IF(OR($B271="",L271=""),"",IF($B271=1,--(L271=1),""))</f>
        <v/>
      </c>
      <c r="AW271" s="4">
        <f>IF(OR($B271="",L271=""),"",IF($B271=0,--(L271=0),""))</f>
        <v/>
      </c>
      <c r="AX271" s="4">
        <f>IF(L271="","",--(L271=1))</f>
        <v/>
      </c>
      <c r="AY271" s="4">
        <f>IF(OR($B271="",M271=""),"",--(M271=$B271))</f>
        <v/>
      </c>
      <c r="AZ271" s="4">
        <f>IF(OR($B271="",M271=""),"",IF($B271=1,--(M271=1),""))</f>
        <v/>
      </c>
      <c r="BA271" s="4">
        <f>IF(OR($B271="",M271=""),"",IF($B271=0,--(M271=0),""))</f>
        <v/>
      </c>
      <c r="BB271" s="4">
        <f>IF(M271="","",--(M271=1))</f>
        <v/>
      </c>
      <c r="BC271" s="4">
        <f>IF(OR($B271="",N271=""),"",--(N271=$B271))</f>
        <v/>
      </c>
      <c r="BD271" s="4">
        <f>IF(OR($B271="",N271=""),"",IF($B271=1,--(N271=1),""))</f>
        <v/>
      </c>
      <c r="BE271" s="4">
        <f>IF(OR($B271="",N271=""),"",IF($B271=0,--(N271=0),""))</f>
        <v/>
      </c>
      <c r="BF271" s="4">
        <f>IF(N271="","",--(N271=1))</f>
        <v/>
      </c>
    </row>
    <row r="272">
      <c r="A272" s="3" t="inlineStr">
        <is>
          <t>202133943</t>
        </is>
      </c>
      <c r="B272" s="3" t="inlineStr">
        <is>
          <t>1</t>
        </is>
      </c>
      <c r="C272" s="3" t="inlineStr">
        <is>
          <t>Direct</t>
        </is>
      </c>
      <c r="D272" s="3" t="inlineStr">
        <is>
          <t>1</t>
        </is>
      </c>
      <c r="E272" s="3" t="inlineStr">
        <is>
          <t>1</t>
        </is>
      </c>
      <c r="F272" s="3" t="inlineStr">
        <is>
          <t>0</t>
        </is>
      </c>
      <c r="G272" s="3" t="inlineStr">
        <is>
          <t>0</t>
        </is>
      </c>
      <c r="H272" s="3" t="inlineStr">
        <is>
          <t>0</t>
        </is>
      </c>
      <c r="I272" s="3" t="inlineStr">
        <is>
          <t>1</t>
        </is>
      </c>
      <c r="J272" s="3" t="inlineStr">
        <is>
          <t>1</t>
        </is>
      </c>
      <c r="K272" s="3" t="inlineStr">
        <is>
          <t>1</t>
        </is>
      </c>
      <c r="L272" s="3" t="inlineStr">
        <is>
          <t>1</t>
        </is>
      </c>
      <c r="M272" s="3" t="inlineStr">
        <is>
          <t>1</t>
        </is>
      </c>
      <c r="N272" s="3" t="inlineStr">
        <is>
          <t>1</t>
        </is>
      </c>
      <c r="O272" s="4">
        <f>IF(OR($B272="",D272=""),"",--(D272=$B272))</f>
        <v/>
      </c>
      <c r="P272" s="4">
        <f>IF(OR($B272="",D272=""),"",IF($B272=1,--(D272=1),""))</f>
        <v/>
      </c>
      <c r="Q272" s="4">
        <f>IF(OR($B272="",D272=""),"",IF($B272=0,--(D272=0),""))</f>
        <v/>
      </c>
      <c r="R272" s="4">
        <f>IF(D272="","",--(D272=1))</f>
        <v/>
      </c>
      <c r="S272" s="4">
        <f>IF(OR($B272="",E272=""),"",--(E272=$B272))</f>
        <v/>
      </c>
      <c r="T272" s="4">
        <f>IF(OR($B272="",E272=""),"",IF($B272=1,--(E272=1),""))</f>
        <v/>
      </c>
      <c r="U272" s="4">
        <f>IF(OR($B272="",E272=""),"",IF($B272=0,--(E272=0),""))</f>
        <v/>
      </c>
      <c r="V272" s="4">
        <f>IF(E272="","",--(E272=1))</f>
        <v/>
      </c>
      <c r="W272" s="4">
        <f>IF(OR($B272="",F272=""),"",--(F272=$B272))</f>
        <v/>
      </c>
      <c r="X272" s="4">
        <f>IF(OR($B272="",F272=""),"",IF($B272=1,--(F272=1),""))</f>
        <v/>
      </c>
      <c r="Y272" s="4">
        <f>IF(OR($B272="",F272=""),"",IF($B272=0,--(F272=0),""))</f>
        <v/>
      </c>
      <c r="Z272" s="4">
        <f>IF(F272="","",--(F272=1))</f>
        <v/>
      </c>
      <c r="AA272" s="4">
        <f>IF(OR($B272="",G272=""),"",--(G272=$B272))</f>
        <v/>
      </c>
      <c r="AB272" s="4">
        <f>IF(OR($B272="",G272=""),"",IF($B272=1,--(G272=1),""))</f>
        <v/>
      </c>
      <c r="AC272" s="4">
        <f>IF(OR($B272="",G272=""),"",IF($B272=0,--(G272=0),""))</f>
        <v/>
      </c>
      <c r="AD272" s="4">
        <f>IF(G272="","",--(G272=1))</f>
        <v/>
      </c>
      <c r="AE272" s="4">
        <f>IF(OR($B272="",H272=""),"",--(H272=$B272))</f>
        <v/>
      </c>
      <c r="AF272" s="4">
        <f>IF(OR($B272="",H272=""),"",IF($B272=1,--(H272=1),""))</f>
        <v/>
      </c>
      <c r="AG272" s="4">
        <f>IF(OR($B272="",H272=""),"",IF($B272=0,--(H272=0),""))</f>
        <v/>
      </c>
      <c r="AH272" s="4">
        <f>IF(H272="","",--(H272=1))</f>
        <v/>
      </c>
      <c r="AI272" s="4">
        <f>IF(OR($B272="",I272=""),"",--(I272=$B272))</f>
        <v/>
      </c>
      <c r="AJ272" s="4">
        <f>IF(OR($B272="",I272=""),"",IF($B272=1,--(I272=1),""))</f>
        <v/>
      </c>
      <c r="AK272" s="4">
        <f>IF(OR($B272="",I272=""),"",IF($B272=0,--(I272=0),""))</f>
        <v/>
      </c>
      <c r="AL272" s="4">
        <f>IF(I272="","",--(I272=1))</f>
        <v/>
      </c>
      <c r="AM272" s="4">
        <f>IF(OR($B272="",J272=""),"",--(J272=$B272))</f>
        <v/>
      </c>
      <c r="AN272" s="4">
        <f>IF(OR($B272="",J272=""),"",IF($B272=1,--(J272=1),""))</f>
        <v/>
      </c>
      <c r="AO272" s="4">
        <f>IF(OR($B272="",J272=""),"",IF($B272=0,--(J272=0),""))</f>
        <v/>
      </c>
      <c r="AP272" s="4">
        <f>IF(J272="","",--(J272=1))</f>
        <v/>
      </c>
      <c r="AQ272" s="4">
        <f>IF(OR($B272="",K272=""),"",--(K272=$B272))</f>
        <v/>
      </c>
      <c r="AR272" s="4">
        <f>IF(OR($B272="",K272=""),"",IF($B272=1,--(K272=1),""))</f>
        <v/>
      </c>
      <c r="AS272" s="4">
        <f>IF(OR($B272="",K272=""),"",IF($B272=0,--(K272=0),""))</f>
        <v/>
      </c>
      <c r="AT272" s="4">
        <f>IF(K272="","",--(K272=1))</f>
        <v/>
      </c>
      <c r="AU272" s="4">
        <f>IF(OR($B272="",L272=""),"",--(L272=$B272))</f>
        <v/>
      </c>
      <c r="AV272" s="4">
        <f>IF(OR($B272="",L272=""),"",IF($B272=1,--(L272=1),""))</f>
        <v/>
      </c>
      <c r="AW272" s="4">
        <f>IF(OR($B272="",L272=""),"",IF($B272=0,--(L272=0),""))</f>
        <v/>
      </c>
      <c r="AX272" s="4">
        <f>IF(L272="","",--(L272=1))</f>
        <v/>
      </c>
      <c r="AY272" s="4">
        <f>IF(OR($B272="",M272=""),"",--(M272=$B272))</f>
        <v/>
      </c>
      <c r="AZ272" s="4">
        <f>IF(OR($B272="",M272=""),"",IF($B272=1,--(M272=1),""))</f>
        <v/>
      </c>
      <c r="BA272" s="4">
        <f>IF(OR($B272="",M272=""),"",IF($B272=0,--(M272=0),""))</f>
        <v/>
      </c>
      <c r="BB272" s="4">
        <f>IF(M272="","",--(M272=1))</f>
        <v/>
      </c>
      <c r="BC272" s="4">
        <f>IF(OR($B272="",N272=""),"",--(N272=$B272))</f>
        <v/>
      </c>
      <c r="BD272" s="4">
        <f>IF(OR($B272="",N272=""),"",IF($B272=1,--(N272=1),""))</f>
        <v/>
      </c>
      <c r="BE272" s="4">
        <f>IF(OR($B272="",N272=""),"",IF($B272=0,--(N272=0),""))</f>
        <v/>
      </c>
      <c r="BF272" s="4">
        <f>IF(N272="","",--(N272=1))</f>
        <v/>
      </c>
    </row>
    <row r="273">
      <c r="A273" s="3" t="inlineStr">
        <is>
          <t>202134082</t>
        </is>
      </c>
      <c r="B273" s="3" t="inlineStr">
        <is>
          <t>1</t>
        </is>
      </c>
      <c r="C273" s="3" t="inlineStr">
        <is>
          <t>Direct</t>
        </is>
      </c>
      <c r="D273" s="3" t="inlineStr">
        <is>
          <t>1</t>
        </is>
      </c>
      <c r="E273" s="3" t="inlineStr">
        <is>
          <t>1</t>
        </is>
      </c>
      <c r="F273" s="3" t="inlineStr">
        <is>
          <t>0</t>
        </is>
      </c>
      <c r="G273" s="3" t="inlineStr">
        <is>
          <t>0</t>
        </is>
      </c>
      <c r="H273" s="3" t="inlineStr">
        <is>
          <t>1</t>
        </is>
      </c>
      <c r="I273" s="3" t="inlineStr">
        <is>
          <t>0</t>
        </is>
      </c>
      <c r="J273" s="3" t="inlineStr">
        <is>
          <t>0</t>
        </is>
      </c>
      <c r="K273" s="3" t="inlineStr">
        <is>
          <t>1</t>
        </is>
      </c>
      <c r="L273" s="3" t="inlineStr">
        <is>
          <t>1</t>
        </is>
      </c>
      <c r="M273" s="3" t="inlineStr">
        <is>
          <t>1</t>
        </is>
      </c>
      <c r="N273" s="3" t="inlineStr">
        <is>
          <t>1</t>
        </is>
      </c>
      <c r="O273" s="4">
        <f>IF(OR($B273="",D273=""),"",--(D273=$B273))</f>
        <v/>
      </c>
      <c r="P273" s="4">
        <f>IF(OR($B273="",D273=""),"",IF($B273=1,--(D273=1),""))</f>
        <v/>
      </c>
      <c r="Q273" s="4">
        <f>IF(OR($B273="",D273=""),"",IF($B273=0,--(D273=0),""))</f>
        <v/>
      </c>
      <c r="R273" s="4">
        <f>IF(D273="","",--(D273=1))</f>
        <v/>
      </c>
      <c r="S273" s="4">
        <f>IF(OR($B273="",E273=""),"",--(E273=$B273))</f>
        <v/>
      </c>
      <c r="T273" s="4">
        <f>IF(OR($B273="",E273=""),"",IF($B273=1,--(E273=1),""))</f>
        <v/>
      </c>
      <c r="U273" s="4">
        <f>IF(OR($B273="",E273=""),"",IF($B273=0,--(E273=0),""))</f>
        <v/>
      </c>
      <c r="V273" s="4">
        <f>IF(E273="","",--(E273=1))</f>
        <v/>
      </c>
      <c r="W273" s="4">
        <f>IF(OR($B273="",F273=""),"",--(F273=$B273))</f>
        <v/>
      </c>
      <c r="X273" s="4">
        <f>IF(OR($B273="",F273=""),"",IF($B273=1,--(F273=1),""))</f>
        <v/>
      </c>
      <c r="Y273" s="4">
        <f>IF(OR($B273="",F273=""),"",IF($B273=0,--(F273=0),""))</f>
        <v/>
      </c>
      <c r="Z273" s="4">
        <f>IF(F273="","",--(F273=1))</f>
        <v/>
      </c>
      <c r="AA273" s="4">
        <f>IF(OR($B273="",G273=""),"",--(G273=$B273))</f>
        <v/>
      </c>
      <c r="AB273" s="4">
        <f>IF(OR($B273="",G273=""),"",IF($B273=1,--(G273=1),""))</f>
        <v/>
      </c>
      <c r="AC273" s="4">
        <f>IF(OR($B273="",G273=""),"",IF($B273=0,--(G273=0),""))</f>
        <v/>
      </c>
      <c r="AD273" s="4">
        <f>IF(G273="","",--(G273=1))</f>
        <v/>
      </c>
      <c r="AE273" s="4">
        <f>IF(OR($B273="",H273=""),"",--(H273=$B273))</f>
        <v/>
      </c>
      <c r="AF273" s="4">
        <f>IF(OR($B273="",H273=""),"",IF($B273=1,--(H273=1),""))</f>
        <v/>
      </c>
      <c r="AG273" s="4">
        <f>IF(OR($B273="",H273=""),"",IF($B273=0,--(H273=0),""))</f>
        <v/>
      </c>
      <c r="AH273" s="4">
        <f>IF(H273="","",--(H273=1))</f>
        <v/>
      </c>
      <c r="AI273" s="4">
        <f>IF(OR($B273="",I273=""),"",--(I273=$B273))</f>
        <v/>
      </c>
      <c r="AJ273" s="4">
        <f>IF(OR($B273="",I273=""),"",IF($B273=1,--(I273=1),""))</f>
        <v/>
      </c>
      <c r="AK273" s="4">
        <f>IF(OR($B273="",I273=""),"",IF($B273=0,--(I273=0),""))</f>
        <v/>
      </c>
      <c r="AL273" s="4">
        <f>IF(I273="","",--(I273=1))</f>
        <v/>
      </c>
      <c r="AM273" s="4">
        <f>IF(OR($B273="",J273=""),"",--(J273=$B273))</f>
        <v/>
      </c>
      <c r="AN273" s="4">
        <f>IF(OR($B273="",J273=""),"",IF($B273=1,--(J273=1),""))</f>
        <v/>
      </c>
      <c r="AO273" s="4">
        <f>IF(OR($B273="",J273=""),"",IF($B273=0,--(J273=0),""))</f>
        <v/>
      </c>
      <c r="AP273" s="4">
        <f>IF(J273="","",--(J273=1))</f>
        <v/>
      </c>
      <c r="AQ273" s="4">
        <f>IF(OR($B273="",K273=""),"",--(K273=$B273))</f>
        <v/>
      </c>
      <c r="AR273" s="4">
        <f>IF(OR($B273="",K273=""),"",IF($B273=1,--(K273=1),""))</f>
        <v/>
      </c>
      <c r="AS273" s="4">
        <f>IF(OR($B273="",K273=""),"",IF($B273=0,--(K273=0),""))</f>
        <v/>
      </c>
      <c r="AT273" s="4">
        <f>IF(K273="","",--(K273=1))</f>
        <v/>
      </c>
      <c r="AU273" s="4">
        <f>IF(OR($B273="",L273=""),"",--(L273=$B273))</f>
        <v/>
      </c>
      <c r="AV273" s="4">
        <f>IF(OR($B273="",L273=""),"",IF($B273=1,--(L273=1),""))</f>
        <v/>
      </c>
      <c r="AW273" s="4">
        <f>IF(OR($B273="",L273=""),"",IF($B273=0,--(L273=0),""))</f>
        <v/>
      </c>
      <c r="AX273" s="4">
        <f>IF(L273="","",--(L273=1))</f>
        <v/>
      </c>
      <c r="AY273" s="4">
        <f>IF(OR($B273="",M273=""),"",--(M273=$B273))</f>
        <v/>
      </c>
      <c r="AZ273" s="4">
        <f>IF(OR($B273="",M273=""),"",IF($B273=1,--(M273=1),""))</f>
        <v/>
      </c>
      <c r="BA273" s="4">
        <f>IF(OR($B273="",M273=""),"",IF($B273=0,--(M273=0),""))</f>
        <v/>
      </c>
      <c r="BB273" s="4">
        <f>IF(M273="","",--(M273=1))</f>
        <v/>
      </c>
      <c r="BC273" s="4">
        <f>IF(OR($B273="",N273=""),"",--(N273=$B273))</f>
        <v/>
      </c>
      <c r="BD273" s="4">
        <f>IF(OR($B273="",N273=""),"",IF($B273=1,--(N273=1),""))</f>
        <v/>
      </c>
      <c r="BE273" s="4">
        <f>IF(OR($B273="",N273=""),"",IF($B273=0,--(N273=0),""))</f>
        <v/>
      </c>
      <c r="BF273" s="4">
        <f>IF(N273="","",--(N273=1))</f>
        <v/>
      </c>
    </row>
    <row r="274">
      <c r="A274" s="3" t="inlineStr">
        <is>
          <t>202134240</t>
        </is>
      </c>
      <c r="B274" s="3" t="inlineStr">
        <is>
          <t>0</t>
        </is>
      </c>
      <c r="C274" s="3" t="inlineStr">
        <is>
          <t>Direct</t>
        </is>
      </c>
      <c r="D274" s="3" t="inlineStr">
        <is>
          <t>1</t>
        </is>
      </c>
      <c r="E274" s="3" t="inlineStr">
        <is>
          <t>0</t>
        </is>
      </c>
      <c r="F274" s="3" t="inlineStr">
        <is>
          <t>0</t>
        </is>
      </c>
      <c r="G274" s="3" t="inlineStr">
        <is>
          <t>0</t>
        </is>
      </c>
      <c r="H274" s="3" t="inlineStr">
        <is>
          <t>0</t>
        </is>
      </c>
      <c r="I274" s="3" t="inlineStr">
        <is>
          <t>1</t>
        </is>
      </c>
      <c r="J274" s="3" t="inlineStr">
        <is>
          <t>1</t>
        </is>
      </c>
      <c r="K274" s="3" t="inlineStr">
        <is>
          <t>1</t>
        </is>
      </c>
      <c r="L274" s="3" t="inlineStr">
        <is>
          <t>1</t>
        </is>
      </c>
      <c r="M274" s="3" t="inlineStr">
        <is>
          <t>1</t>
        </is>
      </c>
      <c r="N274" s="3" t="inlineStr">
        <is>
          <t>1</t>
        </is>
      </c>
      <c r="O274" s="4">
        <f>IF(OR($B274="",D274=""),"",--(D274=$B274))</f>
        <v/>
      </c>
      <c r="P274" s="4">
        <f>IF(OR($B274="",D274=""),"",IF($B274=1,--(D274=1),""))</f>
        <v/>
      </c>
      <c r="Q274" s="4">
        <f>IF(OR($B274="",D274=""),"",IF($B274=0,--(D274=0),""))</f>
        <v/>
      </c>
      <c r="R274" s="4">
        <f>IF(D274="","",--(D274=1))</f>
        <v/>
      </c>
      <c r="S274" s="4">
        <f>IF(OR($B274="",E274=""),"",--(E274=$B274))</f>
        <v/>
      </c>
      <c r="T274" s="4">
        <f>IF(OR($B274="",E274=""),"",IF($B274=1,--(E274=1),""))</f>
        <v/>
      </c>
      <c r="U274" s="4">
        <f>IF(OR($B274="",E274=""),"",IF($B274=0,--(E274=0),""))</f>
        <v/>
      </c>
      <c r="V274" s="4">
        <f>IF(E274="","",--(E274=1))</f>
        <v/>
      </c>
      <c r="W274" s="4">
        <f>IF(OR($B274="",F274=""),"",--(F274=$B274))</f>
        <v/>
      </c>
      <c r="X274" s="4">
        <f>IF(OR($B274="",F274=""),"",IF($B274=1,--(F274=1),""))</f>
        <v/>
      </c>
      <c r="Y274" s="4">
        <f>IF(OR($B274="",F274=""),"",IF($B274=0,--(F274=0),""))</f>
        <v/>
      </c>
      <c r="Z274" s="4">
        <f>IF(F274="","",--(F274=1))</f>
        <v/>
      </c>
      <c r="AA274" s="4">
        <f>IF(OR($B274="",G274=""),"",--(G274=$B274))</f>
        <v/>
      </c>
      <c r="AB274" s="4">
        <f>IF(OR($B274="",G274=""),"",IF($B274=1,--(G274=1),""))</f>
        <v/>
      </c>
      <c r="AC274" s="4">
        <f>IF(OR($B274="",G274=""),"",IF($B274=0,--(G274=0),""))</f>
        <v/>
      </c>
      <c r="AD274" s="4">
        <f>IF(G274="","",--(G274=1))</f>
        <v/>
      </c>
      <c r="AE274" s="4">
        <f>IF(OR($B274="",H274=""),"",--(H274=$B274))</f>
        <v/>
      </c>
      <c r="AF274" s="4">
        <f>IF(OR($B274="",H274=""),"",IF($B274=1,--(H274=1),""))</f>
        <v/>
      </c>
      <c r="AG274" s="4">
        <f>IF(OR($B274="",H274=""),"",IF($B274=0,--(H274=0),""))</f>
        <v/>
      </c>
      <c r="AH274" s="4">
        <f>IF(H274="","",--(H274=1))</f>
        <v/>
      </c>
      <c r="AI274" s="4">
        <f>IF(OR($B274="",I274=""),"",--(I274=$B274))</f>
        <v/>
      </c>
      <c r="AJ274" s="4">
        <f>IF(OR($B274="",I274=""),"",IF($B274=1,--(I274=1),""))</f>
        <v/>
      </c>
      <c r="AK274" s="4">
        <f>IF(OR($B274="",I274=""),"",IF($B274=0,--(I274=0),""))</f>
        <v/>
      </c>
      <c r="AL274" s="4">
        <f>IF(I274="","",--(I274=1))</f>
        <v/>
      </c>
      <c r="AM274" s="4">
        <f>IF(OR($B274="",J274=""),"",--(J274=$B274))</f>
        <v/>
      </c>
      <c r="AN274" s="4">
        <f>IF(OR($B274="",J274=""),"",IF($B274=1,--(J274=1),""))</f>
        <v/>
      </c>
      <c r="AO274" s="4">
        <f>IF(OR($B274="",J274=""),"",IF($B274=0,--(J274=0),""))</f>
        <v/>
      </c>
      <c r="AP274" s="4">
        <f>IF(J274="","",--(J274=1))</f>
        <v/>
      </c>
      <c r="AQ274" s="4">
        <f>IF(OR($B274="",K274=""),"",--(K274=$B274))</f>
        <v/>
      </c>
      <c r="AR274" s="4">
        <f>IF(OR($B274="",K274=""),"",IF($B274=1,--(K274=1),""))</f>
        <v/>
      </c>
      <c r="AS274" s="4">
        <f>IF(OR($B274="",K274=""),"",IF($B274=0,--(K274=0),""))</f>
        <v/>
      </c>
      <c r="AT274" s="4">
        <f>IF(K274="","",--(K274=1))</f>
        <v/>
      </c>
      <c r="AU274" s="4">
        <f>IF(OR($B274="",L274=""),"",--(L274=$B274))</f>
        <v/>
      </c>
      <c r="AV274" s="4">
        <f>IF(OR($B274="",L274=""),"",IF($B274=1,--(L274=1),""))</f>
        <v/>
      </c>
      <c r="AW274" s="4">
        <f>IF(OR($B274="",L274=""),"",IF($B274=0,--(L274=0),""))</f>
        <v/>
      </c>
      <c r="AX274" s="4">
        <f>IF(L274="","",--(L274=1))</f>
        <v/>
      </c>
      <c r="AY274" s="4">
        <f>IF(OR($B274="",M274=""),"",--(M274=$B274))</f>
        <v/>
      </c>
      <c r="AZ274" s="4">
        <f>IF(OR($B274="",M274=""),"",IF($B274=1,--(M274=1),""))</f>
        <v/>
      </c>
      <c r="BA274" s="4">
        <f>IF(OR($B274="",M274=""),"",IF($B274=0,--(M274=0),""))</f>
        <v/>
      </c>
      <c r="BB274" s="4">
        <f>IF(M274="","",--(M274=1))</f>
        <v/>
      </c>
      <c r="BC274" s="4">
        <f>IF(OR($B274="",N274=""),"",--(N274=$B274))</f>
        <v/>
      </c>
      <c r="BD274" s="4">
        <f>IF(OR($B274="",N274=""),"",IF($B274=1,--(N274=1),""))</f>
        <v/>
      </c>
      <c r="BE274" s="4">
        <f>IF(OR($B274="",N274=""),"",IF($B274=0,--(N274=0),""))</f>
        <v/>
      </c>
      <c r="BF274" s="4">
        <f>IF(N274="","",--(N274=1))</f>
        <v/>
      </c>
    </row>
    <row r="275">
      <c r="A275" s="3" t="inlineStr">
        <is>
          <t>202135203</t>
        </is>
      </c>
      <c r="B275" s="3" t="inlineStr">
        <is>
          <t>0</t>
        </is>
      </c>
      <c r="C275" s="3" t="inlineStr">
        <is>
          <t>Direct</t>
        </is>
      </c>
      <c r="D275" s="3" t="inlineStr">
        <is>
          <t>0</t>
        </is>
      </c>
      <c r="E275" s="3" t="inlineStr">
        <is>
          <t>0</t>
        </is>
      </c>
      <c r="F275" s="3" t="inlineStr">
        <is>
          <t>1</t>
        </is>
      </c>
      <c r="G275" s="3" t="inlineStr">
        <is>
          <t>0</t>
        </is>
      </c>
      <c r="H275" s="3" t="inlineStr">
        <is>
          <t>0</t>
        </is>
      </c>
      <c r="I275" s="3" t="inlineStr">
        <is>
          <t>0</t>
        </is>
      </c>
      <c r="J275" s="3" t="inlineStr">
        <is>
          <t>0</t>
        </is>
      </c>
      <c r="K275" s="3" t="inlineStr">
        <is>
          <t>0</t>
        </is>
      </c>
      <c r="L275" s="3" t="inlineStr">
        <is>
          <t>0</t>
        </is>
      </c>
      <c r="M275" s="3" t="inlineStr">
        <is>
          <t>0</t>
        </is>
      </c>
      <c r="N275" s="3" t="inlineStr">
        <is>
          <t>1</t>
        </is>
      </c>
      <c r="O275" s="4">
        <f>IF(OR($B275="",D275=""),"",--(D275=$B275))</f>
        <v/>
      </c>
      <c r="P275" s="4">
        <f>IF(OR($B275="",D275=""),"",IF($B275=1,--(D275=1),""))</f>
        <v/>
      </c>
      <c r="Q275" s="4">
        <f>IF(OR($B275="",D275=""),"",IF($B275=0,--(D275=0),""))</f>
        <v/>
      </c>
      <c r="R275" s="4">
        <f>IF(D275="","",--(D275=1))</f>
        <v/>
      </c>
      <c r="S275" s="4">
        <f>IF(OR($B275="",E275=""),"",--(E275=$B275))</f>
        <v/>
      </c>
      <c r="T275" s="4">
        <f>IF(OR($B275="",E275=""),"",IF($B275=1,--(E275=1),""))</f>
        <v/>
      </c>
      <c r="U275" s="4">
        <f>IF(OR($B275="",E275=""),"",IF($B275=0,--(E275=0),""))</f>
        <v/>
      </c>
      <c r="V275" s="4">
        <f>IF(E275="","",--(E275=1))</f>
        <v/>
      </c>
      <c r="W275" s="4">
        <f>IF(OR($B275="",F275=""),"",--(F275=$B275))</f>
        <v/>
      </c>
      <c r="X275" s="4">
        <f>IF(OR($B275="",F275=""),"",IF($B275=1,--(F275=1),""))</f>
        <v/>
      </c>
      <c r="Y275" s="4">
        <f>IF(OR($B275="",F275=""),"",IF($B275=0,--(F275=0),""))</f>
        <v/>
      </c>
      <c r="Z275" s="4">
        <f>IF(F275="","",--(F275=1))</f>
        <v/>
      </c>
      <c r="AA275" s="4">
        <f>IF(OR($B275="",G275=""),"",--(G275=$B275))</f>
        <v/>
      </c>
      <c r="AB275" s="4">
        <f>IF(OR($B275="",G275=""),"",IF($B275=1,--(G275=1),""))</f>
        <v/>
      </c>
      <c r="AC275" s="4">
        <f>IF(OR($B275="",G275=""),"",IF($B275=0,--(G275=0),""))</f>
        <v/>
      </c>
      <c r="AD275" s="4">
        <f>IF(G275="","",--(G275=1))</f>
        <v/>
      </c>
      <c r="AE275" s="4">
        <f>IF(OR($B275="",H275=""),"",--(H275=$B275))</f>
        <v/>
      </c>
      <c r="AF275" s="4">
        <f>IF(OR($B275="",H275=""),"",IF($B275=1,--(H275=1),""))</f>
        <v/>
      </c>
      <c r="AG275" s="4">
        <f>IF(OR($B275="",H275=""),"",IF($B275=0,--(H275=0),""))</f>
        <v/>
      </c>
      <c r="AH275" s="4">
        <f>IF(H275="","",--(H275=1))</f>
        <v/>
      </c>
      <c r="AI275" s="4">
        <f>IF(OR($B275="",I275=""),"",--(I275=$B275))</f>
        <v/>
      </c>
      <c r="AJ275" s="4">
        <f>IF(OR($B275="",I275=""),"",IF($B275=1,--(I275=1),""))</f>
        <v/>
      </c>
      <c r="AK275" s="4">
        <f>IF(OR($B275="",I275=""),"",IF($B275=0,--(I275=0),""))</f>
        <v/>
      </c>
      <c r="AL275" s="4">
        <f>IF(I275="","",--(I275=1))</f>
        <v/>
      </c>
      <c r="AM275" s="4">
        <f>IF(OR($B275="",J275=""),"",--(J275=$B275))</f>
        <v/>
      </c>
      <c r="AN275" s="4">
        <f>IF(OR($B275="",J275=""),"",IF($B275=1,--(J275=1),""))</f>
        <v/>
      </c>
      <c r="AO275" s="4">
        <f>IF(OR($B275="",J275=""),"",IF($B275=0,--(J275=0),""))</f>
        <v/>
      </c>
      <c r="AP275" s="4">
        <f>IF(J275="","",--(J275=1))</f>
        <v/>
      </c>
      <c r="AQ275" s="4">
        <f>IF(OR($B275="",K275=""),"",--(K275=$B275))</f>
        <v/>
      </c>
      <c r="AR275" s="4">
        <f>IF(OR($B275="",K275=""),"",IF($B275=1,--(K275=1),""))</f>
        <v/>
      </c>
      <c r="AS275" s="4">
        <f>IF(OR($B275="",K275=""),"",IF($B275=0,--(K275=0),""))</f>
        <v/>
      </c>
      <c r="AT275" s="4">
        <f>IF(K275="","",--(K275=1))</f>
        <v/>
      </c>
      <c r="AU275" s="4">
        <f>IF(OR($B275="",L275=""),"",--(L275=$B275))</f>
        <v/>
      </c>
      <c r="AV275" s="4">
        <f>IF(OR($B275="",L275=""),"",IF($B275=1,--(L275=1),""))</f>
        <v/>
      </c>
      <c r="AW275" s="4">
        <f>IF(OR($B275="",L275=""),"",IF($B275=0,--(L275=0),""))</f>
        <v/>
      </c>
      <c r="AX275" s="4">
        <f>IF(L275="","",--(L275=1))</f>
        <v/>
      </c>
      <c r="AY275" s="4">
        <f>IF(OR($B275="",M275=""),"",--(M275=$B275))</f>
        <v/>
      </c>
      <c r="AZ275" s="4">
        <f>IF(OR($B275="",M275=""),"",IF($B275=1,--(M275=1),""))</f>
        <v/>
      </c>
      <c r="BA275" s="4">
        <f>IF(OR($B275="",M275=""),"",IF($B275=0,--(M275=0),""))</f>
        <v/>
      </c>
      <c r="BB275" s="4">
        <f>IF(M275="","",--(M275=1))</f>
        <v/>
      </c>
      <c r="BC275" s="4">
        <f>IF(OR($B275="",N275=""),"",--(N275=$B275))</f>
        <v/>
      </c>
      <c r="BD275" s="4">
        <f>IF(OR($B275="",N275=""),"",IF($B275=1,--(N275=1),""))</f>
        <v/>
      </c>
      <c r="BE275" s="4">
        <f>IF(OR($B275="",N275=""),"",IF($B275=0,--(N275=0),""))</f>
        <v/>
      </c>
      <c r="BF275" s="4">
        <f>IF(N275="","",--(N275=1))</f>
        <v/>
      </c>
    </row>
    <row r="276">
      <c r="A276" s="3" t="inlineStr">
        <is>
          <t>202135464</t>
        </is>
      </c>
      <c r="B276" s="3" t="inlineStr">
        <is>
          <t>1</t>
        </is>
      </c>
      <c r="C276" s="3" t="inlineStr">
        <is>
          <t>Direct</t>
        </is>
      </c>
      <c r="D276" s="3" t="inlineStr">
        <is>
          <t>1</t>
        </is>
      </c>
      <c r="E276" s="3" t="inlineStr">
        <is>
          <t>1</t>
        </is>
      </c>
      <c r="F276" s="3" t="inlineStr">
        <is>
          <t>1</t>
        </is>
      </c>
      <c r="G276" s="3" t="inlineStr">
        <is>
          <t>0</t>
        </is>
      </c>
      <c r="H276" s="3" t="inlineStr">
        <is>
          <t>1</t>
        </is>
      </c>
      <c r="I276" s="3" t="inlineStr">
        <is>
          <t>0</t>
        </is>
      </c>
      <c r="J276" s="3" t="inlineStr">
        <is>
          <t>0</t>
        </is>
      </c>
      <c r="K276" s="3" t="inlineStr">
        <is>
          <t>1</t>
        </is>
      </c>
      <c r="L276" s="3" t="inlineStr">
        <is>
          <t>1</t>
        </is>
      </c>
      <c r="M276" s="3" t="inlineStr">
        <is>
          <t>1</t>
        </is>
      </c>
      <c r="N276" s="3" t="inlineStr">
        <is>
          <t>1</t>
        </is>
      </c>
      <c r="O276" s="4">
        <f>IF(OR($B276="",D276=""),"",--(D276=$B276))</f>
        <v/>
      </c>
      <c r="P276" s="4">
        <f>IF(OR($B276="",D276=""),"",IF($B276=1,--(D276=1),""))</f>
        <v/>
      </c>
      <c r="Q276" s="4">
        <f>IF(OR($B276="",D276=""),"",IF($B276=0,--(D276=0),""))</f>
        <v/>
      </c>
      <c r="R276" s="4">
        <f>IF(D276="","",--(D276=1))</f>
        <v/>
      </c>
      <c r="S276" s="4">
        <f>IF(OR($B276="",E276=""),"",--(E276=$B276))</f>
        <v/>
      </c>
      <c r="T276" s="4">
        <f>IF(OR($B276="",E276=""),"",IF($B276=1,--(E276=1),""))</f>
        <v/>
      </c>
      <c r="U276" s="4">
        <f>IF(OR($B276="",E276=""),"",IF($B276=0,--(E276=0),""))</f>
        <v/>
      </c>
      <c r="V276" s="4">
        <f>IF(E276="","",--(E276=1))</f>
        <v/>
      </c>
      <c r="W276" s="4">
        <f>IF(OR($B276="",F276=""),"",--(F276=$B276))</f>
        <v/>
      </c>
      <c r="X276" s="4">
        <f>IF(OR($B276="",F276=""),"",IF($B276=1,--(F276=1),""))</f>
        <v/>
      </c>
      <c r="Y276" s="4">
        <f>IF(OR($B276="",F276=""),"",IF($B276=0,--(F276=0),""))</f>
        <v/>
      </c>
      <c r="Z276" s="4">
        <f>IF(F276="","",--(F276=1))</f>
        <v/>
      </c>
      <c r="AA276" s="4">
        <f>IF(OR($B276="",G276=""),"",--(G276=$B276))</f>
        <v/>
      </c>
      <c r="AB276" s="4">
        <f>IF(OR($B276="",G276=""),"",IF($B276=1,--(G276=1),""))</f>
        <v/>
      </c>
      <c r="AC276" s="4">
        <f>IF(OR($B276="",G276=""),"",IF($B276=0,--(G276=0),""))</f>
        <v/>
      </c>
      <c r="AD276" s="4">
        <f>IF(G276="","",--(G276=1))</f>
        <v/>
      </c>
      <c r="AE276" s="4">
        <f>IF(OR($B276="",H276=""),"",--(H276=$B276))</f>
        <v/>
      </c>
      <c r="AF276" s="4">
        <f>IF(OR($B276="",H276=""),"",IF($B276=1,--(H276=1),""))</f>
        <v/>
      </c>
      <c r="AG276" s="4">
        <f>IF(OR($B276="",H276=""),"",IF($B276=0,--(H276=0),""))</f>
        <v/>
      </c>
      <c r="AH276" s="4">
        <f>IF(H276="","",--(H276=1))</f>
        <v/>
      </c>
      <c r="AI276" s="4">
        <f>IF(OR($B276="",I276=""),"",--(I276=$B276))</f>
        <v/>
      </c>
      <c r="AJ276" s="4">
        <f>IF(OR($B276="",I276=""),"",IF($B276=1,--(I276=1),""))</f>
        <v/>
      </c>
      <c r="AK276" s="4">
        <f>IF(OR($B276="",I276=""),"",IF($B276=0,--(I276=0),""))</f>
        <v/>
      </c>
      <c r="AL276" s="4">
        <f>IF(I276="","",--(I276=1))</f>
        <v/>
      </c>
      <c r="AM276" s="4">
        <f>IF(OR($B276="",J276=""),"",--(J276=$B276))</f>
        <v/>
      </c>
      <c r="AN276" s="4">
        <f>IF(OR($B276="",J276=""),"",IF($B276=1,--(J276=1),""))</f>
        <v/>
      </c>
      <c r="AO276" s="4">
        <f>IF(OR($B276="",J276=""),"",IF($B276=0,--(J276=0),""))</f>
        <v/>
      </c>
      <c r="AP276" s="4">
        <f>IF(J276="","",--(J276=1))</f>
        <v/>
      </c>
      <c r="AQ276" s="4">
        <f>IF(OR($B276="",K276=""),"",--(K276=$B276))</f>
        <v/>
      </c>
      <c r="AR276" s="4">
        <f>IF(OR($B276="",K276=""),"",IF($B276=1,--(K276=1),""))</f>
        <v/>
      </c>
      <c r="AS276" s="4">
        <f>IF(OR($B276="",K276=""),"",IF($B276=0,--(K276=0),""))</f>
        <v/>
      </c>
      <c r="AT276" s="4">
        <f>IF(K276="","",--(K276=1))</f>
        <v/>
      </c>
      <c r="AU276" s="4">
        <f>IF(OR($B276="",L276=""),"",--(L276=$B276))</f>
        <v/>
      </c>
      <c r="AV276" s="4">
        <f>IF(OR($B276="",L276=""),"",IF($B276=1,--(L276=1),""))</f>
        <v/>
      </c>
      <c r="AW276" s="4">
        <f>IF(OR($B276="",L276=""),"",IF($B276=0,--(L276=0),""))</f>
        <v/>
      </c>
      <c r="AX276" s="4">
        <f>IF(L276="","",--(L276=1))</f>
        <v/>
      </c>
      <c r="AY276" s="4">
        <f>IF(OR($B276="",M276=""),"",--(M276=$B276))</f>
        <v/>
      </c>
      <c r="AZ276" s="4">
        <f>IF(OR($B276="",M276=""),"",IF($B276=1,--(M276=1),""))</f>
        <v/>
      </c>
      <c r="BA276" s="4">
        <f>IF(OR($B276="",M276=""),"",IF($B276=0,--(M276=0),""))</f>
        <v/>
      </c>
      <c r="BB276" s="4">
        <f>IF(M276="","",--(M276=1))</f>
        <v/>
      </c>
      <c r="BC276" s="4">
        <f>IF(OR($B276="",N276=""),"",--(N276=$B276))</f>
        <v/>
      </c>
      <c r="BD276" s="4">
        <f>IF(OR($B276="",N276=""),"",IF($B276=1,--(N276=1),""))</f>
        <v/>
      </c>
      <c r="BE276" s="4">
        <f>IF(OR($B276="",N276=""),"",IF($B276=0,--(N276=0),""))</f>
        <v/>
      </c>
      <c r="BF276" s="4">
        <f>IF(N276="","",--(N276=1))</f>
        <v/>
      </c>
    </row>
    <row r="277">
      <c r="A277" s="3" t="inlineStr">
        <is>
          <t>202135528</t>
        </is>
      </c>
      <c r="B277" s="3" t="inlineStr">
        <is>
          <t>1</t>
        </is>
      </c>
      <c r="C277" s="3" t="inlineStr">
        <is>
          <t>Direct</t>
        </is>
      </c>
      <c r="D277" s="3" t="inlineStr">
        <is>
          <t>1</t>
        </is>
      </c>
      <c r="E277" s="3" t="inlineStr">
        <is>
          <t>1</t>
        </is>
      </c>
      <c r="F277" s="3" t="inlineStr">
        <is>
          <t>1</t>
        </is>
      </c>
      <c r="G277" s="3" t="inlineStr">
        <is>
          <t>1</t>
        </is>
      </c>
      <c r="H277" s="3" t="inlineStr">
        <is>
          <t>1</t>
        </is>
      </c>
      <c r="I277" s="3" t="inlineStr">
        <is>
          <t>1</t>
        </is>
      </c>
      <c r="J277" s="3" t="inlineStr">
        <is>
          <t>1</t>
        </is>
      </c>
      <c r="K277" s="3" t="inlineStr">
        <is>
          <t>1</t>
        </is>
      </c>
      <c r="L277" s="3" t="inlineStr">
        <is>
          <t>1</t>
        </is>
      </c>
      <c r="M277" s="3" t="inlineStr">
        <is>
          <t>1</t>
        </is>
      </c>
      <c r="N277" s="3" t="inlineStr">
        <is>
          <t>1</t>
        </is>
      </c>
      <c r="O277" s="4">
        <f>IF(OR($B277="",D277=""),"",--(D277=$B277))</f>
        <v/>
      </c>
      <c r="P277" s="4">
        <f>IF(OR($B277="",D277=""),"",IF($B277=1,--(D277=1),""))</f>
        <v/>
      </c>
      <c r="Q277" s="4">
        <f>IF(OR($B277="",D277=""),"",IF($B277=0,--(D277=0),""))</f>
        <v/>
      </c>
      <c r="R277" s="4">
        <f>IF(D277="","",--(D277=1))</f>
        <v/>
      </c>
      <c r="S277" s="4">
        <f>IF(OR($B277="",E277=""),"",--(E277=$B277))</f>
        <v/>
      </c>
      <c r="T277" s="4">
        <f>IF(OR($B277="",E277=""),"",IF($B277=1,--(E277=1),""))</f>
        <v/>
      </c>
      <c r="U277" s="4">
        <f>IF(OR($B277="",E277=""),"",IF($B277=0,--(E277=0),""))</f>
        <v/>
      </c>
      <c r="V277" s="4">
        <f>IF(E277="","",--(E277=1))</f>
        <v/>
      </c>
      <c r="W277" s="4">
        <f>IF(OR($B277="",F277=""),"",--(F277=$B277))</f>
        <v/>
      </c>
      <c r="X277" s="4">
        <f>IF(OR($B277="",F277=""),"",IF($B277=1,--(F277=1),""))</f>
        <v/>
      </c>
      <c r="Y277" s="4">
        <f>IF(OR($B277="",F277=""),"",IF($B277=0,--(F277=0),""))</f>
        <v/>
      </c>
      <c r="Z277" s="4">
        <f>IF(F277="","",--(F277=1))</f>
        <v/>
      </c>
      <c r="AA277" s="4">
        <f>IF(OR($B277="",G277=""),"",--(G277=$B277))</f>
        <v/>
      </c>
      <c r="AB277" s="4">
        <f>IF(OR($B277="",G277=""),"",IF($B277=1,--(G277=1),""))</f>
        <v/>
      </c>
      <c r="AC277" s="4">
        <f>IF(OR($B277="",G277=""),"",IF($B277=0,--(G277=0),""))</f>
        <v/>
      </c>
      <c r="AD277" s="4">
        <f>IF(G277="","",--(G277=1))</f>
        <v/>
      </c>
      <c r="AE277" s="4">
        <f>IF(OR($B277="",H277=""),"",--(H277=$B277))</f>
        <v/>
      </c>
      <c r="AF277" s="4">
        <f>IF(OR($B277="",H277=""),"",IF($B277=1,--(H277=1),""))</f>
        <v/>
      </c>
      <c r="AG277" s="4">
        <f>IF(OR($B277="",H277=""),"",IF($B277=0,--(H277=0),""))</f>
        <v/>
      </c>
      <c r="AH277" s="4">
        <f>IF(H277="","",--(H277=1))</f>
        <v/>
      </c>
      <c r="AI277" s="4">
        <f>IF(OR($B277="",I277=""),"",--(I277=$B277))</f>
        <v/>
      </c>
      <c r="AJ277" s="4">
        <f>IF(OR($B277="",I277=""),"",IF($B277=1,--(I277=1),""))</f>
        <v/>
      </c>
      <c r="AK277" s="4">
        <f>IF(OR($B277="",I277=""),"",IF($B277=0,--(I277=0),""))</f>
        <v/>
      </c>
      <c r="AL277" s="4">
        <f>IF(I277="","",--(I277=1))</f>
        <v/>
      </c>
      <c r="AM277" s="4">
        <f>IF(OR($B277="",J277=""),"",--(J277=$B277))</f>
        <v/>
      </c>
      <c r="AN277" s="4">
        <f>IF(OR($B277="",J277=""),"",IF($B277=1,--(J277=1),""))</f>
        <v/>
      </c>
      <c r="AO277" s="4">
        <f>IF(OR($B277="",J277=""),"",IF($B277=0,--(J277=0),""))</f>
        <v/>
      </c>
      <c r="AP277" s="4">
        <f>IF(J277="","",--(J277=1))</f>
        <v/>
      </c>
      <c r="AQ277" s="4">
        <f>IF(OR($B277="",K277=""),"",--(K277=$B277))</f>
        <v/>
      </c>
      <c r="AR277" s="4">
        <f>IF(OR($B277="",K277=""),"",IF($B277=1,--(K277=1),""))</f>
        <v/>
      </c>
      <c r="AS277" s="4">
        <f>IF(OR($B277="",K277=""),"",IF($B277=0,--(K277=0),""))</f>
        <v/>
      </c>
      <c r="AT277" s="4">
        <f>IF(K277="","",--(K277=1))</f>
        <v/>
      </c>
      <c r="AU277" s="4">
        <f>IF(OR($B277="",L277=""),"",--(L277=$B277))</f>
        <v/>
      </c>
      <c r="AV277" s="4">
        <f>IF(OR($B277="",L277=""),"",IF($B277=1,--(L277=1),""))</f>
        <v/>
      </c>
      <c r="AW277" s="4">
        <f>IF(OR($B277="",L277=""),"",IF($B277=0,--(L277=0),""))</f>
        <v/>
      </c>
      <c r="AX277" s="4">
        <f>IF(L277="","",--(L277=1))</f>
        <v/>
      </c>
      <c r="AY277" s="4">
        <f>IF(OR($B277="",M277=""),"",--(M277=$B277))</f>
        <v/>
      </c>
      <c r="AZ277" s="4">
        <f>IF(OR($B277="",M277=""),"",IF($B277=1,--(M277=1),""))</f>
        <v/>
      </c>
      <c r="BA277" s="4">
        <f>IF(OR($B277="",M277=""),"",IF($B277=0,--(M277=0),""))</f>
        <v/>
      </c>
      <c r="BB277" s="4">
        <f>IF(M277="","",--(M277=1))</f>
        <v/>
      </c>
      <c r="BC277" s="4">
        <f>IF(OR($B277="",N277=""),"",--(N277=$B277))</f>
        <v/>
      </c>
      <c r="BD277" s="4">
        <f>IF(OR($B277="",N277=""),"",IF($B277=1,--(N277=1),""))</f>
        <v/>
      </c>
      <c r="BE277" s="4">
        <f>IF(OR($B277="",N277=""),"",IF($B277=0,--(N277=0),""))</f>
        <v/>
      </c>
      <c r="BF277" s="4">
        <f>IF(N277="","",--(N277=1))</f>
        <v/>
      </c>
    </row>
    <row r="278">
      <c r="A278" s="3" t="inlineStr">
        <is>
          <t>202135719</t>
        </is>
      </c>
      <c r="B278" s="3" t="inlineStr">
        <is>
          <t>1</t>
        </is>
      </c>
      <c r="C278" s="3" t="inlineStr">
        <is>
          <t>Direct</t>
        </is>
      </c>
      <c r="D278" s="3" t="inlineStr">
        <is>
          <t>1</t>
        </is>
      </c>
      <c r="E278" s="3" t="inlineStr">
        <is>
          <t>1</t>
        </is>
      </c>
      <c r="F278" s="3" t="inlineStr">
        <is>
          <t>0</t>
        </is>
      </c>
      <c r="G278" s="3" t="inlineStr">
        <is>
          <t>0</t>
        </is>
      </c>
      <c r="H278" s="3" t="inlineStr">
        <is>
          <t>1</t>
        </is>
      </c>
      <c r="I278" s="3" t="inlineStr">
        <is>
          <t>0</t>
        </is>
      </c>
      <c r="J278" s="3" t="inlineStr">
        <is>
          <t>1</t>
        </is>
      </c>
      <c r="K278" s="3" t="inlineStr">
        <is>
          <t>1</t>
        </is>
      </c>
      <c r="L278" s="3" t="inlineStr">
        <is>
          <t>1</t>
        </is>
      </c>
      <c r="M278" s="3" t="inlineStr">
        <is>
          <t>1</t>
        </is>
      </c>
      <c r="N278" s="3" t="inlineStr">
        <is>
          <t>1</t>
        </is>
      </c>
      <c r="O278" s="4">
        <f>IF(OR($B278="",D278=""),"",--(D278=$B278))</f>
        <v/>
      </c>
      <c r="P278" s="4">
        <f>IF(OR($B278="",D278=""),"",IF($B278=1,--(D278=1),""))</f>
        <v/>
      </c>
      <c r="Q278" s="4">
        <f>IF(OR($B278="",D278=""),"",IF($B278=0,--(D278=0),""))</f>
        <v/>
      </c>
      <c r="R278" s="4">
        <f>IF(D278="","",--(D278=1))</f>
        <v/>
      </c>
      <c r="S278" s="4">
        <f>IF(OR($B278="",E278=""),"",--(E278=$B278))</f>
        <v/>
      </c>
      <c r="T278" s="4">
        <f>IF(OR($B278="",E278=""),"",IF($B278=1,--(E278=1),""))</f>
        <v/>
      </c>
      <c r="U278" s="4">
        <f>IF(OR($B278="",E278=""),"",IF($B278=0,--(E278=0),""))</f>
        <v/>
      </c>
      <c r="V278" s="4">
        <f>IF(E278="","",--(E278=1))</f>
        <v/>
      </c>
      <c r="W278" s="4">
        <f>IF(OR($B278="",F278=""),"",--(F278=$B278))</f>
        <v/>
      </c>
      <c r="X278" s="4">
        <f>IF(OR($B278="",F278=""),"",IF($B278=1,--(F278=1),""))</f>
        <v/>
      </c>
      <c r="Y278" s="4">
        <f>IF(OR($B278="",F278=""),"",IF($B278=0,--(F278=0),""))</f>
        <v/>
      </c>
      <c r="Z278" s="4">
        <f>IF(F278="","",--(F278=1))</f>
        <v/>
      </c>
      <c r="AA278" s="4">
        <f>IF(OR($B278="",G278=""),"",--(G278=$B278))</f>
        <v/>
      </c>
      <c r="AB278" s="4">
        <f>IF(OR($B278="",G278=""),"",IF($B278=1,--(G278=1),""))</f>
        <v/>
      </c>
      <c r="AC278" s="4">
        <f>IF(OR($B278="",G278=""),"",IF($B278=0,--(G278=0),""))</f>
        <v/>
      </c>
      <c r="AD278" s="4">
        <f>IF(G278="","",--(G278=1))</f>
        <v/>
      </c>
      <c r="AE278" s="4">
        <f>IF(OR($B278="",H278=""),"",--(H278=$B278))</f>
        <v/>
      </c>
      <c r="AF278" s="4">
        <f>IF(OR($B278="",H278=""),"",IF($B278=1,--(H278=1),""))</f>
        <v/>
      </c>
      <c r="AG278" s="4">
        <f>IF(OR($B278="",H278=""),"",IF($B278=0,--(H278=0),""))</f>
        <v/>
      </c>
      <c r="AH278" s="4">
        <f>IF(H278="","",--(H278=1))</f>
        <v/>
      </c>
      <c r="AI278" s="4">
        <f>IF(OR($B278="",I278=""),"",--(I278=$B278))</f>
        <v/>
      </c>
      <c r="AJ278" s="4">
        <f>IF(OR($B278="",I278=""),"",IF($B278=1,--(I278=1),""))</f>
        <v/>
      </c>
      <c r="AK278" s="4">
        <f>IF(OR($B278="",I278=""),"",IF($B278=0,--(I278=0),""))</f>
        <v/>
      </c>
      <c r="AL278" s="4">
        <f>IF(I278="","",--(I278=1))</f>
        <v/>
      </c>
      <c r="AM278" s="4">
        <f>IF(OR($B278="",J278=""),"",--(J278=$B278))</f>
        <v/>
      </c>
      <c r="AN278" s="4">
        <f>IF(OR($B278="",J278=""),"",IF($B278=1,--(J278=1),""))</f>
        <v/>
      </c>
      <c r="AO278" s="4">
        <f>IF(OR($B278="",J278=""),"",IF($B278=0,--(J278=0),""))</f>
        <v/>
      </c>
      <c r="AP278" s="4">
        <f>IF(J278="","",--(J278=1))</f>
        <v/>
      </c>
      <c r="AQ278" s="4">
        <f>IF(OR($B278="",K278=""),"",--(K278=$B278))</f>
        <v/>
      </c>
      <c r="AR278" s="4">
        <f>IF(OR($B278="",K278=""),"",IF($B278=1,--(K278=1),""))</f>
        <v/>
      </c>
      <c r="AS278" s="4">
        <f>IF(OR($B278="",K278=""),"",IF($B278=0,--(K278=0),""))</f>
        <v/>
      </c>
      <c r="AT278" s="4">
        <f>IF(K278="","",--(K278=1))</f>
        <v/>
      </c>
      <c r="AU278" s="4">
        <f>IF(OR($B278="",L278=""),"",--(L278=$B278))</f>
        <v/>
      </c>
      <c r="AV278" s="4">
        <f>IF(OR($B278="",L278=""),"",IF($B278=1,--(L278=1),""))</f>
        <v/>
      </c>
      <c r="AW278" s="4">
        <f>IF(OR($B278="",L278=""),"",IF($B278=0,--(L278=0),""))</f>
        <v/>
      </c>
      <c r="AX278" s="4">
        <f>IF(L278="","",--(L278=1))</f>
        <v/>
      </c>
      <c r="AY278" s="4">
        <f>IF(OR($B278="",M278=""),"",--(M278=$B278))</f>
        <v/>
      </c>
      <c r="AZ278" s="4">
        <f>IF(OR($B278="",M278=""),"",IF($B278=1,--(M278=1),""))</f>
        <v/>
      </c>
      <c r="BA278" s="4">
        <f>IF(OR($B278="",M278=""),"",IF($B278=0,--(M278=0),""))</f>
        <v/>
      </c>
      <c r="BB278" s="4">
        <f>IF(M278="","",--(M278=1))</f>
        <v/>
      </c>
      <c r="BC278" s="4">
        <f>IF(OR($B278="",N278=""),"",--(N278=$B278))</f>
        <v/>
      </c>
      <c r="BD278" s="4">
        <f>IF(OR($B278="",N278=""),"",IF($B278=1,--(N278=1),""))</f>
        <v/>
      </c>
      <c r="BE278" s="4">
        <f>IF(OR($B278="",N278=""),"",IF($B278=0,--(N278=0),""))</f>
        <v/>
      </c>
      <c r="BF278" s="4">
        <f>IF(N278="","",--(N278=1))</f>
        <v/>
      </c>
    </row>
    <row r="279">
      <c r="A279" s="3" t="inlineStr">
        <is>
          <t>202136063</t>
        </is>
      </c>
      <c r="B279" s="3" t="inlineStr">
        <is>
          <t>0</t>
        </is>
      </c>
      <c r="C279" s="3" t="inlineStr">
        <is>
          <t>Direct</t>
        </is>
      </c>
      <c r="D279" s="3" t="inlineStr">
        <is>
          <t>1</t>
        </is>
      </c>
      <c r="E279" s="3" t="inlineStr">
        <is>
          <t>1</t>
        </is>
      </c>
      <c r="F279" s="3" t="inlineStr">
        <is>
          <t>0</t>
        </is>
      </c>
      <c r="G279" s="3" t="inlineStr">
        <is>
          <t>1</t>
        </is>
      </c>
      <c r="H279" s="3" t="inlineStr">
        <is>
          <t>1</t>
        </is>
      </c>
      <c r="I279" s="3" t="inlineStr">
        <is>
          <t>1</t>
        </is>
      </c>
      <c r="J279" s="3" t="inlineStr">
        <is>
          <t>1</t>
        </is>
      </c>
      <c r="K279" s="3" t="inlineStr">
        <is>
          <t>1</t>
        </is>
      </c>
      <c r="L279" s="3" t="inlineStr">
        <is>
          <t>1</t>
        </is>
      </c>
      <c r="M279" s="3" t="inlineStr">
        <is>
          <t>1</t>
        </is>
      </c>
      <c r="N279" s="3" t="inlineStr">
        <is>
          <t>1</t>
        </is>
      </c>
      <c r="O279" s="4">
        <f>IF(OR($B279="",D279=""),"",--(D279=$B279))</f>
        <v/>
      </c>
      <c r="P279" s="4">
        <f>IF(OR($B279="",D279=""),"",IF($B279=1,--(D279=1),""))</f>
        <v/>
      </c>
      <c r="Q279" s="4">
        <f>IF(OR($B279="",D279=""),"",IF($B279=0,--(D279=0),""))</f>
        <v/>
      </c>
      <c r="R279" s="4">
        <f>IF(D279="","",--(D279=1))</f>
        <v/>
      </c>
      <c r="S279" s="4">
        <f>IF(OR($B279="",E279=""),"",--(E279=$B279))</f>
        <v/>
      </c>
      <c r="T279" s="4">
        <f>IF(OR($B279="",E279=""),"",IF($B279=1,--(E279=1),""))</f>
        <v/>
      </c>
      <c r="U279" s="4">
        <f>IF(OR($B279="",E279=""),"",IF($B279=0,--(E279=0),""))</f>
        <v/>
      </c>
      <c r="V279" s="4">
        <f>IF(E279="","",--(E279=1))</f>
        <v/>
      </c>
      <c r="W279" s="4">
        <f>IF(OR($B279="",F279=""),"",--(F279=$B279))</f>
        <v/>
      </c>
      <c r="X279" s="4">
        <f>IF(OR($B279="",F279=""),"",IF($B279=1,--(F279=1),""))</f>
        <v/>
      </c>
      <c r="Y279" s="4">
        <f>IF(OR($B279="",F279=""),"",IF($B279=0,--(F279=0),""))</f>
        <v/>
      </c>
      <c r="Z279" s="4">
        <f>IF(F279="","",--(F279=1))</f>
        <v/>
      </c>
      <c r="AA279" s="4">
        <f>IF(OR($B279="",G279=""),"",--(G279=$B279))</f>
        <v/>
      </c>
      <c r="AB279" s="4">
        <f>IF(OR($B279="",G279=""),"",IF($B279=1,--(G279=1),""))</f>
        <v/>
      </c>
      <c r="AC279" s="4">
        <f>IF(OR($B279="",G279=""),"",IF($B279=0,--(G279=0),""))</f>
        <v/>
      </c>
      <c r="AD279" s="4">
        <f>IF(G279="","",--(G279=1))</f>
        <v/>
      </c>
      <c r="AE279" s="4">
        <f>IF(OR($B279="",H279=""),"",--(H279=$B279))</f>
        <v/>
      </c>
      <c r="AF279" s="4">
        <f>IF(OR($B279="",H279=""),"",IF($B279=1,--(H279=1),""))</f>
        <v/>
      </c>
      <c r="AG279" s="4">
        <f>IF(OR($B279="",H279=""),"",IF($B279=0,--(H279=0),""))</f>
        <v/>
      </c>
      <c r="AH279" s="4">
        <f>IF(H279="","",--(H279=1))</f>
        <v/>
      </c>
      <c r="AI279" s="4">
        <f>IF(OR($B279="",I279=""),"",--(I279=$B279))</f>
        <v/>
      </c>
      <c r="AJ279" s="4">
        <f>IF(OR($B279="",I279=""),"",IF($B279=1,--(I279=1),""))</f>
        <v/>
      </c>
      <c r="AK279" s="4">
        <f>IF(OR($B279="",I279=""),"",IF($B279=0,--(I279=0),""))</f>
        <v/>
      </c>
      <c r="AL279" s="4">
        <f>IF(I279="","",--(I279=1))</f>
        <v/>
      </c>
      <c r="AM279" s="4">
        <f>IF(OR($B279="",J279=""),"",--(J279=$B279))</f>
        <v/>
      </c>
      <c r="AN279" s="4">
        <f>IF(OR($B279="",J279=""),"",IF($B279=1,--(J279=1),""))</f>
        <v/>
      </c>
      <c r="AO279" s="4">
        <f>IF(OR($B279="",J279=""),"",IF($B279=0,--(J279=0),""))</f>
        <v/>
      </c>
      <c r="AP279" s="4">
        <f>IF(J279="","",--(J279=1))</f>
        <v/>
      </c>
      <c r="AQ279" s="4">
        <f>IF(OR($B279="",K279=""),"",--(K279=$B279))</f>
        <v/>
      </c>
      <c r="AR279" s="4">
        <f>IF(OR($B279="",K279=""),"",IF($B279=1,--(K279=1),""))</f>
        <v/>
      </c>
      <c r="AS279" s="4">
        <f>IF(OR($B279="",K279=""),"",IF($B279=0,--(K279=0),""))</f>
        <v/>
      </c>
      <c r="AT279" s="4">
        <f>IF(K279="","",--(K279=1))</f>
        <v/>
      </c>
      <c r="AU279" s="4">
        <f>IF(OR($B279="",L279=""),"",--(L279=$B279))</f>
        <v/>
      </c>
      <c r="AV279" s="4">
        <f>IF(OR($B279="",L279=""),"",IF($B279=1,--(L279=1),""))</f>
        <v/>
      </c>
      <c r="AW279" s="4">
        <f>IF(OR($B279="",L279=""),"",IF($B279=0,--(L279=0),""))</f>
        <v/>
      </c>
      <c r="AX279" s="4">
        <f>IF(L279="","",--(L279=1))</f>
        <v/>
      </c>
      <c r="AY279" s="4">
        <f>IF(OR($B279="",M279=""),"",--(M279=$B279))</f>
        <v/>
      </c>
      <c r="AZ279" s="4">
        <f>IF(OR($B279="",M279=""),"",IF($B279=1,--(M279=1),""))</f>
        <v/>
      </c>
      <c r="BA279" s="4">
        <f>IF(OR($B279="",M279=""),"",IF($B279=0,--(M279=0),""))</f>
        <v/>
      </c>
      <c r="BB279" s="4">
        <f>IF(M279="","",--(M279=1))</f>
        <v/>
      </c>
      <c r="BC279" s="4">
        <f>IF(OR($B279="",N279=""),"",--(N279=$B279))</f>
        <v/>
      </c>
      <c r="BD279" s="4">
        <f>IF(OR($B279="",N279=""),"",IF($B279=1,--(N279=1),""))</f>
        <v/>
      </c>
      <c r="BE279" s="4">
        <f>IF(OR($B279="",N279=""),"",IF($B279=0,--(N279=0),""))</f>
        <v/>
      </c>
      <c r="BF279" s="4">
        <f>IF(N279="","",--(N279=1))</f>
        <v/>
      </c>
    </row>
    <row r="280">
      <c r="A280" s="3" t="inlineStr">
        <is>
          <t>202136153</t>
        </is>
      </c>
      <c r="B280" s="3" t="inlineStr">
        <is>
          <t>1</t>
        </is>
      </c>
      <c r="C280" s="3" t="inlineStr">
        <is>
          <t>Direct</t>
        </is>
      </c>
      <c r="D280" s="3" t="inlineStr">
        <is>
          <t>1</t>
        </is>
      </c>
      <c r="E280" s="3" t="inlineStr">
        <is>
          <t>1</t>
        </is>
      </c>
      <c r="F280" s="3" t="inlineStr">
        <is>
          <t>1</t>
        </is>
      </c>
      <c r="G280" s="3" t="inlineStr">
        <is>
          <t>0</t>
        </is>
      </c>
      <c r="H280" s="3" t="inlineStr">
        <is>
          <t>1</t>
        </is>
      </c>
      <c r="I280" s="3" t="inlineStr">
        <is>
          <t>1</t>
        </is>
      </c>
      <c r="J280" s="3" t="inlineStr">
        <is>
          <t>1</t>
        </is>
      </c>
      <c r="K280" s="3" t="inlineStr">
        <is>
          <t>1</t>
        </is>
      </c>
      <c r="L280" s="3" t="inlineStr">
        <is>
          <t>1</t>
        </is>
      </c>
      <c r="M280" s="3" t="inlineStr">
        <is>
          <t>1</t>
        </is>
      </c>
      <c r="N280" s="3" t="inlineStr">
        <is>
          <t>1</t>
        </is>
      </c>
      <c r="O280" s="4">
        <f>IF(OR($B280="",D280=""),"",--(D280=$B280))</f>
        <v/>
      </c>
      <c r="P280" s="4">
        <f>IF(OR($B280="",D280=""),"",IF($B280=1,--(D280=1),""))</f>
        <v/>
      </c>
      <c r="Q280" s="4">
        <f>IF(OR($B280="",D280=""),"",IF($B280=0,--(D280=0),""))</f>
        <v/>
      </c>
      <c r="R280" s="4">
        <f>IF(D280="","",--(D280=1))</f>
        <v/>
      </c>
      <c r="S280" s="4">
        <f>IF(OR($B280="",E280=""),"",--(E280=$B280))</f>
        <v/>
      </c>
      <c r="T280" s="4">
        <f>IF(OR($B280="",E280=""),"",IF($B280=1,--(E280=1),""))</f>
        <v/>
      </c>
      <c r="U280" s="4">
        <f>IF(OR($B280="",E280=""),"",IF($B280=0,--(E280=0),""))</f>
        <v/>
      </c>
      <c r="V280" s="4">
        <f>IF(E280="","",--(E280=1))</f>
        <v/>
      </c>
      <c r="W280" s="4">
        <f>IF(OR($B280="",F280=""),"",--(F280=$B280))</f>
        <v/>
      </c>
      <c r="X280" s="4">
        <f>IF(OR($B280="",F280=""),"",IF($B280=1,--(F280=1),""))</f>
        <v/>
      </c>
      <c r="Y280" s="4">
        <f>IF(OR($B280="",F280=""),"",IF($B280=0,--(F280=0),""))</f>
        <v/>
      </c>
      <c r="Z280" s="4">
        <f>IF(F280="","",--(F280=1))</f>
        <v/>
      </c>
      <c r="AA280" s="4">
        <f>IF(OR($B280="",G280=""),"",--(G280=$B280))</f>
        <v/>
      </c>
      <c r="AB280" s="4">
        <f>IF(OR($B280="",G280=""),"",IF($B280=1,--(G280=1),""))</f>
        <v/>
      </c>
      <c r="AC280" s="4">
        <f>IF(OR($B280="",G280=""),"",IF($B280=0,--(G280=0),""))</f>
        <v/>
      </c>
      <c r="AD280" s="4">
        <f>IF(G280="","",--(G280=1))</f>
        <v/>
      </c>
      <c r="AE280" s="4">
        <f>IF(OR($B280="",H280=""),"",--(H280=$B280))</f>
        <v/>
      </c>
      <c r="AF280" s="4">
        <f>IF(OR($B280="",H280=""),"",IF($B280=1,--(H280=1),""))</f>
        <v/>
      </c>
      <c r="AG280" s="4">
        <f>IF(OR($B280="",H280=""),"",IF($B280=0,--(H280=0),""))</f>
        <v/>
      </c>
      <c r="AH280" s="4">
        <f>IF(H280="","",--(H280=1))</f>
        <v/>
      </c>
      <c r="AI280" s="4">
        <f>IF(OR($B280="",I280=""),"",--(I280=$B280))</f>
        <v/>
      </c>
      <c r="AJ280" s="4">
        <f>IF(OR($B280="",I280=""),"",IF($B280=1,--(I280=1),""))</f>
        <v/>
      </c>
      <c r="AK280" s="4">
        <f>IF(OR($B280="",I280=""),"",IF($B280=0,--(I280=0),""))</f>
        <v/>
      </c>
      <c r="AL280" s="4">
        <f>IF(I280="","",--(I280=1))</f>
        <v/>
      </c>
      <c r="AM280" s="4">
        <f>IF(OR($B280="",J280=""),"",--(J280=$B280))</f>
        <v/>
      </c>
      <c r="AN280" s="4">
        <f>IF(OR($B280="",J280=""),"",IF($B280=1,--(J280=1),""))</f>
        <v/>
      </c>
      <c r="AO280" s="4">
        <f>IF(OR($B280="",J280=""),"",IF($B280=0,--(J280=0),""))</f>
        <v/>
      </c>
      <c r="AP280" s="4">
        <f>IF(J280="","",--(J280=1))</f>
        <v/>
      </c>
      <c r="AQ280" s="4">
        <f>IF(OR($B280="",K280=""),"",--(K280=$B280))</f>
        <v/>
      </c>
      <c r="AR280" s="4">
        <f>IF(OR($B280="",K280=""),"",IF($B280=1,--(K280=1),""))</f>
        <v/>
      </c>
      <c r="AS280" s="4">
        <f>IF(OR($B280="",K280=""),"",IF($B280=0,--(K280=0),""))</f>
        <v/>
      </c>
      <c r="AT280" s="4">
        <f>IF(K280="","",--(K280=1))</f>
        <v/>
      </c>
      <c r="AU280" s="4">
        <f>IF(OR($B280="",L280=""),"",--(L280=$B280))</f>
        <v/>
      </c>
      <c r="AV280" s="4">
        <f>IF(OR($B280="",L280=""),"",IF($B280=1,--(L280=1),""))</f>
        <v/>
      </c>
      <c r="AW280" s="4">
        <f>IF(OR($B280="",L280=""),"",IF($B280=0,--(L280=0),""))</f>
        <v/>
      </c>
      <c r="AX280" s="4">
        <f>IF(L280="","",--(L280=1))</f>
        <v/>
      </c>
      <c r="AY280" s="4">
        <f>IF(OR($B280="",M280=""),"",--(M280=$B280))</f>
        <v/>
      </c>
      <c r="AZ280" s="4">
        <f>IF(OR($B280="",M280=""),"",IF($B280=1,--(M280=1),""))</f>
        <v/>
      </c>
      <c r="BA280" s="4">
        <f>IF(OR($B280="",M280=""),"",IF($B280=0,--(M280=0),""))</f>
        <v/>
      </c>
      <c r="BB280" s="4">
        <f>IF(M280="","",--(M280=1))</f>
        <v/>
      </c>
      <c r="BC280" s="4">
        <f>IF(OR($B280="",N280=""),"",--(N280=$B280))</f>
        <v/>
      </c>
      <c r="BD280" s="4">
        <f>IF(OR($B280="",N280=""),"",IF($B280=1,--(N280=1),""))</f>
        <v/>
      </c>
      <c r="BE280" s="4">
        <f>IF(OR($B280="",N280=""),"",IF($B280=0,--(N280=0),""))</f>
        <v/>
      </c>
      <c r="BF280" s="4">
        <f>IF(N280="","",--(N280=1))</f>
        <v/>
      </c>
    </row>
    <row r="281">
      <c r="A281" s="3" t="inlineStr">
        <is>
          <t>202136521</t>
        </is>
      </c>
      <c r="B281" s="3" t="inlineStr">
        <is>
          <t>1</t>
        </is>
      </c>
      <c r="C281" s="3" t="inlineStr">
        <is>
          <t>Direct</t>
        </is>
      </c>
      <c r="D281" s="3" t="inlineStr">
        <is>
          <t>1</t>
        </is>
      </c>
      <c r="E281" s="3" t="inlineStr">
        <is>
          <t>1</t>
        </is>
      </c>
      <c r="F281" s="3" t="inlineStr">
        <is>
          <t>1</t>
        </is>
      </c>
      <c r="G281" s="3" t="inlineStr">
        <is>
          <t>1</t>
        </is>
      </c>
      <c r="H281" s="3" t="inlineStr">
        <is>
          <t>1</t>
        </is>
      </c>
      <c r="I281" s="3" t="inlineStr">
        <is>
          <t>1</t>
        </is>
      </c>
      <c r="J281" s="3" t="inlineStr">
        <is>
          <t>1</t>
        </is>
      </c>
      <c r="K281" s="3" t="inlineStr">
        <is>
          <t>1</t>
        </is>
      </c>
      <c r="L281" s="3" t="inlineStr">
        <is>
          <t>1</t>
        </is>
      </c>
      <c r="M281" s="3" t="inlineStr">
        <is>
          <t>1</t>
        </is>
      </c>
      <c r="N281" s="3" t="inlineStr">
        <is>
          <t>1</t>
        </is>
      </c>
      <c r="O281" s="4">
        <f>IF(OR($B281="",D281=""),"",--(D281=$B281))</f>
        <v/>
      </c>
      <c r="P281" s="4">
        <f>IF(OR($B281="",D281=""),"",IF($B281=1,--(D281=1),""))</f>
        <v/>
      </c>
      <c r="Q281" s="4">
        <f>IF(OR($B281="",D281=""),"",IF($B281=0,--(D281=0),""))</f>
        <v/>
      </c>
      <c r="R281" s="4">
        <f>IF(D281="","",--(D281=1))</f>
        <v/>
      </c>
      <c r="S281" s="4">
        <f>IF(OR($B281="",E281=""),"",--(E281=$B281))</f>
        <v/>
      </c>
      <c r="T281" s="4">
        <f>IF(OR($B281="",E281=""),"",IF($B281=1,--(E281=1),""))</f>
        <v/>
      </c>
      <c r="U281" s="4">
        <f>IF(OR($B281="",E281=""),"",IF($B281=0,--(E281=0),""))</f>
        <v/>
      </c>
      <c r="V281" s="4">
        <f>IF(E281="","",--(E281=1))</f>
        <v/>
      </c>
      <c r="W281" s="4">
        <f>IF(OR($B281="",F281=""),"",--(F281=$B281))</f>
        <v/>
      </c>
      <c r="X281" s="4">
        <f>IF(OR($B281="",F281=""),"",IF($B281=1,--(F281=1),""))</f>
        <v/>
      </c>
      <c r="Y281" s="4">
        <f>IF(OR($B281="",F281=""),"",IF($B281=0,--(F281=0),""))</f>
        <v/>
      </c>
      <c r="Z281" s="4">
        <f>IF(F281="","",--(F281=1))</f>
        <v/>
      </c>
      <c r="AA281" s="4">
        <f>IF(OR($B281="",G281=""),"",--(G281=$B281))</f>
        <v/>
      </c>
      <c r="AB281" s="4">
        <f>IF(OR($B281="",G281=""),"",IF($B281=1,--(G281=1),""))</f>
        <v/>
      </c>
      <c r="AC281" s="4">
        <f>IF(OR($B281="",G281=""),"",IF($B281=0,--(G281=0),""))</f>
        <v/>
      </c>
      <c r="AD281" s="4">
        <f>IF(G281="","",--(G281=1))</f>
        <v/>
      </c>
      <c r="AE281" s="4">
        <f>IF(OR($B281="",H281=""),"",--(H281=$B281))</f>
        <v/>
      </c>
      <c r="AF281" s="4">
        <f>IF(OR($B281="",H281=""),"",IF($B281=1,--(H281=1),""))</f>
        <v/>
      </c>
      <c r="AG281" s="4">
        <f>IF(OR($B281="",H281=""),"",IF($B281=0,--(H281=0),""))</f>
        <v/>
      </c>
      <c r="AH281" s="4">
        <f>IF(H281="","",--(H281=1))</f>
        <v/>
      </c>
      <c r="AI281" s="4">
        <f>IF(OR($B281="",I281=""),"",--(I281=$B281))</f>
        <v/>
      </c>
      <c r="AJ281" s="4">
        <f>IF(OR($B281="",I281=""),"",IF($B281=1,--(I281=1),""))</f>
        <v/>
      </c>
      <c r="AK281" s="4">
        <f>IF(OR($B281="",I281=""),"",IF($B281=0,--(I281=0),""))</f>
        <v/>
      </c>
      <c r="AL281" s="4">
        <f>IF(I281="","",--(I281=1))</f>
        <v/>
      </c>
      <c r="AM281" s="4">
        <f>IF(OR($B281="",J281=""),"",--(J281=$B281))</f>
        <v/>
      </c>
      <c r="AN281" s="4">
        <f>IF(OR($B281="",J281=""),"",IF($B281=1,--(J281=1),""))</f>
        <v/>
      </c>
      <c r="AO281" s="4">
        <f>IF(OR($B281="",J281=""),"",IF($B281=0,--(J281=0),""))</f>
        <v/>
      </c>
      <c r="AP281" s="4">
        <f>IF(J281="","",--(J281=1))</f>
        <v/>
      </c>
      <c r="AQ281" s="4">
        <f>IF(OR($B281="",K281=""),"",--(K281=$B281))</f>
        <v/>
      </c>
      <c r="AR281" s="4">
        <f>IF(OR($B281="",K281=""),"",IF($B281=1,--(K281=1),""))</f>
        <v/>
      </c>
      <c r="AS281" s="4">
        <f>IF(OR($B281="",K281=""),"",IF($B281=0,--(K281=0),""))</f>
        <v/>
      </c>
      <c r="AT281" s="4">
        <f>IF(K281="","",--(K281=1))</f>
        <v/>
      </c>
      <c r="AU281" s="4">
        <f>IF(OR($B281="",L281=""),"",--(L281=$B281))</f>
        <v/>
      </c>
      <c r="AV281" s="4">
        <f>IF(OR($B281="",L281=""),"",IF($B281=1,--(L281=1),""))</f>
        <v/>
      </c>
      <c r="AW281" s="4">
        <f>IF(OR($B281="",L281=""),"",IF($B281=0,--(L281=0),""))</f>
        <v/>
      </c>
      <c r="AX281" s="4">
        <f>IF(L281="","",--(L281=1))</f>
        <v/>
      </c>
      <c r="AY281" s="4">
        <f>IF(OR($B281="",M281=""),"",--(M281=$B281))</f>
        <v/>
      </c>
      <c r="AZ281" s="4">
        <f>IF(OR($B281="",M281=""),"",IF($B281=1,--(M281=1),""))</f>
        <v/>
      </c>
      <c r="BA281" s="4">
        <f>IF(OR($B281="",M281=""),"",IF($B281=0,--(M281=0),""))</f>
        <v/>
      </c>
      <c r="BB281" s="4">
        <f>IF(M281="","",--(M281=1))</f>
        <v/>
      </c>
      <c r="BC281" s="4">
        <f>IF(OR($B281="",N281=""),"",--(N281=$B281))</f>
        <v/>
      </c>
      <c r="BD281" s="4">
        <f>IF(OR($B281="",N281=""),"",IF($B281=1,--(N281=1),""))</f>
        <v/>
      </c>
      <c r="BE281" s="4">
        <f>IF(OR($B281="",N281=""),"",IF($B281=0,--(N281=0),""))</f>
        <v/>
      </c>
      <c r="BF281" s="4">
        <f>IF(N281="","",--(N281=1))</f>
        <v/>
      </c>
    </row>
    <row r="282">
      <c r="A282" s="3" t="inlineStr">
        <is>
          <t>202136551</t>
        </is>
      </c>
      <c r="B282" s="3" t="inlineStr">
        <is>
          <t>1</t>
        </is>
      </c>
      <c r="C282" s="3" t="inlineStr">
        <is>
          <t>Direct</t>
        </is>
      </c>
      <c r="D282" s="3" t="inlineStr">
        <is>
          <t>1</t>
        </is>
      </c>
      <c r="E282" s="3" t="inlineStr">
        <is>
          <t>0</t>
        </is>
      </c>
      <c r="F282" s="3" t="inlineStr">
        <is>
          <t>1</t>
        </is>
      </c>
      <c r="G282" s="3" t="inlineStr">
        <is>
          <t>1</t>
        </is>
      </c>
      <c r="H282" s="3" t="inlineStr">
        <is>
          <t>1</t>
        </is>
      </c>
      <c r="I282" s="3" t="inlineStr">
        <is>
          <t>1</t>
        </is>
      </c>
      <c r="J282" s="3" t="inlineStr">
        <is>
          <t>1</t>
        </is>
      </c>
      <c r="K282" s="3" t="inlineStr">
        <is>
          <t>1</t>
        </is>
      </c>
      <c r="L282" s="3" t="inlineStr">
        <is>
          <t>1</t>
        </is>
      </c>
      <c r="M282" s="3" t="inlineStr">
        <is>
          <t>1</t>
        </is>
      </c>
      <c r="N282" s="3" t="inlineStr">
        <is>
          <t>1</t>
        </is>
      </c>
      <c r="O282" s="4">
        <f>IF(OR($B282="",D282=""),"",--(D282=$B282))</f>
        <v/>
      </c>
      <c r="P282" s="4">
        <f>IF(OR($B282="",D282=""),"",IF($B282=1,--(D282=1),""))</f>
        <v/>
      </c>
      <c r="Q282" s="4">
        <f>IF(OR($B282="",D282=""),"",IF($B282=0,--(D282=0),""))</f>
        <v/>
      </c>
      <c r="R282" s="4">
        <f>IF(D282="","",--(D282=1))</f>
        <v/>
      </c>
      <c r="S282" s="4">
        <f>IF(OR($B282="",E282=""),"",--(E282=$B282))</f>
        <v/>
      </c>
      <c r="T282" s="4">
        <f>IF(OR($B282="",E282=""),"",IF($B282=1,--(E282=1),""))</f>
        <v/>
      </c>
      <c r="U282" s="4">
        <f>IF(OR($B282="",E282=""),"",IF($B282=0,--(E282=0),""))</f>
        <v/>
      </c>
      <c r="V282" s="4">
        <f>IF(E282="","",--(E282=1))</f>
        <v/>
      </c>
      <c r="W282" s="4">
        <f>IF(OR($B282="",F282=""),"",--(F282=$B282))</f>
        <v/>
      </c>
      <c r="X282" s="4">
        <f>IF(OR($B282="",F282=""),"",IF($B282=1,--(F282=1),""))</f>
        <v/>
      </c>
      <c r="Y282" s="4">
        <f>IF(OR($B282="",F282=""),"",IF($B282=0,--(F282=0),""))</f>
        <v/>
      </c>
      <c r="Z282" s="4">
        <f>IF(F282="","",--(F282=1))</f>
        <v/>
      </c>
      <c r="AA282" s="4">
        <f>IF(OR($B282="",G282=""),"",--(G282=$B282))</f>
        <v/>
      </c>
      <c r="AB282" s="4">
        <f>IF(OR($B282="",G282=""),"",IF($B282=1,--(G282=1),""))</f>
        <v/>
      </c>
      <c r="AC282" s="4">
        <f>IF(OR($B282="",G282=""),"",IF($B282=0,--(G282=0),""))</f>
        <v/>
      </c>
      <c r="AD282" s="4">
        <f>IF(G282="","",--(G282=1))</f>
        <v/>
      </c>
      <c r="AE282" s="4">
        <f>IF(OR($B282="",H282=""),"",--(H282=$B282))</f>
        <v/>
      </c>
      <c r="AF282" s="4">
        <f>IF(OR($B282="",H282=""),"",IF($B282=1,--(H282=1),""))</f>
        <v/>
      </c>
      <c r="AG282" s="4">
        <f>IF(OR($B282="",H282=""),"",IF($B282=0,--(H282=0),""))</f>
        <v/>
      </c>
      <c r="AH282" s="4">
        <f>IF(H282="","",--(H282=1))</f>
        <v/>
      </c>
      <c r="AI282" s="4">
        <f>IF(OR($B282="",I282=""),"",--(I282=$B282))</f>
        <v/>
      </c>
      <c r="AJ282" s="4">
        <f>IF(OR($B282="",I282=""),"",IF($B282=1,--(I282=1),""))</f>
        <v/>
      </c>
      <c r="AK282" s="4">
        <f>IF(OR($B282="",I282=""),"",IF($B282=0,--(I282=0),""))</f>
        <v/>
      </c>
      <c r="AL282" s="4">
        <f>IF(I282="","",--(I282=1))</f>
        <v/>
      </c>
      <c r="AM282" s="4">
        <f>IF(OR($B282="",J282=""),"",--(J282=$B282))</f>
        <v/>
      </c>
      <c r="AN282" s="4">
        <f>IF(OR($B282="",J282=""),"",IF($B282=1,--(J282=1),""))</f>
        <v/>
      </c>
      <c r="AO282" s="4">
        <f>IF(OR($B282="",J282=""),"",IF($B282=0,--(J282=0),""))</f>
        <v/>
      </c>
      <c r="AP282" s="4">
        <f>IF(J282="","",--(J282=1))</f>
        <v/>
      </c>
      <c r="AQ282" s="4">
        <f>IF(OR($B282="",K282=""),"",--(K282=$B282))</f>
        <v/>
      </c>
      <c r="AR282" s="4">
        <f>IF(OR($B282="",K282=""),"",IF($B282=1,--(K282=1),""))</f>
        <v/>
      </c>
      <c r="AS282" s="4">
        <f>IF(OR($B282="",K282=""),"",IF($B282=0,--(K282=0),""))</f>
        <v/>
      </c>
      <c r="AT282" s="4">
        <f>IF(K282="","",--(K282=1))</f>
        <v/>
      </c>
      <c r="AU282" s="4">
        <f>IF(OR($B282="",L282=""),"",--(L282=$B282))</f>
        <v/>
      </c>
      <c r="AV282" s="4">
        <f>IF(OR($B282="",L282=""),"",IF($B282=1,--(L282=1),""))</f>
        <v/>
      </c>
      <c r="AW282" s="4">
        <f>IF(OR($B282="",L282=""),"",IF($B282=0,--(L282=0),""))</f>
        <v/>
      </c>
      <c r="AX282" s="4">
        <f>IF(L282="","",--(L282=1))</f>
        <v/>
      </c>
      <c r="AY282" s="4">
        <f>IF(OR($B282="",M282=""),"",--(M282=$B282))</f>
        <v/>
      </c>
      <c r="AZ282" s="4">
        <f>IF(OR($B282="",M282=""),"",IF($B282=1,--(M282=1),""))</f>
        <v/>
      </c>
      <c r="BA282" s="4">
        <f>IF(OR($B282="",M282=""),"",IF($B282=0,--(M282=0),""))</f>
        <v/>
      </c>
      <c r="BB282" s="4">
        <f>IF(M282="","",--(M282=1))</f>
        <v/>
      </c>
      <c r="BC282" s="4">
        <f>IF(OR($B282="",N282=""),"",--(N282=$B282))</f>
        <v/>
      </c>
      <c r="BD282" s="4">
        <f>IF(OR($B282="",N282=""),"",IF($B282=1,--(N282=1),""))</f>
        <v/>
      </c>
      <c r="BE282" s="4">
        <f>IF(OR($B282="",N282=""),"",IF($B282=0,--(N282=0),""))</f>
        <v/>
      </c>
      <c r="BF282" s="4">
        <f>IF(N282="","",--(N282=1))</f>
        <v/>
      </c>
    </row>
    <row r="283">
      <c r="A283" s="3" t="inlineStr">
        <is>
          <t>202136740</t>
        </is>
      </c>
      <c r="B283" s="3" t="inlineStr">
        <is>
          <t>0</t>
        </is>
      </c>
      <c r="C283" s="3" t="inlineStr">
        <is>
          <t>Direct</t>
        </is>
      </c>
      <c r="D283" s="3" t="inlineStr">
        <is>
          <t>0</t>
        </is>
      </c>
      <c r="E283" s="3" t="inlineStr">
        <is>
          <t>1</t>
        </is>
      </c>
      <c r="F283" s="3" t="inlineStr">
        <is>
          <t>0</t>
        </is>
      </c>
      <c r="G283" s="3" t="inlineStr">
        <is>
          <t>0</t>
        </is>
      </c>
      <c r="H283" s="3" t="inlineStr">
        <is>
          <t>1</t>
        </is>
      </c>
      <c r="I283" s="3" t="inlineStr">
        <is>
          <t>0</t>
        </is>
      </c>
      <c r="J283" s="3" t="inlineStr">
        <is>
          <t>0</t>
        </is>
      </c>
      <c r="K283" s="3" t="inlineStr">
        <is>
          <t>0</t>
        </is>
      </c>
      <c r="L283" s="3" t="inlineStr">
        <is>
          <t>0</t>
        </is>
      </c>
      <c r="M283" s="3" t="inlineStr">
        <is>
          <t>1</t>
        </is>
      </c>
      <c r="N283" s="3" t="inlineStr">
        <is>
          <t>1</t>
        </is>
      </c>
      <c r="O283" s="4">
        <f>IF(OR($B283="",D283=""),"",--(D283=$B283))</f>
        <v/>
      </c>
      <c r="P283" s="4">
        <f>IF(OR($B283="",D283=""),"",IF($B283=1,--(D283=1),""))</f>
        <v/>
      </c>
      <c r="Q283" s="4">
        <f>IF(OR($B283="",D283=""),"",IF($B283=0,--(D283=0),""))</f>
        <v/>
      </c>
      <c r="R283" s="4">
        <f>IF(D283="","",--(D283=1))</f>
        <v/>
      </c>
      <c r="S283" s="4">
        <f>IF(OR($B283="",E283=""),"",--(E283=$B283))</f>
        <v/>
      </c>
      <c r="T283" s="4">
        <f>IF(OR($B283="",E283=""),"",IF($B283=1,--(E283=1),""))</f>
        <v/>
      </c>
      <c r="U283" s="4">
        <f>IF(OR($B283="",E283=""),"",IF($B283=0,--(E283=0),""))</f>
        <v/>
      </c>
      <c r="V283" s="4">
        <f>IF(E283="","",--(E283=1))</f>
        <v/>
      </c>
      <c r="W283" s="4">
        <f>IF(OR($B283="",F283=""),"",--(F283=$B283))</f>
        <v/>
      </c>
      <c r="X283" s="4">
        <f>IF(OR($B283="",F283=""),"",IF($B283=1,--(F283=1),""))</f>
        <v/>
      </c>
      <c r="Y283" s="4">
        <f>IF(OR($B283="",F283=""),"",IF($B283=0,--(F283=0),""))</f>
        <v/>
      </c>
      <c r="Z283" s="4">
        <f>IF(F283="","",--(F283=1))</f>
        <v/>
      </c>
      <c r="AA283" s="4">
        <f>IF(OR($B283="",G283=""),"",--(G283=$B283))</f>
        <v/>
      </c>
      <c r="AB283" s="4">
        <f>IF(OR($B283="",G283=""),"",IF($B283=1,--(G283=1),""))</f>
        <v/>
      </c>
      <c r="AC283" s="4">
        <f>IF(OR($B283="",G283=""),"",IF($B283=0,--(G283=0),""))</f>
        <v/>
      </c>
      <c r="AD283" s="4">
        <f>IF(G283="","",--(G283=1))</f>
        <v/>
      </c>
      <c r="AE283" s="4">
        <f>IF(OR($B283="",H283=""),"",--(H283=$B283))</f>
        <v/>
      </c>
      <c r="AF283" s="4">
        <f>IF(OR($B283="",H283=""),"",IF($B283=1,--(H283=1),""))</f>
        <v/>
      </c>
      <c r="AG283" s="4">
        <f>IF(OR($B283="",H283=""),"",IF($B283=0,--(H283=0),""))</f>
        <v/>
      </c>
      <c r="AH283" s="4">
        <f>IF(H283="","",--(H283=1))</f>
        <v/>
      </c>
      <c r="AI283" s="4">
        <f>IF(OR($B283="",I283=""),"",--(I283=$B283))</f>
        <v/>
      </c>
      <c r="AJ283" s="4">
        <f>IF(OR($B283="",I283=""),"",IF($B283=1,--(I283=1),""))</f>
        <v/>
      </c>
      <c r="AK283" s="4">
        <f>IF(OR($B283="",I283=""),"",IF($B283=0,--(I283=0),""))</f>
        <v/>
      </c>
      <c r="AL283" s="4">
        <f>IF(I283="","",--(I283=1))</f>
        <v/>
      </c>
      <c r="AM283" s="4">
        <f>IF(OR($B283="",J283=""),"",--(J283=$B283))</f>
        <v/>
      </c>
      <c r="AN283" s="4">
        <f>IF(OR($B283="",J283=""),"",IF($B283=1,--(J283=1),""))</f>
        <v/>
      </c>
      <c r="AO283" s="4">
        <f>IF(OR($B283="",J283=""),"",IF($B283=0,--(J283=0),""))</f>
        <v/>
      </c>
      <c r="AP283" s="4">
        <f>IF(J283="","",--(J283=1))</f>
        <v/>
      </c>
      <c r="AQ283" s="4">
        <f>IF(OR($B283="",K283=""),"",--(K283=$B283))</f>
        <v/>
      </c>
      <c r="AR283" s="4">
        <f>IF(OR($B283="",K283=""),"",IF($B283=1,--(K283=1),""))</f>
        <v/>
      </c>
      <c r="AS283" s="4">
        <f>IF(OR($B283="",K283=""),"",IF($B283=0,--(K283=0),""))</f>
        <v/>
      </c>
      <c r="AT283" s="4">
        <f>IF(K283="","",--(K283=1))</f>
        <v/>
      </c>
      <c r="AU283" s="4">
        <f>IF(OR($B283="",L283=""),"",--(L283=$B283))</f>
        <v/>
      </c>
      <c r="AV283" s="4">
        <f>IF(OR($B283="",L283=""),"",IF($B283=1,--(L283=1),""))</f>
        <v/>
      </c>
      <c r="AW283" s="4">
        <f>IF(OR($B283="",L283=""),"",IF($B283=0,--(L283=0),""))</f>
        <v/>
      </c>
      <c r="AX283" s="4">
        <f>IF(L283="","",--(L283=1))</f>
        <v/>
      </c>
      <c r="AY283" s="4">
        <f>IF(OR($B283="",M283=""),"",--(M283=$B283))</f>
        <v/>
      </c>
      <c r="AZ283" s="4">
        <f>IF(OR($B283="",M283=""),"",IF($B283=1,--(M283=1),""))</f>
        <v/>
      </c>
      <c r="BA283" s="4">
        <f>IF(OR($B283="",M283=""),"",IF($B283=0,--(M283=0),""))</f>
        <v/>
      </c>
      <c r="BB283" s="4">
        <f>IF(M283="","",--(M283=1))</f>
        <v/>
      </c>
      <c r="BC283" s="4">
        <f>IF(OR($B283="",N283=""),"",--(N283=$B283))</f>
        <v/>
      </c>
      <c r="BD283" s="4">
        <f>IF(OR($B283="",N283=""),"",IF($B283=1,--(N283=1),""))</f>
        <v/>
      </c>
      <c r="BE283" s="4">
        <f>IF(OR($B283="",N283=""),"",IF($B283=0,--(N283=0),""))</f>
        <v/>
      </c>
      <c r="BF283" s="4">
        <f>IF(N283="","",--(N283=1))</f>
        <v/>
      </c>
    </row>
    <row r="284">
      <c r="A284" s="3" t="inlineStr">
        <is>
          <t>202136812</t>
        </is>
      </c>
      <c r="B284" s="3" t="inlineStr">
        <is>
          <t>0</t>
        </is>
      </c>
      <c r="C284" s="3" t="inlineStr">
        <is>
          <t>Direct</t>
        </is>
      </c>
      <c r="D284" s="3" t="inlineStr">
        <is>
          <t>1</t>
        </is>
      </c>
      <c r="E284" s="3" t="inlineStr">
        <is>
          <t>1</t>
        </is>
      </c>
      <c r="F284" s="3" t="inlineStr">
        <is>
          <t>0</t>
        </is>
      </c>
      <c r="G284" s="3" t="inlineStr">
        <is>
          <t>0</t>
        </is>
      </c>
      <c r="H284" s="3" t="inlineStr">
        <is>
          <t>1</t>
        </is>
      </c>
      <c r="I284" s="3" t="inlineStr">
        <is>
          <t>0</t>
        </is>
      </c>
      <c r="J284" s="3" t="inlineStr">
        <is>
          <t>0</t>
        </is>
      </c>
      <c r="K284" s="3" t="inlineStr">
        <is>
          <t>1</t>
        </is>
      </c>
      <c r="L284" s="3" t="inlineStr">
        <is>
          <t>1</t>
        </is>
      </c>
      <c r="M284" s="3" t="inlineStr">
        <is>
          <t>1</t>
        </is>
      </c>
      <c r="N284" s="3" t="inlineStr">
        <is>
          <t>1</t>
        </is>
      </c>
      <c r="O284" s="4">
        <f>IF(OR($B284="",D284=""),"",--(D284=$B284))</f>
        <v/>
      </c>
      <c r="P284" s="4">
        <f>IF(OR($B284="",D284=""),"",IF($B284=1,--(D284=1),""))</f>
        <v/>
      </c>
      <c r="Q284" s="4">
        <f>IF(OR($B284="",D284=""),"",IF($B284=0,--(D284=0),""))</f>
        <v/>
      </c>
      <c r="R284" s="4">
        <f>IF(D284="","",--(D284=1))</f>
        <v/>
      </c>
      <c r="S284" s="4">
        <f>IF(OR($B284="",E284=""),"",--(E284=$B284))</f>
        <v/>
      </c>
      <c r="T284" s="4">
        <f>IF(OR($B284="",E284=""),"",IF($B284=1,--(E284=1),""))</f>
        <v/>
      </c>
      <c r="U284" s="4">
        <f>IF(OR($B284="",E284=""),"",IF($B284=0,--(E284=0),""))</f>
        <v/>
      </c>
      <c r="V284" s="4">
        <f>IF(E284="","",--(E284=1))</f>
        <v/>
      </c>
      <c r="W284" s="4">
        <f>IF(OR($B284="",F284=""),"",--(F284=$B284))</f>
        <v/>
      </c>
      <c r="X284" s="4">
        <f>IF(OR($B284="",F284=""),"",IF($B284=1,--(F284=1),""))</f>
        <v/>
      </c>
      <c r="Y284" s="4">
        <f>IF(OR($B284="",F284=""),"",IF($B284=0,--(F284=0),""))</f>
        <v/>
      </c>
      <c r="Z284" s="4">
        <f>IF(F284="","",--(F284=1))</f>
        <v/>
      </c>
      <c r="AA284" s="4">
        <f>IF(OR($B284="",G284=""),"",--(G284=$B284))</f>
        <v/>
      </c>
      <c r="AB284" s="4">
        <f>IF(OR($B284="",G284=""),"",IF($B284=1,--(G284=1),""))</f>
        <v/>
      </c>
      <c r="AC284" s="4">
        <f>IF(OR($B284="",G284=""),"",IF($B284=0,--(G284=0),""))</f>
        <v/>
      </c>
      <c r="AD284" s="4">
        <f>IF(G284="","",--(G284=1))</f>
        <v/>
      </c>
      <c r="AE284" s="4">
        <f>IF(OR($B284="",H284=""),"",--(H284=$B284))</f>
        <v/>
      </c>
      <c r="AF284" s="4">
        <f>IF(OR($B284="",H284=""),"",IF($B284=1,--(H284=1),""))</f>
        <v/>
      </c>
      <c r="AG284" s="4">
        <f>IF(OR($B284="",H284=""),"",IF($B284=0,--(H284=0),""))</f>
        <v/>
      </c>
      <c r="AH284" s="4">
        <f>IF(H284="","",--(H284=1))</f>
        <v/>
      </c>
      <c r="AI284" s="4">
        <f>IF(OR($B284="",I284=""),"",--(I284=$B284))</f>
        <v/>
      </c>
      <c r="AJ284" s="4">
        <f>IF(OR($B284="",I284=""),"",IF($B284=1,--(I284=1),""))</f>
        <v/>
      </c>
      <c r="AK284" s="4">
        <f>IF(OR($B284="",I284=""),"",IF($B284=0,--(I284=0),""))</f>
        <v/>
      </c>
      <c r="AL284" s="4">
        <f>IF(I284="","",--(I284=1))</f>
        <v/>
      </c>
      <c r="AM284" s="4">
        <f>IF(OR($B284="",J284=""),"",--(J284=$B284))</f>
        <v/>
      </c>
      <c r="AN284" s="4">
        <f>IF(OR($B284="",J284=""),"",IF($B284=1,--(J284=1),""))</f>
        <v/>
      </c>
      <c r="AO284" s="4">
        <f>IF(OR($B284="",J284=""),"",IF($B284=0,--(J284=0),""))</f>
        <v/>
      </c>
      <c r="AP284" s="4">
        <f>IF(J284="","",--(J284=1))</f>
        <v/>
      </c>
      <c r="AQ284" s="4">
        <f>IF(OR($B284="",K284=""),"",--(K284=$B284))</f>
        <v/>
      </c>
      <c r="AR284" s="4">
        <f>IF(OR($B284="",K284=""),"",IF($B284=1,--(K284=1),""))</f>
        <v/>
      </c>
      <c r="AS284" s="4">
        <f>IF(OR($B284="",K284=""),"",IF($B284=0,--(K284=0),""))</f>
        <v/>
      </c>
      <c r="AT284" s="4">
        <f>IF(K284="","",--(K284=1))</f>
        <v/>
      </c>
      <c r="AU284" s="4">
        <f>IF(OR($B284="",L284=""),"",--(L284=$B284))</f>
        <v/>
      </c>
      <c r="AV284" s="4">
        <f>IF(OR($B284="",L284=""),"",IF($B284=1,--(L284=1),""))</f>
        <v/>
      </c>
      <c r="AW284" s="4">
        <f>IF(OR($B284="",L284=""),"",IF($B284=0,--(L284=0),""))</f>
        <v/>
      </c>
      <c r="AX284" s="4">
        <f>IF(L284="","",--(L284=1))</f>
        <v/>
      </c>
      <c r="AY284" s="4">
        <f>IF(OR($B284="",M284=""),"",--(M284=$B284))</f>
        <v/>
      </c>
      <c r="AZ284" s="4">
        <f>IF(OR($B284="",M284=""),"",IF($B284=1,--(M284=1),""))</f>
        <v/>
      </c>
      <c r="BA284" s="4">
        <f>IF(OR($B284="",M284=""),"",IF($B284=0,--(M284=0),""))</f>
        <v/>
      </c>
      <c r="BB284" s="4">
        <f>IF(M284="","",--(M284=1))</f>
        <v/>
      </c>
      <c r="BC284" s="4">
        <f>IF(OR($B284="",N284=""),"",--(N284=$B284))</f>
        <v/>
      </c>
      <c r="BD284" s="4">
        <f>IF(OR($B284="",N284=""),"",IF($B284=1,--(N284=1),""))</f>
        <v/>
      </c>
      <c r="BE284" s="4">
        <f>IF(OR($B284="",N284=""),"",IF($B284=0,--(N284=0),""))</f>
        <v/>
      </c>
      <c r="BF284" s="4">
        <f>IF(N284="","",--(N284=1))</f>
        <v/>
      </c>
    </row>
    <row r="285">
      <c r="A285" s="3" t="inlineStr">
        <is>
          <t>202137021</t>
        </is>
      </c>
      <c r="B285" s="3" t="inlineStr">
        <is>
          <t>0</t>
        </is>
      </c>
      <c r="C285" s="3" t="inlineStr">
        <is>
          <t>Direct</t>
        </is>
      </c>
      <c r="D285" s="3" t="inlineStr">
        <is>
          <t>1</t>
        </is>
      </c>
      <c r="E285" s="3" t="inlineStr">
        <is>
          <t>1</t>
        </is>
      </c>
      <c r="F285" s="3" t="inlineStr">
        <is>
          <t>0</t>
        </is>
      </c>
      <c r="G285" s="3" t="inlineStr">
        <is>
          <t>1</t>
        </is>
      </c>
      <c r="H285" s="3" t="inlineStr">
        <is>
          <t>1</t>
        </is>
      </c>
      <c r="I285" s="3" t="inlineStr">
        <is>
          <t>1</t>
        </is>
      </c>
      <c r="J285" s="3" t="inlineStr">
        <is>
          <t>1</t>
        </is>
      </c>
      <c r="K285" s="3" t="inlineStr">
        <is>
          <t>1</t>
        </is>
      </c>
      <c r="L285" s="3" t="inlineStr">
        <is>
          <t>1</t>
        </is>
      </c>
      <c r="M285" s="3" t="inlineStr">
        <is>
          <t>1</t>
        </is>
      </c>
      <c r="N285" s="3" t="inlineStr">
        <is>
          <t>1</t>
        </is>
      </c>
      <c r="O285" s="4">
        <f>IF(OR($B285="",D285=""),"",--(D285=$B285))</f>
        <v/>
      </c>
      <c r="P285" s="4">
        <f>IF(OR($B285="",D285=""),"",IF($B285=1,--(D285=1),""))</f>
        <v/>
      </c>
      <c r="Q285" s="4">
        <f>IF(OR($B285="",D285=""),"",IF($B285=0,--(D285=0),""))</f>
        <v/>
      </c>
      <c r="R285" s="4">
        <f>IF(D285="","",--(D285=1))</f>
        <v/>
      </c>
      <c r="S285" s="4">
        <f>IF(OR($B285="",E285=""),"",--(E285=$B285))</f>
        <v/>
      </c>
      <c r="T285" s="4">
        <f>IF(OR($B285="",E285=""),"",IF($B285=1,--(E285=1),""))</f>
        <v/>
      </c>
      <c r="U285" s="4">
        <f>IF(OR($B285="",E285=""),"",IF($B285=0,--(E285=0),""))</f>
        <v/>
      </c>
      <c r="V285" s="4">
        <f>IF(E285="","",--(E285=1))</f>
        <v/>
      </c>
      <c r="W285" s="4">
        <f>IF(OR($B285="",F285=""),"",--(F285=$B285))</f>
        <v/>
      </c>
      <c r="X285" s="4">
        <f>IF(OR($B285="",F285=""),"",IF($B285=1,--(F285=1),""))</f>
        <v/>
      </c>
      <c r="Y285" s="4">
        <f>IF(OR($B285="",F285=""),"",IF($B285=0,--(F285=0),""))</f>
        <v/>
      </c>
      <c r="Z285" s="4">
        <f>IF(F285="","",--(F285=1))</f>
        <v/>
      </c>
      <c r="AA285" s="4">
        <f>IF(OR($B285="",G285=""),"",--(G285=$B285))</f>
        <v/>
      </c>
      <c r="AB285" s="4">
        <f>IF(OR($B285="",G285=""),"",IF($B285=1,--(G285=1),""))</f>
        <v/>
      </c>
      <c r="AC285" s="4">
        <f>IF(OR($B285="",G285=""),"",IF($B285=0,--(G285=0),""))</f>
        <v/>
      </c>
      <c r="AD285" s="4">
        <f>IF(G285="","",--(G285=1))</f>
        <v/>
      </c>
      <c r="AE285" s="4">
        <f>IF(OR($B285="",H285=""),"",--(H285=$B285))</f>
        <v/>
      </c>
      <c r="AF285" s="4">
        <f>IF(OR($B285="",H285=""),"",IF($B285=1,--(H285=1),""))</f>
        <v/>
      </c>
      <c r="AG285" s="4">
        <f>IF(OR($B285="",H285=""),"",IF($B285=0,--(H285=0),""))</f>
        <v/>
      </c>
      <c r="AH285" s="4">
        <f>IF(H285="","",--(H285=1))</f>
        <v/>
      </c>
      <c r="AI285" s="4">
        <f>IF(OR($B285="",I285=""),"",--(I285=$B285))</f>
        <v/>
      </c>
      <c r="AJ285" s="4">
        <f>IF(OR($B285="",I285=""),"",IF($B285=1,--(I285=1),""))</f>
        <v/>
      </c>
      <c r="AK285" s="4">
        <f>IF(OR($B285="",I285=""),"",IF($B285=0,--(I285=0),""))</f>
        <v/>
      </c>
      <c r="AL285" s="4">
        <f>IF(I285="","",--(I285=1))</f>
        <v/>
      </c>
      <c r="AM285" s="4">
        <f>IF(OR($B285="",J285=""),"",--(J285=$B285))</f>
        <v/>
      </c>
      <c r="AN285" s="4">
        <f>IF(OR($B285="",J285=""),"",IF($B285=1,--(J285=1),""))</f>
        <v/>
      </c>
      <c r="AO285" s="4">
        <f>IF(OR($B285="",J285=""),"",IF($B285=0,--(J285=0),""))</f>
        <v/>
      </c>
      <c r="AP285" s="4">
        <f>IF(J285="","",--(J285=1))</f>
        <v/>
      </c>
      <c r="AQ285" s="4">
        <f>IF(OR($B285="",K285=""),"",--(K285=$B285))</f>
        <v/>
      </c>
      <c r="AR285" s="4">
        <f>IF(OR($B285="",K285=""),"",IF($B285=1,--(K285=1),""))</f>
        <v/>
      </c>
      <c r="AS285" s="4">
        <f>IF(OR($B285="",K285=""),"",IF($B285=0,--(K285=0),""))</f>
        <v/>
      </c>
      <c r="AT285" s="4">
        <f>IF(K285="","",--(K285=1))</f>
        <v/>
      </c>
      <c r="AU285" s="4">
        <f>IF(OR($B285="",L285=""),"",--(L285=$B285))</f>
        <v/>
      </c>
      <c r="AV285" s="4">
        <f>IF(OR($B285="",L285=""),"",IF($B285=1,--(L285=1),""))</f>
        <v/>
      </c>
      <c r="AW285" s="4">
        <f>IF(OR($B285="",L285=""),"",IF($B285=0,--(L285=0),""))</f>
        <v/>
      </c>
      <c r="AX285" s="4">
        <f>IF(L285="","",--(L285=1))</f>
        <v/>
      </c>
      <c r="AY285" s="4">
        <f>IF(OR($B285="",M285=""),"",--(M285=$B285))</f>
        <v/>
      </c>
      <c r="AZ285" s="4">
        <f>IF(OR($B285="",M285=""),"",IF($B285=1,--(M285=1),""))</f>
        <v/>
      </c>
      <c r="BA285" s="4">
        <f>IF(OR($B285="",M285=""),"",IF($B285=0,--(M285=0),""))</f>
        <v/>
      </c>
      <c r="BB285" s="4">
        <f>IF(M285="","",--(M285=1))</f>
        <v/>
      </c>
      <c r="BC285" s="4">
        <f>IF(OR($B285="",N285=""),"",--(N285=$B285))</f>
        <v/>
      </c>
      <c r="BD285" s="4">
        <f>IF(OR($B285="",N285=""),"",IF($B285=1,--(N285=1),""))</f>
        <v/>
      </c>
      <c r="BE285" s="4">
        <f>IF(OR($B285="",N285=""),"",IF($B285=0,--(N285=0),""))</f>
        <v/>
      </c>
      <c r="BF285" s="4">
        <f>IF(N285="","",--(N285=1))</f>
        <v/>
      </c>
    </row>
    <row r="286">
      <c r="A286" s="3" t="inlineStr">
        <is>
          <t>202137438</t>
        </is>
      </c>
      <c r="B286" s="3" t="inlineStr">
        <is>
          <t>1</t>
        </is>
      </c>
      <c r="C286" s="3" t="inlineStr">
        <is>
          <t>Direct</t>
        </is>
      </c>
      <c r="D286" s="3" t="inlineStr">
        <is>
          <t>1</t>
        </is>
      </c>
      <c r="E286" s="3" t="inlineStr">
        <is>
          <t>1</t>
        </is>
      </c>
      <c r="F286" s="3" t="inlineStr">
        <is>
          <t>1</t>
        </is>
      </c>
      <c r="G286" s="3" t="inlineStr">
        <is>
          <t>1</t>
        </is>
      </c>
      <c r="H286" s="3" t="inlineStr">
        <is>
          <t>1</t>
        </is>
      </c>
      <c r="I286" s="3" t="inlineStr">
        <is>
          <t>1</t>
        </is>
      </c>
      <c r="J286" s="3" t="inlineStr">
        <is>
          <t>1</t>
        </is>
      </c>
      <c r="K286" s="3" t="inlineStr">
        <is>
          <t>1</t>
        </is>
      </c>
      <c r="L286" s="3" t="inlineStr">
        <is>
          <t>1</t>
        </is>
      </c>
      <c r="M286" s="3" t="inlineStr">
        <is>
          <t>1</t>
        </is>
      </c>
      <c r="N286" s="3" t="inlineStr">
        <is>
          <t>1</t>
        </is>
      </c>
      <c r="O286" s="4">
        <f>IF(OR($B286="",D286=""),"",--(D286=$B286))</f>
        <v/>
      </c>
      <c r="P286" s="4">
        <f>IF(OR($B286="",D286=""),"",IF($B286=1,--(D286=1),""))</f>
        <v/>
      </c>
      <c r="Q286" s="4">
        <f>IF(OR($B286="",D286=""),"",IF($B286=0,--(D286=0),""))</f>
        <v/>
      </c>
      <c r="R286" s="4">
        <f>IF(D286="","",--(D286=1))</f>
        <v/>
      </c>
      <c r="S286" s="4">
        <f>IF(OR($B286="",E286=""),"",--(E286=$B286))</f>
        <v/>
      </c>
      <c r="T286" s="4">
        <f>IF(OR($B286="",E286=""),"",IF($B286=1,--(E286=1),""))</f>
        <v/>
      </c>
      <c r="U286" s="4">
        <f>IF(OR($B286="",E286=""),"",IF($B286=0,--(E286=0),""))</f>
        <v/>
      </c>
      <c r="V286" s="4">
        <f>IF(E286="","",--(E286=1))</f>
        <v/>
      </c>
      <c r="W286" s="4">
        <f>IF(OR($B286="",F286=""),"",--(F286=$B286))</f>
        <v/>
      </c>
      <c r="X286" s="4">
        <f>IF(OR($B286="",F286=""),"",IF($B286=1,--(F286=1),""))</f>
        <v/>
      </c>
      <c r="Y286" s="4">
        <f>IF(OR($B286="",F286=""),"",IF($B286=0,--(F286=0),""))</f>
        <v/>
      </c>
      <c r="Z286" s="4">
        <f>IF(F286="","",--(F286=1))</f>
        <v/>
      </c>
      <c r="AA286" s="4">
        <f>IF(OR($B286="",G286=""),"",--(G286=$B286))</f>
        <v/>
      </c>
      <c r="AB286" s="4">
        <f>IF(OR($B286="",G286=""),"",IF($B286=1,--(G286=1),""))</f>
        <v/>
      </c>
      <c r="AC286" s="4">
        <f>IF(OR($B286="",G286=""),"",IF($B286=0,--(G286=0),""))</f>
        <v/>
      </c>
      <c r="AD286" s="4">
        <f>IF(G286="","",--(G286=1))</f>
        <v/>
      </c>
      <c r="AE286" s="4">
        <f>IF(OR($B286="",H286=""),"",--(H286=$B286))</f>
        <v/>
      </c>
      <c r="AF286" s="4">
        <f>IF(OR($B286="",H286=""),"",IF($B286=1,--(H286=1),""))</f>
        <v/>
      </c>
      <c r="AG286" s="4">
        <f>IF(OR($B286="",H286=""),"",IF($B286=0,--(H286=0),""))</f>
        <v/>
      </c>
      <c r="AH286" s="4">
        <f>IF(H286="","",--(H286=1))</f>
        <v/>
      </c>
      <c r="AI286" s="4">
        <f>IF(OR($B286="",I286=""),"",--(I286=$B286))</f>
        <v/>
      </c>
      <c r="AJ286" s="4">
        <f>IF(OR($B286="",I286=""),"",IF($B286=1,--(I286=1),""))</f>
        <v/>
      </c>
      <c r="AK286" s="4">
        <f>IF(OR($B286="",I286=""),"",IF($B286=0,--(I286=0),""))</f>
        <v/>
      </c>
      <c r="AL286" s="4">
        <f>IF(I286="","",--(I286=1))</f>
        <v/>
      </c>
      <c r="AM286" s="4">
        <f>IF(OR($B286="",J286=""),"",--(J286=$B286))</f>
        <v/>
      </c>
      <c r="AN286" s="4">
        <f>IF(OR($B286="",J286=""),"",IF($B286=1,--(J286=1),""))</f>
        <v/>
      </c>
      <c r="AO286" s="4">
        <f>IF(OR($B286="",J286=""),"",IF($B286=0,--(J286=0),""))</f>
        <v/>
      </c>
      <c r="AP286" s="4">
        <f>IF(J286="","",--(J286=1))</f>
        <v/>
      </c>
      <c r="AQ286" s="4">
        <f>IF(OR($B286="",K286=""),"",--(K286=$B286))</f>
        <v/>
      </c>
      <c r="AR286" s="4">
        <f>IF(OR($B286="",K286=""),"",IF($B286=1,--(K286=1),""))</f>
        <v/>
      </c>
      <c r="AS286" s="4">
        <f>IF(OR($B286="",K286=""),"",IF($B286=0,--(K286=0),""))</f>
        <v/>
      </c>
      <c r="AT286" s="4">
        <f>IF(K286="","",--(K286=1))</f>
        <v/>
      </c>
      <c r="AU286" s="4">
        <f>IF(OR($B286="",L286=""),"",--(L286=$B286))</f>
        <v/>
      </c>
      <c r="AV286" s="4">
        <f>IF(OR($B286="",L286=""),"",IF($B286=1,--(L286=1),""))</f>
        <v/>
      </c>
      <c r="AW286" s="4">
        <f>IF(OR($B286="",L286=""),"",IF($B286=0,--(L286=0),""))</f>
        <v/>
      </c>
      <c r="AX286" s="4">
        <f>IF(L286="","",--(L286=1))</f>
        <v/>
      </c>
      <c r="AY286" s="4">
        <f>IF(OR($B286="",M286=""),"",--(M286=$B286))</f>
        <v/>
      </c>
      <c r="AZ286" s="4">
        <f>IF(OR($B286="",M286=""),"",IF($B286=1,--(M286=1),""))</f>
        <v/>
      </c>
      <c r="BA286" s="4">
        <f>IF(OR($B286="",M286=""),"",IF($B286=0,--(M286=0),""))</f>
        <v/>
      </c>
      <c r="BB286" s="4">
        <f>IF(M286="","",--(M286=1))</f>
        <v/>
      </c>
      <c r="BC286" s="4">
        <f>IF(OR($B286="",N286=""),"",--(N286=$B286))</f>
        <v/>
      </c>
      <c r="BD286" s="4">
        <f>IF(OR($B286="",N286=""),"",IF($B286=1,--(N286=1),""))</f>
        <v/>
      </c>
      <c r="BE286" s="4">
        <f>IF(OR($B286="",N286=""),"",IF($B286=0,--(N286=0),""))</f>
        <v/>
      </c>
      <c r="BF286" s="4">
        <f>IF(N286="","",--(N286=1))</f>
        <v/>
      </c>
    </row>
    <row r="287">
      <c r="A287" s="3" t="inlineStr">
        <is>
          <t>202137623</t>
        </is>
      </c>
      <c r="B287" s="3" t="inlineStr">
        <is>
          <t>0</t>
        </is>
      </c>
      <c r="C287" s="3" t="inlineStr">
        <is>
          <t>Direct</t>
        </is>
      </c>
      <c r="D287" s="3" t="inlineStr">
        <is>
          <t>0</t>
        </is>
      </c>
      <c r="E287" s="3" t="inlineStr">
        <is>
          <t>1</t>
        </is>
      </c>
      <c r="F287" s="3" t="inlineStr">
        <is>
          <t>1</t>
        </is>
      </c>
      <c r="G287" s="3" t="inlineStr">
        <is>
          <t>1</t>
        </is>
      </c>
      <c r="H287" s="3" t="inlineStr">
        <is>
          <t>1</t>
        </is>
      </c>
      <c r="I287" s="3" t="inlineStr">
        <is>
          <t>1</t>
        </is>
      </c>
      <c r="J287" s="3" t="inlineStr">
        <is>
          <t>1</t>
        </is>
      </c>
      <c r="K287" s="3" t="inlineStr">
        <is>
          <t>1</t>
        </is>
      </c>
      <c r="L287" s="3" t="inlineStr">
        <is>
          <t>1</t>
        </is>
      </c>
      <c r="M287" s="3" t="inlineStr">
        <is>
          <t>1</t>
        </is>
      </c>
      <c r="N287" s="3" t="inlineStr">
        <is>
          <t>1</t>
        </is>
      </c>
      <c r="O287" s="4">
        <f>IF(OR($B287="",D287=""),"",--(D287=$B287))</f>
        <v/>
      </c>
      <c r="P287" s="4">
        <f>IF(OR($B287="",D287=""),"",IF($B287=1,--(D287=1),""))</f>
        <v/>
      </c>
      <c r="Q287" s="4">
        <f>IF(OR($B287="",D287=""),"",IF($B287=0,--(D287=0),""))</f>
        <v/>
      </c>
      <c r="R287" s="4">
        <f>IF(D287="","",--(D287=1))</f>
        <v/>
      </c>
      <c r="S287" s="4">
        <f>IF(OR($B287="",E287=""),"",--(E287=$B287))</f>
        <v/>
      </c>
      <c r="T287" s="4">
        <f>IF(OR($B287="",E287=""),"",IF($B287=1,--(E287=1),""))</f>
        <v/>
      </c>
      <c r="U287" s="4">
        <f>IF(OR($B287="",E287=""),"",IF($B287=0,--(E287=0),""))</f>
        <v/>
      </c>
      <c r="V287" s="4">
        <f>IF(E287="","",--(E287=1))</f>
        <v/>
      </c>
      <c r="W287" s="4">
        <f>IF(OR($B287="",F287=""),"",--(F287=$B287))</f>
        <v/>
      </c>
      <c r="X287" s="4">
        <f>IF(OR($B287="",F287=""),"",IF($B287=1,--(F287=1),""))</f>
        <v/>
      </c>
      <c r="Y287" s="4">
        <f>IF(OR($B287="",F287=""),"",IF($B287=0,--(F287=0),""))</f>
        <v/>
      </c>
      <c r="Z287" s="4">
        <f>IF(F287="","",--(F287=1))</f>
        <v/>
      </c>
      <c r="AA287" s="4">
        <f>IF(OR($B287="",G287=""),"",--(G287=$B287))</f>
        <v/>
      </c>
      <c r="AB287" s="4">
        <f>IF(OR($B287="",G287=""),"",IF($B287=1,--(G287=1),""))</f>
        <v/>
      </c>
      <c r="AC287" s="4">
        <f>IF(OR($B287="",G287=""),"",IF($B287=0,--(G287=0),""))</f>
        <v/>
      </c>
      <c r="AD287" s="4">
        <f>IF(G287="","",--(G287=1))</f>
        <v/>
      </c>
      <c r="AE287" s="4">
        <f>IF(OR($B287="",H287=""),"",--(H287=$B287))</f>
        <v/>
      </c>
      <c r="AF287" s="4">
        <f>IF(OR($B287="",H287=""),"",IF($B287=1,--(H287=1),""))</f>
        <v/>
      </c>
      <c r="AG287" s="4">
        <f>IF(OR($B287="",H287=""),"",IF($B287=0,--(H287=0),""))</f>
        <v/>
      </c>
      <c r="AH287" s="4">
        <f>IF(H287="","",--(H287=1))</f>
        <v/>
      </c>
      <c r="AI287" s="4">
        <f>IF(OR($B287="",I287=""),"",--(I287=$B287))</f>
        <v/>
      </c>
      <c r="AJ287" s="4">
        <f>IF(OR($B287="",I287=""),"",IF($B287=1,--(I287=1),""))</f>
        <v/>
      </c>
      <c r="AK287" s="4">
        <f>IF(OR($B287="",I287=""),"",IF($B287=0,--(I287=0),""))</f>
        <v/>
      </c>
      <c r="AL287" s="4">
        <f>IF(I287="","",--(I287=1))</f>
        <v/>
      </c>
      <c r="AM287" s="4">
        <f>IF(OR($B287="",J287=""),"",--(J287=$B287))</f>
        <v/>
      </c>
      <c r="AN287" s="4">
        <f>IF(OR($B287="",J287=""),"",IF($B287=1,--(J287=1),""))</f>
        <v/>
      </c>
      <c r="AO287" s="4">
        <f>IF(OR($B287="",J287=""),"",IF($B287=0,--(J287=0),""))</f>
        <v/>
      </c>
      <c r="AP287" s="4">
        <f>IF(J287="","",--(J287=1))</f>
        <v/>
      </c>
      <c r="AQ287" s="4">
        <f>IF(OR($B287="",K287=""),"",--(K287=$B287))</f>
        <v/>
      </c>
      <c r="AR287" s="4">
        <f>IF(OR($B287="",K287=""),"",IF($B287=1,--(K287=1),""))</f>
        <v/>
      </c>
      <c r="AS287" s="4">
        <f>IF(OR($B287="",K287=""),"",IF($B287=0,--(K287=0),""))</f>
        <v/>
      </c>
      <c r="AT287" s="4">
        <f>IF(K287="","",--(K287=1))</f>
        <v/>
      </c>
      <c r="AU287" s="4">
        <f>IF(OR($B287="",L287=""),"",--(L287=$B287))</f>
        <v/>
      </c>
      <c r="AV287" s="4">
        <f>IF(OR($B287="",L287=""),"",IF($B287=1,--(L287=1),""))</f>
        <v/>
      </c>
      <c r="AW287" s="4">
        <f>IF(OR($B287="",L287=""),"",IF($B287=0,--(L287=0),""))</f>
        <v/>
      </c>
      <c r="AX287" s="4">
        <f>IF(L287="","",--(L287=1))</f>
        <v/>
      </c>
      <c r="AY287" s="4">
        <f>IF(OR($B287="",M287=""),"",--(M287=$B287))</f>
        <v/>
      </c>
      <c r="AZ287" s="4">
        <f>IF(OR($B287="",M287=""),"",IF($B287=1,--(M287=1),""))</f>
        <v/>
      </c>
      <c r="BA287" s="4">
        <f>IF(OR($B287="",M287=""),"",IF($B287=0,--(M287=0),""))</f>
        <v/>
      </c>
      <c r="BB287" s="4">
        <f>IF(M287="","",--(M287=1))</f>
        <v/>
      </c>
      <c r="BC287" s="4">
        <f>IF(OR($B287="",N287=""),"",--(N287=$B287))</f>
        <v/>
      </c>
      <c r="BD287" s="4">
        <f>IF(OR($B287="",N287=""),"",IF($B287=1,--(N287=1),""))</f>
        <v/>
      </c>
      <c r="BE287" s="4">
        <f>IF(OR($B287="",N287=""),"",IF($B287=0,--(N287=0),""))</f>
        <v/>
      </c>
      <c r="BF287" s="4">
        <f>IF(N287="","",--(N287=1))</f>
        <v/>
      </c>
    </row>
    <row r="288">
      <c r="A288" s="3" t="inlineStr">
        <is>
          <t>20213814</t>
        </is>
      </c>
      <c r="B288" s="3" t="inlineStr">
        <is>
          <t>1</t>
        </is>
      </c>
      <c r="C288" s="3" t="inlineStr">
        <is>
          <t>Direct</t>
        </is>
      </c>
      <c r="D288" s="3" t="inlineStr">
        <is>
          <t>1</t>
        </is>
      </c>
      <c r="E288" s="3" t="inlineStr">
        <is>
          <t>1</t>
        </is>
      </c>
      <c r="F288" s="3" t="inlineStr">
        <is>
          <t>0</t>
        </is>
      </c>
      <c r="G288" s="3" t="inlineStr">
        <is>
          <t>0</t>
        </is>
      </c>
      <c r="H288" s="3" t="inlineStr">
        <is>
          <t>0</t>
        </is>
      </c>
      <c r="I288" s="3" t="inlineStr">
        <is>
          <t>0</t>
        </is>
      </c>
      <c r="J288" s="3" t="inlineStr">
        <is>
          <t>0</t>
        </is>
      </c>
      <c r="K288" s="3" t="inlineStr">
        <is>
          <t>0</t>
        </is>
      </c>
      <c r="L288" s="3" t="inlineStr">
        <is>
          <t>1</t>
        </is>
      </c>
      <c r="M288" s="3" t="inlineStr">
        <is>
          <t>1</t>
        </is>
      </c>
      <c r="N288" s="3" t="inlineStr">
        <is>
          <t>1</t>
        </is>
      </c>
      <c r="O288" s="4">
        <f>IF(OR($B288="",D288=""),"",--(D288=$B288))</f>
        <v/>
      </c>
      <c r="P288" s="4">
        <f>IF(OR($B288="",D288=""),"",IF($B288=1,--(D288=1),""))</f>
        <v/>
      </c>
      <c r="Q288" s="4">
        <f>IF(OR($B288="",D288=""),"",IF($B288=0,--(D288=0),""))</f>
        <v/>
      </c>
      <c r="R288" s="4">
        <f>IF(D288="","",--(D288=1))</f>
        <v/>
      </c>
      <c r="S288" s="4">
        <f>IF(OR($B288="",E288=""),"",--(E288=$B288))</f>
        <v/>
      </c>
      <c r="T288" s="4">
        <f>IF(OR($B288="",E288=""),"",IF($B288=1,--(E288=1),""))</f>
        <v/>
      </c>
      <c r="U288" s="4">
        <f>IF(OR($B288="",E288=""),"",IF($B288=0,--(E288=0),""))</f>
        <v/>
      </c>
      <c r="V288" s="4">
        <f>IF(E288="","",--(E288=1))</f>
        <v/>
      </c>
      <c r="W288" s="4">
        <f>IF(OR($B288="",F288=""),"",--(F288=$B288))</f>
        <v/>
      </c>
      <c r="X288" s="4">
        <f>IF(OR($B288="",F288=""),"",IF($B288=1,--(F288=1),""))</f>
        <v/>
      </c>
      <c r="Y288" s="4">
        <f>IF(OR($B288="",F288=""),"",IF($B288=0,--(F288=0),""))</f>
        <v/>
      </c>
      <c r="Z288" s="4">
        <f>IF(F288="","",--(F288=1))</f>
        <v/>
      </c>
      <c r="AA288" s="4">
        <f>IF(OR($B288="",G288=""),"",--(G288=$B288))</f>
        <v/>
      </c>
      <c r="AB288" s="4">
        <f>IF(OR($B288="",G288=""),"",IF($B288=1,--(G288=1),""))</f>
        <v/>
      </c>
      <c r="AC288" s="4">
        <f>IF(OR($B288="",G288=""),"",IF($B288=0,--(G288=0),""))</f>
        <v/>
      </c>
      <c r="AD288" s="4">
        <f>IF(G288="","",--(G288=1))</f>
        <v/>
      </c>
      <c r="AE288" s="4">
        <f>IF(OR($B288="",H288=""),"",--(H288=$B288))</f>
        <v/>
      </c>
      <c r="AF288" s="4">
        <f>IF(OR($B288="",H288=""),"",IF($B288=1,--(H288=1),""))</f>
        <v/>
      </c>
      <c r="AG288" s="4">
        <f>IF(OR($B288="",H288=""),"",IF($B288=0,--(H288=0),""))</f>
        <v/>
      </c>
      <c r="AH288" s="4">
        <f>IF(H288="","",--(H288=1))</f>
        <v/>
      </c>
      <c r="AI288" s="4">
        <f>IF(OR($B288="",I288=""),"",--(I288=$B288))</f>
        <v/>
      </c>
      <c r="AJ288" s="4">
        <f>IF(OR($B288="",I288=""),"",IF($B288=1,--(I288=1),""))</f>
        <v/>
      </c>
      <c r="AK288" s="4">
        <f>IF(OR($B288="",I288=""),"",IF($B288=0,--(I288=0),""))</f>
        <v/>
      </c>
      <c r="AL288" s="4">
        <f>IF(I288="","",--(I288=1))</f>
        <v/>
      </c>
      <c r="AM288" s="4">
        <f>IF(OR($B288="",J288=""),"",--(J288=$B288))</f>
        <v/>
      </c>
      <c r="AN288" s="4">
        <f>IF(OR($B288="",J288=""),"",IF($B288=1,--(J288=1),""))</f>
        <v/>
      </c>
      <c r="AO288" s="4">
        <f>IF(OR($B288="",J288=""),"",IF($B288=0,--(J288=0),""))</f>
        <v/>
      </c>
      <c r="AP288" s="4">
        <f>IF(J288="","",--(J288=1))</f>
        <v/>
      </c>
      <c r="AQ288" s="4">
        <f>IF(OR($B288="",K288=""),"",--(K288=$B288))</f>
        <v/>
      </c>
      <c r="AR288" s="4">
        <f>IF(OR($B288="",K288=""),"",IF($B288=1,--(K288=1),""))</f>
        <v/>
      </c>
      <c r="AS288" s="4">
        <f>IF(OR($B288="",K288=""),"",IF($B288=0,--(K288=0),""))</f>
        <v/>
      </c>
      <c r="AT288" s="4">
        <f>IF(K288="","",--(K288=1))</f>
        <v/>
      </c>
      <c r="AU288" s="4">
        <f>IF(OR($B288="",L288=""),"",--(L288=$B288))</f>
        <v/>
      </c>
      <c r="AV288" s="4">
        <f>IF(OR($B288="",L288=""),"",IF($B288=1,--(L288=1),""))</f>
        <v/>
      </c>
      <c r="AW288" s="4">
        <f>IF(OR($B288="",L288=""),"",IF($B288=0,--(L288=0),""))</f>
        <v/>
      </c>
      <c r="AX288" s="4">
        <f>IF(L288="","",--(L288=1))</f>
        <v/>
      </c>
      <c r="AY288" s="4">
        <f>IF(OR($B288="",M288=""),"",--(M288=$B288))</f>
        <v/>
      </c>
      <c r="AZ288" s="4">
        <f>IF(OR($B288="",M288=""),"",IF($B288=1,--(M288=1),""))</f>
        <v/>
      </c>
      <c r="BA288" s="4">
        <f>IF(OR($B288="",M288=""),"",IF($B288=0,--(M288=0),""))</f>
        <v/>
      </c>
      <c r="BB288" s="4">
        <f>IF(M288="","",--(M288=1))</f>
        <v/>
      </c>
      <c r="BC288" s="4">
        <f>IF(OR($B288="",N288=""),"",--(N288=$B288))</f>
        <v/>
      </c>
      <c r="BD288" s="4">
        <f>IF(OR($B288="",N288=""),"",IF($B288=1,--(N288=1),""))</f>
        <v/>
      </c>
      <c r="BE288" s="4">
        <f>IF(OR($B288="",N288=""),"",IF($B288=0,--(N288=0),""))</f>
        <v/>
      </c>
      <c r="BF288" s="4">
        <f>IF(N288="","",--(N288=1))</f>
        <v/>
      </c>
    </row>
    <row r="289">
      <c r="A289" s="3" t="inlineStr">
        <is>
          <t>202138575</t>
        </is>
      </c>
      <c r="B289" s="3" t="inlineStr">
        <is>
          <t>0</t>
        </is>
      </c>
      <c r="C289" s="3" t="inlineStr">
        <is>
          <t>Direct</t>
        </is>
      </c>
      <c r="D289" s="3" t="inlineStr">
        <is>
          <t>0</t>
        </is>
      </c>
      <c r="E289" s="3" t="inlineStr">
        <is>
          <t>0</t>
        </is>
      </c>
      <c r="F289" s="3" t="inlineStr">
        <is>
          <t>0</t>
        </is>
      </c>
      <c r="G289" s="3" t="inlineStr">
        <is>
          <t>0</t>
        </is>
      </c>
      <c r="H289" s="3" t="inlineStr">
        <is>
          <t>0</t>
        </is>
      </c>
      <c r="I289" s="3" t="inlineStr">
        <is>
          <t>0</t>
        </is>
      </c>
      <c r="J289" s="3" t="inlineStr">
        <is>
          <t>0</t>
        </is>
      </c>
      <c r="K289" s="3" t="inlineStr">
        <is>
          <t>0</t>
        </is>
      </c>
      <c r="L289" s="3" t="inlineStr">
        <is>
          <t>0</t>
        </is>
      </c>
      <c r="M289" s="3" t="inlineStr">
        <is>
          <t>0</t>
        </is>
      </c>
      <c r="N289" s="3" t="inlineStr">
        <is>
          <t>0</t>
        </is>
      </c>
      <c r="O289" s="4">
        <f>IF(OR($B289="",D289=""),"",--(D289=$B289))</f>
        <v/>
      </c>
      <c r="P289" s="4">
        <f>IF(OR($B289="",D289=""),"",IF($B289=1,--(D289=1),""))</f>
        <v/>
      </c>
      <c r="Q289" s="4">
        <f>IF(OR($B289="",D289=""),"",IF($B289=0,--(D289=0),""))</f>
        <v/>
      </c>
      <c r="R289" s="4">
        <f>IF(D289="","",--(D289=1))</f>
        <v/>
      </c>
      <c r="S289" s="4">
        <f>IF(OR($B289="",E289=""),"",--(E289=$B289))</f>
        <v/>
      </c>
      <c r="T289" s="4">
        <f>IF(OR($B289="",E289=""),"",IF($B289=1,--(E289=1),""))</f>
        <v/>
      </c>
      <c r="U289" s="4">
        <f>IF(OR($B289="",E289=""),"",IF($B289=0,--(E289=0),""))</f>
        <v/>
      </c>
      <c r="V289" s="4">
        <f>IF(E289="","",--(E289=1))</f>
        <v/>
      </c>
      <c r="W289" s="4">
        <f>IF(OR($B289="",F289=""),"",--(F289=$B289))</f>
        <v/>
      </c>
      <c r="X289" s="4">
        <f>IF(OR($B289="",F289=""),"",IF($B289=1,--(F289=1),""))</f>
        <v/>
      </c>
      <c r="Y289" s="4">
        <f>IF(OR($B289="",F289=""),"",IF($B289=0,--(F289=0),""))</f>
        <v/>
      </c>
      <c r="Z289" s="4">
        <f>IF(F289="","",--(F289=1))</f>
        <v/>
      </c>
      <c r="AA289" s="4">
        <f>IF(OR($B289="",G289=""),"",--(G289=$B289))</f>
        <v/>
      </c>
      <c r="AB289" s="4">
        <f>IF(OR($B289="",G289=""),"",IF($B289=1,--(G289=1),""))</f>
        <v/>
      </c>
      <c r="AC289" s="4">
        <f>IF(OR($B289="",G289=""),"",IF($B289=0,--(G289=0),""))</f>
        <v/>
      </c>
      <c r="AD289" s="4">
        <f>IF(G289="","",--(G289=1))</f>
        <v/>
      </c>
      <c r="AE289" s="4">
        <f>IF(OR($B289="",H289=""),"",--(H289=$B289))</f>
        <v/>
      </c>
      <c r="AF289" s="4">
        <f>IF(OR($B289="",H289=""),"",IF($B289=1,--(H289=1),""))</f>
        <v/>
      </c>
      <c r="AG289" s="4">
        <f>IF(OR($B289="",H289=""),"",IF($B289=0,--(H289=0),""))</f>
        <v/>
      </c>
      <c r="AH289" s="4">
        <f>IF(H289="","",--(H289=1))</f>
        <v/>
      </c>
      <c r="AI289" s="4">
        <f>IF(OR($B289="",I289=""),"",--(I289=$B289))</f>
        <v/>
      </c>
      <c r="AJ289" s="4">
        <f>IF(OR($B289="",I289=""),"",IF($B289=1,--(I289=1),""))</f>
        <v/>
      </c>
      <c r="AK289" s="4">
        <f>IF(OR($B289="",I289=""),"",IF($B289=0,--(I289=0),""))</f>
        <v/>
      </c>
      <c r="AL289" s="4">
        <f>IF(I289="","",--(I289=1))</f>
        <v/>
      </c>
      <c r="AM289" s="4">
        <f>IF(OR($B289="",J289=""),"",--(J289=$B289))</f>
        <v/>
      </c>
      <c r="AN289" s="4">
        <f>IF(OR($B289="",J289=""),"",IF($B289=1,--(J289=1),""))</f>
        <v/>
      </c>
      <c r="AO289" s="4">
        <f>IF(OR($B289="",J289=""),"",IF($B289=0,--(J289=0),""))</f>
        <v/>
      </c>
      <c r="AP289" s="4">
        <f>IF(J289="","",--(J289=1))</f>
        <v/>
      </c>
      <c r="AQ289" s="4">
        <f>IF(OR($B289="",K289=""),"",--(K289=$B289))</f>
        <v/>
      </c>
      <c r="AR289" s="4">
        <f>IF(OR($B289="",K289=""),"",IF($B289=1,--(K289=1),""))</f>
        <v/>
      </c>
      <c r="AS289" s="4">
        <f>IF(OR($B289="",K289=""),"",IF($B289=0,--(K289=0),""))</f>
        <v/>
      </c>
      <c r="AT289" s="4">
        <f>IF(K289="","",--(K289=1))</f>
        <v/>
      </c>
      <c r="AU289" s="4">
        <f>IF(OR($B289="",L289=""),"",--(L289=$B289))</f>
        <v/>
      </c>
      <c r="AV289" s="4">
        <f>IF(OR($B289="",L289=""),"",IF($B289=1,--(L289=1),""))</f>
        <v/>
      </c>
      <c r="AW289" s="4">
        <f>IF(OR($B289="",L289=""),"",IF($B289=0,--(L289=0),""))</f>
        <v/>
      </c>
      <c r="AX289" s="4">
        <f>IF(L289="","",--(L289=1))</f>
        <v/>
      </c>
      <c r="AY289" s="4">
        <f>IF(OR($B289="",M289=""),"",--(M289=$B289))</f>
        <v/>
      </c>
      <c r="AZ289" s="4">
        <f>IF(OR($B289="",M289=""),"",IF($B289=1,--(M289=1),""))</f>
        <v/>
      </c>
      <c r="BA289" s="4">
        <f>IF(OR($B289="",M289=""),"",IF($B289=0,--(M289=0),""))</f>
        <v/>
      </c>
      <c r="BB289" s="4">
        <f>IF(M289="","",--(M289=1))</f>
        <v/>
      </c>
      <c r="BC289" s="4">
        <f>IF(OR($B289="",N289=""),"",--(N289=$B289))</f>
        <v/>
      </c>
      <c r="BD289" s="4">
        <f>IF(OR($B289="",N289=""),"",IF($B289=1,--(N289=1),""))</f>
        <v/>
      </c>
      <c r="BE289" s="4">
        <f>IF(OR($B289="",N289=""),"",IF($B289=0,--(N289=0),""))</f>
        <v/>
      </c>
      <c r="BF289" s="4">
        <f>IF(N289="","",--(N289=1))</f>
        <v/>
      </c>
    </row>
    <row r="290">
      <c r="A290" s="3" t="inlineStr">
        <is>
          <t>202138808</t>
        </is>
      </c>
      <c r="B290" s="3" t="inlineStr">
        <is>
          <t>0</t>
        </is>
      </c>
      <c r="C290" s="3" t="inlineStr">
        <is>
          <t>Direct</t>
        </is>
      </c>
      <c r="D290" s="3" t="inlineStr">
        <is>
          <t>0</t>
        </is>
      </c>
      <c r="E290" s="3" t="inlineStr">
        <is>
          <t>1</t>
        </is>
      </c>
      <c r="F290" s="3" t="inlineStr">
        <is>
          <t>1</t>
        </is>
      </c>
      <c r="G290" s="3" t="inlineStr">
        <is>
          <t>1</t>
        </is>
      </c>
      <c r="H290" s="3" t="inlineStr">
        <is>
          <t>1</t>
        </is>
      </c>
      <c r="I290" s="3" t="inlineStr">
        <is>
          <t>1</t>
        </is>
      </c>
      <c r="J290" s="3" t="inlineStr">
        <is>
          <t>1</t>
        </is>
      </c>
      <c r="K290" s="3" t="inlineStr">
        <is>
          <t>1</t>
        </is>
      </c>
      <c r="L290" s="3" t="inlineStr">
        <is>
          <t>1</t>
        </is>
      </c>
      <c r="M290" s="3" t="inlineStr">
        <is>
          <t>1</t>
        </is>
      </c>
      <c r="N290" s="3" t="inlineStr">
        <is>
          <t>1</t>
        </is>
      </c>
      <c r="O290" s="4">
        <f>IF(OR($B290="",D290=""),"",--(D290=$B290))</f>
        <v/>
      </c>
      <c r="P290" s="4">
        <f>IF(OR($B290="",D290=""),"",IF($B290=1,--(D290=1),""))</f>
        <v/>
      </c>
      <c r="Q290" s="4">
        <f>IF(OR($B290="",D290=""),"",IF($B290=0,--(D290=0),""))</f>
        <v/>
      </c>
      <c r="R290" s="4">
        <f>IF(D290="","",--(D290=1))</f>
        <v/>
      </c>
      <c r="S290" s="4">
        <f>IF(OR($B290="",E290=""),"",--(E290=$B290))</f>
        <v/>
      </c>
      <c r="T290" s="4">
        <f>IF(OR($B290="",E290=""),"",IF($B290=1,--(E290=1),""))</f>
        <v/>
      </c>
      <c r="U290" s="4">
        <f>IF(OR($B290="",E290=""),"",IF($B290=0,--(E290=0),""))</f>
        <v/>
      </c>
      <c r="V290" s="4">
        <f>IF(E290="","",--(E290=1))</f>
        <v/>
      </c>
      <c r="W290" s="4">
        <f>IF(OR($B290="",F290=""),"",--(F290=$B290))</f>
        <v/>
      </c>
      <c r="X290" s="4">
        <f>IF(OR($B290="",F290=""),"",IF($B290=1,--(F290=1),""))</f>
        <v/>
      </c>
      <c r="Y290" s="4">
        <f>IF(OR($B290="",F290=""),"",IF($B290=0,--(F290=0),""))</f>
        <v/>
      </c>
      <c r="Z290" s="4">
        <f>IF(F290="","",--(F290=1))</f>
        <v/>
      </c>
      <c r="AA290" s="4">
        <f>IF(OR($B290="",G290=""),"",--(G290=$B290))</f>
        <v/>
      </c>
      <c r="AB290" s="4">
        <f>IF(OR($B290="",G290=""),"",IF($B290=1,--(G290=1),""))</f>
        <v/>
      </c>
      <c r="AC290" s="4">
        <f>IF(OR($B290="",G290=""),"",IF($B290=0,--(G290=0),""))</f>
        <v/>
      </c>
      <c r="AD290" s="4">
        <f>IF(G290="","",--(G290=1))</f>
        <v/>
      </c>
      <c r="AE290" s="4">
        <f>IF(OR($B290="",H290=""),"",--(H290=$B290))</f>
        <v/>
      </c>
      <c r="AF290" s="4">
        <f>IF(OR($B290="",H290=""),"",IF($B290=1,--(H290=1),""))</f>
        <v/>
      </c>
      <c r="AG290" s="4">
        <f>IF(OR($B290="",H290=""),"",IF($B290=0,--(H290=0),""))</f>
        <v/>
      </c>
      <c r="AH290" s="4">
        <f>IF(H290="","",--(H290=1))</f>
        <v/>
      </c>
      <c r="AI290" s="4">
        <f>IF(OR($B290="",I290=""),"",--(I290=$B290))</f>
        <v/>
      </c>
      <c r="AJ290" s="4">
        <f>IF(OR($B290="",I290=""),"",IF($B290=1,--(I290=1),""))</f>
        <v/>
      </c>
      <c r="AK290" s="4">
        <f>IF(OR($B290="",I290=""),"",IF($B290=0,--(I290=0),""))</f>
        <v/>
      </c>
      <c r="AL290" s="4">
        <f>IF(I290="","",--(I290=1))</f>
        <v/>
      </c>
      <c r="AM290" s="4">
        <f>IF(OR($B290="",J290=""),"",--(J290=$B290))</f>
        <v/>
      </c>
      <c r="AN290" s="4">
        <f>IF(OR($B290="",J290=""),"",IF($B290=1,--(J290=1),""))</f>
        <v/>
      </c>
      <c r="AO290" s="4">
        <f>IF(OR($B290="",J290=""),"",IF($B290=0,--(J290=0),""))</f>
        <v/>
      </c>
      <c r="AP290" s="4">
        <f>IF(J290="","",--(J290=1))</f>
        <v/>
      </c>
      <c r="AQ290" s="4">
        <f>IF(OR($B290="",K290=""),"",--(K290=$B290))</f>
        <v/>
      </c>
      <c r="AR290" s="4">
        <f>IF(OR($B290="",K290=""),"",IF($B290=1,--(K290=1),""))</f>
        <v/>
      </c>
      <c r="AS290" s="4">
        <f>IF(OR($B290="",K290=""),"",IF($B290=0,--(K290=0),""))</f>
        <v/>
      </c>
      <c r="AT290" s="4">
        <f>IF(K290="","",--(K290=1))</f>
        <v/>
      </c>
      <c r="AU290" s="4">
        <f>IF(OR($B290="",L290=""),"",--(L290=$B290))</f>
        <v/>
      </c>
      <c r="AV290" s="4">
        <f>IF(OR($B290="",L290=""),"",IF($B290=1,--(L290=1),""))</f>
        <v/>
      </c>
      <c r="AW290" s="4">
        <f>IF(OR($B290="",L290=""),"",IF($B290=0,--(L290=0),""))</f>
        <v/>
      </c>
      <c r="AX290" s="4">
        <f>IF(L290="","",--(L290=1))</f>
        <v/>
      </c>
      <c r="AY290" s="4">
        <f>IF(OR($B290="",M290=""),"",--(M290=$B290))</f>
        <v/>
      </c>
      <c r="AZ290" s="4">
        <f>IF(OR($B290="",M290=""),"",IF($B290=1,--(M290=1),""))</f>
        <v/>
      </c>
      <c r="BA290" s="4">
        <f>IF(OR($B290="",M290=""),"",IF($B290=0,--(M290=0),""))</f>
        <v/>
      </c>
      <c r="BB290" s="4">
        <f>IF(M290="","",--(M290=1))</f>
        <v/>
      </c>
      <c r="BC290" s="4">
        <f>IF(OR($B290="",N290=""),"",--(N290=$B290))</f>
        <v/>
      </c>
      <c r="BD290" s="4">
        <f>IF(OR($B290="",N290=""),"",IF($B290=1,--(N290=1),""))</f>
        <v/>
      </c>
      <c r="BE290" s="4">
        <f>IF(OR($B290="",N290=""),"",IF($B290=0,--(N290=0),""))</f>
        <v/>
      </c>
      <c r="BF290" s="4">
        <f>IF(N290="","",--(N290=1))</f>
        <v/>
      </c>
    </row>
    <row r="291">
      <c r="A291" s="3" t="inlineStr">
        <is>
          <t>202139006</t>
        </is>
      </c>
      <c r="B291" s="3" t="inlineStr">
        <is>
          <t>0</t>
        </is>
      </c>
      <c r="C291" s="3" t="inlineStr">
        <is>
          <t>Direct</t>
        </is>
      </c>
      <c r="D291" s="3" t="inlineStr">
        <is>
          <t>1</t>
        </is>
      </c>
      <c r="E291" s="3" t="inlineStr">
        <is>
          <t>1</t>
        </is>
      </c>
      <c r="F291" s="3" t="inlineStr">
        <is>
          <t>0</t>
        </is>
      </c>
      <c r="G291" s="3" t="inlineStr">
        <is>
          <t>1</t>
        </is>
      </c>
      <c r="H291" s="3" t="inlineStr">
        <is>
          <t>1</t>
        </is>
      </c>
      <c r="I291" s="3" t="inlineStr">
        <is>
          <t>1</t>
        </is>
      </c>
      <c r="J291" s="3" t="inlineStr">
        <is>
          <t>1</t>
        </is>
      </c>
      <c r="K291" s="3" t="inlineStr">
        <is>
          <t>1</t>
        </is>
      </c>
      <c r="L291" s="3" t="inlineStr">
        <is>
          <t>1</t>
        </is>
      </c>
      <c r="M291" s="3" t="inlineStr">
        <is>
          <t>1</t>
        </is>
      </c>
      <c r="N291" s="3" t="inlineStr">
        <is>
          <t>1</t>
        </is>
      </c>
      <c r="O291" s="4">
        <f>IF(OR($B291="",D291=""),"",--(D291=$B291))</f>
        <v/>
      </c>
      <c r="P291" s="4">
        <f>IF(OR($B291="",D291=""),"",IF($B291=1,--(D291=1),""))</f>
        <v/>
      </c>
      <c r="Q291" s="4">
        <f>IF(OR($B291="",D291=""),"",IF($B291=0,--(D291=0),""))</f>
        <v/>
      </c>
      <c r="R291" s="4">
        <f>IF(D291="","",--(D291=1))</f>
        <v/>
      </c>
      <c r="S291" s="4">
        <f>IF(OR($B291="",E291=""),"",--(E291=$B291))</f>
        <v/>
      </c>
      <c r="T291" s="4">
        <f>IF(OR($B291="",E291=""),"",IF($B291=1,--(E291=1),""))</f>
        <v/>
      </c>
      <c r="U291" s="4">
        <f>IF(OR($B291="",E291=""),"",IF($B291=0,--(E291=0),""))</f>
        <v/>
      </c>
      <c r="V291" s="4">
        <f>IF(E291="","",--(E291=1))</f>
        <v/>
      </c>
      <c r="W291" s="4">
        <f>IF(OR($B291="",F291=""),"",--(F291=$B291))</f>
        <v/>
      </c>
      <c r="X291" s="4">
        <f>IF(OR($B291="",F291=""),"",IF($B291=1,--(F291=1),""))</f>
        <v/>
      </c>
      <c r="Y291" s="4">
        <f>IF(OR($B291="",F291=""),"",IF($B291=0,--(F291=0),""))</f>
        <v/>
      </c>
      <c r="Z291" s="4">
        <f>IF(F291="","",--(F291=1))</f>
        <v/>
      </c>
      <c r="AA291" s="4">
        <f>IF(OR($B291="",G291=""),"",--(G291=$B291))</f>
        <v/>
      </c>
      <c r="AB291" s="4">
        <f>IF(OR($B291="",G291=""),"",IF($B291=1,--(G291=1),""))</f>
        <v/>
      </c>
      <c r="AC291" s="4">
        <f>IF(OR($B291="",G291=""),"",IF($B291=0,--(G291=0),""))</f>
        <v/>
      </c>
      <c r="AD291" s="4">
        <f>IF(G291="","",--(G291=1))</f>
        <v/>
      </c>
      <c r="AE291" s="4">
        <f>IF(OR($B291="",H291=""),"",--(H291=$B291))</f>
        <v/>
      </c>
      <c r="AF291" s="4">
        <f>IF(OR($B291="",H291=""),"",IF($B291=1,--(H291=1),""))</f>
        <v/>
      </c>
      <c r="AG291" s="4">
        <f>IF(OR($B291="",H291=""),"",IF($B291=0,--(H291=0),""))</f>
        <v/>
      </c>
      <c r="AH291" s="4">
        <f>IF(H291="","",--(H291=1))</f>
        <v/>
      </c>
      <c r="AI291" s="4">
        <f>IF(OR($B291="",I291=""),"",--(I291=$B291))</f>
        <v/>
      </c>
      <c r="AJ291" s="4">
        <f>IF(OR($B291="",I291=""),"",IF($B291=1,--(I291=1),""))</f>
        <v/>
      </c>
      <c r="AK291" s="4">
        <f>IF(OR($B291="",I291=""),"",IF($B291=0,--(I291=0),""))</f>
        <v/>
      </c>
      <c r="AL291" s="4">
        <f>IF(I291="","",--(I291=1))</f>
        <v/>
      </c>
      <c r="AM291" s="4">
        <f>IF(OR($B291="",J291=""),"",--(J291=$B291))</f>
        <v/>
      </c>
      <c r="AN291" s="4">
        <f>IF(OR($B291="",J291=""),"",IF($B291=1,--(J291=1),""))</f>
        <v/>
      </c>
      <c r="AO291" s="4">
        <f>IF(OR($B291="",J291=""),"",IF($B291=0,--(J291=0),""))</f>
        <v/>
      </c>
      <c r="AP291" s="4">
        <f>IF(J291="","",--(J291=1))</f>
        <v/>
      </c>
      <c r="AQ291" s="4">
        <f>IF(OR($B291="",K291=""),"",--(K291=$B291))</f>
        <v/>
      </c>
      <c r="AR291" s="4">
        <f>IF(OR($B291="",K291=""),"",IF($B291=1,--(K291=1),""))</f>
        <v/>
      </c>
      <c r="AS291" s="4">
        <f>IF(OR($B291="",K291=""),"",IF($B291=0,--(K291=0),""))</f>
        <v/>
      </c>
      <c r="AT291" s="4">
        <f>IF(K291="","",--(K291=1))</f>
        <v/>
      </c>
      <c r="AU291" s="4">
        <f>IF(OR($B291="",L291=""),"",--(L291=$B291))</f>
        <v/>
      </c>
      <c r="AV291" s="4">
        <f>IF(OR($B291="",L291=""),"",IF($B291=1,--(L291=1),""))</f>
        <v/>
      </c>
      <c r="AW291" s="4">
        <f>IF(OR($B291="",L291=""),"",IF($B291=0,--(L291=0),""))</f>
        <v/>
      </c>
      <c r="AX291" s="4">
        <f>IF(L291="","",--(L291=1))</f>
        <v/>
      </c>
      <c r="AY291" s="4">
        <f>IF(OR($B291="",M291=""),"",--(M291=$B291))</f>
        <v/>
      </c>
      <c r="AZ291" s="4">
        <f>IF(OR($B291="",M291=""),"",IF($B291=1,--(M291=1),""))</f>
        <v/>
      </c>
      <c r="BA291" s="4">
        <f>IF(OR($B291="",M291=""),"",IF($B291=0,--(M291=0),""))</f>
        <v/>
      </c>
      <c r="BB291" s="4">
        <f>IF(M291="","",--(M291=1))</f>
        <v/>
      </c>
      <c r="BC291" s="4">
        <f>IF(OR($B291="",N291=""),"",--(N291=$B291))</f>
        <v/>
      </c>
      <c r="BD291" s="4">
        <f>IF(OR($B291="",N291=""),"",IF($B291=1,--(N291=1),""))</f>
        <v/>
      </c>
      <c r="BE291" s="4">
        <f>IF(OR($B291="",N291=""),"",IF($B291=0,--(N291=0),""))</f>
        <v/>
      </c>
      <c r="BF291" s="4">
        <f>IF(N291="","",--(N291=1))</f>
        <v/>
      </c>
    </row>
    <row r="292">
      <c r="A292" s="3" t="inlineStr">
        <is>
          <t>202139246</t>
        </is>
      </c>
      <c r="B292" s="3" t="inlineStr">
        <is>
          <t>1</t>
        </is>
      </c>
      <c r="C292" s="3" t="inlineStr">
        <is>
          <t>Direct</t>
        </is>
      </c>
      <c r="D292" s="3" t="inlineStr">
        <is>
          <t>1</t>
        </is>
      </c>
      <c r="E292" s="3" t="inlineStr">
        <is>
          <t>0</t>
        </is>
      </c>
      <c r="F292" s="3" t="inlineStr">
        <is>
          <t>1</t>
        </is>
      </c>
      <c r="G292" s="3" t="inlineStr">
        <is>
          <t>1</t>
        </is>
      </c>
      <c r="H292" s="3" t="inlineStr">
        <is>
          <t>1</t>
        </is>
      </c>
      <c r="I292" s="3" t="inlineStr">
        <is>
          <t>1</t>
        </is>
      </c>
      <c r="J292" s="3" t="inlineStr">
        <is>
          <t>1</t>
        </is>
      </c>
      <c r="K292" s="3" t="inlineStr">
        <is>
          <t>1</t>
        </is>
      </c>
      <c r="L292" s="3" t="inlineStr">
        <is>
          <t>1</t>
        </is>
      </c>
      <c r="M292" s="3" t="inlineStr">
        <is>
          <t>1</t>
        </is>
      </c>
      <c r="N292" s="3" t="inlineStr">
        <is>
          <t>1</t>
        </is>
      </c>
      <c r="O292" s="4">
        <f>IF(OR($B292="",D292=""),"",--(D292=$B292))</f>
        <v/>
      </c>
      <c r="P292" s="4">
        <f>IF(OR($B292="",D292=""),"",IF($B292=1,--(D292=1),""))</f>
        <v/>
      </c>
      <c r="Q292" s="4">
        <f>IF(OR($B292="",D292=""),"",IF($B292=0,--(D292=0),""))</f>
        <v/>
      </c>
      <c r="R292" s="4">
        <f>IF(D292="","",--(D292=1))</f>
        <v/>
      </c>
      <c r="S292" s="4">
        <f>IF(OR($B292="",E292=""),"",--(E292=$B292))</f>
        <v/>
      </c>
      <c r="T292" s="4">
        <f>IF(OR($B292="",E292=""),"",IF($B292=1,--(E292=1),""))</f>
        <v/>
      </c>
      <c r="U292" s="4">
        <f>IF(OR($B292="",E292=""),"",IF($B292=0,--(E292=0),""))</f>
        <v/>
      </c>
      <c r="V292" s="4">
        <f>IF(E292="","",--(E292=1))</f>
        <v/>
      </c>
      <c r="W292" s="4">
        <f>IF(OR($B292="",F292=""),"",--(F292=$B292))</f>
        <v/>
      </c>
      <c r="X292" s="4">
        <f>IF(OR($B292="",F292=""),"",IF($B292=1,--(F292=1),""))</f>
        <v/>
      </c>
      <c r="Y292" s="4">
        <f>IF(OR($B292="",F292=""),"",IF($B292=0,--(F292=0),""))</f>
        <v/>
      </c>
      <c r="Z292" s="4">
        <f>IF(F292="","",--(F292=1))</f>
        <v/>
      </c>
      <c r="AA292" s="4">
        <f>IF(OR($B292="",G292=""),"",--(G292=$B292))</f>
        <v/>
      </c>
      <c r="AB292" s="4">
        <f>IF(OR($B292="",G292=""),"",IF($B292=1,--(G292=1),""))</f>
        <v/>
      </c>
      <c r="AC292" s="4">
        <f>IF(OR($B292="",G292=""),"",IF($B292=0,--(G292=0),""))</f>
        <v/>
      </c>
      <c r="AD292" s="4">
        <f>IF(G292="","",--(G292=1))</f>
        <v/>
      </c>
      <c r="AE292" s="4">
        <f>IF(OR($B292="",H292=""),"",--(H292=$B292))</f>
        <v/>
      </c>
      <c r="AF292" s="4">
        <f>IF(OR($B292="",H292=""),"",IF($B292=1,--(H292=1),""))</f>
        <v/>
      </c>
      <c r="AG292" s="4">
        <f>IF(OR($B292="",H292=""),"",IF($B292=0,--(H292=0),""))</f>
        <v/>
      </c>
      <c r="AH292" s="4">
        <f>IF(H292="","",--(H292=1))</f>
        <v/>
      </c>
      <c r="AI292" s="4">
        <f>IF(OR($B292="",I292=""),"",--(I292=$B292))</f>
        <v/>
      </c>
      <c r="AJ292" s="4">
        <f>IF(OR($B292="",I292=""),"",IF($B292=1,--(I292=1),""))</f>
        <v/>
      </c>
      <c r="AK292" s="4">
        <f>IF(OR($B292="",I292=""),"",IF($B292=0,--(I292=0),""))</f>
        <v/>
      </c>
      <c r="AL292" s="4">
        <f>IF(I292="","",--(I292=1))</f>
        <v/>
      </c>
      <c r="AM292" s="4">
        <f>IF(OR($B292="",J292=""),"",--(J292=$B292))</f>
        <v/>
      </c>
      <c r="AN292" s="4">
        <f>IF(OR($B292="",J292=""),"",IF($B292=1,--(J292=1),""))</f>
        <v/>
      </c>
      <c r="AO292" s="4">
        <f>IF(OR($B292="",J292=""),"",IF($B292=0,--(J292=0),""))</f>
        <v/>
      </c>
      <c r="AP292" s="4">
        <f>IF(J292="","",--(J292=1))</f>
        <v/>
      </c>
      <c r="AQ292" s="4">
        <f>IF(OR($B292="",K292=""),"",--(K292=$B292))</f>
        <v/>
      </c>
      <c r="AR292" s="4">
        <f>IF(OR($B292="",K292=""),"",IF($B292=1,--(K292=1),""))</f>
        <v/>
      </c>
      <c r="AS292" s="4">
        <f>IF(OR($B292="",K292=""),"",IF($B292=0,--(K292=0),""))</f>
        <v/>
      </c>
      <c r="AT292" s="4">
        <f>IF(K292="","",--(K292=1))</f>
        <v/>
      </c>
      <c r="AU292" s="4">
        <f>IF(OR($B292="",L292=""),"",--(L292=$B292))</f>
        <v/>
      </c>
      <c r="AV292" s="4">
        <f>IF(OR($B292="",L292=""),"",IF($B292=1,--(L292=1),""))</f>
        <v/>
      </c>
      <c r="AW292" s="4">
        <f>IF(OR($B292="",L292=""),"",IF($B292=0,--(L292=0),""))</f>
        <v/>
      </c>
      <c r="AX292" s="4">
        <f>IF(L292="","",--(L292=1))</f>
        <v/>
      </c>
      <c r="AY292" s="4">
        <f>IF(OR($B292="",M292=""),"",--(M292=$B292))</f>
        <v/>
      </c>
      <c r="AZ292" s="4">
        <f>IF(OR($B292="",M292=""),"",IF($B292=1,--(M292=1),""))</f>
        <v/>
      </c>
      <c r="BA292" s="4">
        <f>IF(OR($B292="",M292=""),"",IF($B292=0,--(M292=0),""))</f>
        <v/>
      </c>
      <c r="BB292" s="4">
        <f>IF(M292="","",--(M292=1))</f>
        <v/>
      </c>
      <c r="BC292" s="4">
        <f>IF(OR($B292="",N292=""),"",--(N292=$B292))</f>
        <v/>
      </c>
      <c r="BD292" s="4">
        <f>IF(OR($B292="",N292=""),"",IF($B292=1,--(N292=1),""))</f>
        <v/>
      </c>
      <c r="BE292" s="4">
        <f>IF(OR($B292="",N292=""),"",IF($B292=0,--(N292=0),""))</f>
        <v/>
      </c>
      <c r="BF292" s="4">
        <f>IF(N292="","",--(N292=1))</f>
        <v/>
      </c>
    </row>
    <row r="293">
      <c r="A293" s="3" t="inlineStr">
        <is>
          <t>202139407</t>
        </is>
      </c>
      <c r="B293" s="3" t="inlineStr">
        <is>
          <t>1</t>
        </is>
      </c>
      <c r="C293" s="3" t="inlineStr">
        <is>
          <t>Direct</t>
        </is>
      </c>
      <c r="D293" s="3" t="inlineStr">
        <is>
          <t>1</t>
        </is>
      </c>
      <c r="E293" s="3" t="inlineStr">
        <is>
          <t>1</t>
        </is>
      </c>
      <c r="F293" s="3" t="inlineStr">
        <is>
          <t>1</t>
        </is>
      </c>
      <c r="G293" s="3" t="inlineStr">
        <is>
          <t>1</t>
        </is>
      </c>
      <c r="H293" s="3" t="inlineStr">
        <is>
          <t>1</t>
        </is>
      </c>
      <c r="I293" s="3" t="inlineStr">
        <is>
          <t>1</t>
        </is>
      </c>
      <c r="J293" s="3" t="inlineStr">
        <is>
          <t>1</t>
        </is>
      </c>
      <c r="K293" s="3" t="inlineStr">
        <is>
          <t>1</t>
        </is>
      </c>
      <c r="L293" s="3" t="inlineStr">
        <is>
          <t>1</t>
        </is>
      </c>
      <c r="M293" s="3" t="inlineStr">
        <is>
          <t>1</t>
        </is>
      </c>
      <c r="N293" s="3" t="inlineStr">
        <is>
          <t>1</t>
        </is>
      </c>
      <c r="O293" s="4">
        <f>IF(OR($B293="",D293=""),"",--(D293=$B293))</f>
        <v/>
      </c>
      <c r="P293" s="4">
        <f>IF(OR($B293="",D293=""),"",IF($B293=1,--(D293=1),""))</f>
        <v/>
      </c>
      <c r="Q293" s="4">
        <f>IF(OR($B293="",D293=""),"",IF($B293=0,--(D293=0),""))</f>
        <v/>
      </c>
      <c r="R293" s="4">
        <f>IF(D293="","",--(D293=1))</f>
        <v/>
      </c>
      <c r="S293" s="4">
        <f>IF(OR($B293="",E293=""),"",--(E293=$B293))</f>
        <v/>
      </c>
      <c r="T293" s="4">
        <f>IF(OR($B293="",E293=""),"",IF($B293=1,--(E293=1),""))</f>
        <v/>
      </c>
      <c r="U293" s="4">
        <f>IF(OR($B293="",E293=""),"",IF($B293=0,--(E293=0),""))</f>
        <v/>
      </c>
      <c r="V293" s="4">
        <f>IF(E293="","",--(E293=1))</f>
        <v/>
      </c>
      <c r="W293" s="4">
        <f>IF(OR($B293="",F293=""),"",--(F293=$B293))</f>
        <v/>
      </c>
      <c r="X293" s="4">
        <f>IF(OR($B293="",F293=""),"",IF($B293=1,--(F293=1),""))</f>
        <v/>
      </c>
      <c r="Y293" s="4">
        <f>IF(OR($B293="",F293=""),"",IF($B293=0,--(F293=0),""))</f>
        <v/>
      </c>
      <c r="Z293" s="4">
        <f>IF(F293="","",--(F293=1))</f>
        <v/>
      </c>
      <c r="AA293" s="4">
        <f>IF(OR($B293="",G293=""),"",--(G293=$B293))</f>
        <v/>
      </c>
      <c r="AB293" s="4">
        <f>IF(OR($B293="",G293=""),"",IF($B293=1,--(G293=1),""))</f>
        <v/>
      </c>
      <c r="AC293" s="4">
        <f>IF(OR($B293="",G293=""),"",IF($B293=0,--(G293=0),""))</f>
        <v/>
      </c>
      <c r="AD293" s="4">
        <f>IF(G293="","",--(G293=1))</f>
        <v/>
      </c>
      <c r="AE293" s="4">
        <f>IF(OR($B293="",H293=""),"",--(H293=$B293))</f>
        <v/>
      </c>
      <c r="AF293" s="4">
        <f>IF(OR($B293="",H293=""),"",IF($B293=1,--(H293=1),""))</f>
        <v/>
      </c>
      <c r="AG293" s="4">
        <f>IF(OR($B293="",H293=""),"",IF($B293=0,--(H293=0),""))</f>
        <v/>
      </c>
      <c r="AH293" s="4">
        <f>IF(H293="","",--(H293=1))</f>
        <v/>
      </c>
      <c r="AI293" s="4">
        <f>IF(OR($B293="",I293=""),"",--(I293=$B293))</f>
        <v/>
      </c>
      <c r="AJ293" s="4">
        <f>IF(OR($B293="",I293=""),"",IF($B293=1,--(I293=1),""))</f>
        <v/>
      </c>
      <c r="AK293" s="4">
        <f>IF(OR($B293="",I293=""),"",IF($B293=0,--(I293=0),""))</f>
        <v/>
      </c>
      <c r="AL293" s="4">
        <f>IF(I293="","",--(I293=1))</f>
        <v/>
      </c>
      <c r="AM293" s="4">
        <f>IF(OR($B293="",J293=""),"",--(J293=$B293))</f>
        <v/>
      </c>
      <c r="AN293" s="4">
        <f>IF(OR($B293="",J293=""),"",IF($B293=1,--(J293=1),""))</f>
        <v/>
      </c>
      <c r="AO293" s="4">
        <f>IF(OR($B293="",J293=""),"",IF($B293=0,--(J293=0),""))</f>
        <v/>
      </c>
      <c r="AP293" s="4">
        <f>IF(J293="","",--(J293=1))</f>
        <v/>
      </c>
      <c r="AQ293" s="4">
        <f>IF(OR($B293="",K293=""),"",--(K293=$B293))</f>
        <v/>
      </c>
      <c r="AR293" s="4">
        <f>IF(OR($B293="",K293=""),"",IF($B293=1,--(K293=1),""))</f>
        <v/>
      </c>
      <c r="AS293" s="4">
        <f>IF(OR($B293="",K293=""),"",IF($B293=0,--(K293=0),""))</f>
        <v/>
      </c>
      <c r="AT293" s="4">
        <f>IF(K293="","",--(K293=1))</f>
        <v/>
      </c>
      <c r="AU293" s="4">
        <f>IF(OR($B293="",L293=""),"",--(L293=$B293))</f>
        <v/>
      </c>
      <c r="AV293" s="4">
        <f>IF(OR($B293="",L293=""),"",IF($B293=1,--(L293=1),""))</f>
        <v/>
      </c>
      <c r="AW293" s="4">
        <f>IF(OR($B293="",L293=""),"",IF($B293=0,--(L293=0),""))</f>
        <v/>
      </c>
      <c r="AX293" s="4">
        <f>IF(L293="","",--(L293=1))</f>
        <v/>
      </c>
      <c r="AY293" s="4">
        <f>IF(OR($B293="",M293=""),"",--(M293=$B293))</f>
        <v/>
      </c>
      <c r="AZ293" s="4">
        <f>IF(OR($B293="",M293=""),"",IF($B293=1,--(M293=1),""))</f>
        <v/>
      </c>
      <c r="BA293" s="4">
        <f>IF(OR($B293="",M293=""),"",IF($B293=0,--(M293=0),""))</f>
        <v/>
      </c>
      <c r="BB293" s="4">
        <f>IF(M293="","",--(M293=1))</f>
        <v/>
      </c>
      <c r="BC293" s="4">
        <f>IF(OR($B293="",N293=""),"",--(N293=$B293))</f>
        <v/>
      </c>
      <c r="BD293" s="4">
        <f>IF(OR($B293="",N293=""),"",IF($B293=1,--(N293=1),""))</f>
        <v/>
      </c>
      <c r="BE293" s="4">
        <f>IF(OR($B293="",N293=""),"",IF($B293=0,--(N293=0),""))</f>
        <v/>
      </c>
      <c r="BF293" s="4">
        <f>IF(N293="","",--(N293=1))</f>
        <v/>
      </c>
    </row>
    <row r="294">
      <c r="A294" s="3" t="inlineStr">
        <is>
          <t>202139659</t>
        </is>
      </c>
      <c r="B294" s="3" t="inlineStr">
        <is>
          <t>1</t>
        </is>
      </c>
      <c r="C294" s="3" t="inlineStr">
        <is>
          <t>RQ</t>
        </is>
      </c>
      <c r="D294" s="3" t="inlineStr">
        <is>
          <t>1</t>
        </is>
      </c>
      <c r="E294" s="3" t="inlineStr">
        <is>
          <t>1</t>
        </is>
      </c>
      <c r="F294" s="3" t="inlineStr">
        <is>
          <t>1</t>
        </is>
      </c>
      <c r="G294" s="3" t="inlineStr">
        <is>
          <t>1</t>
        </is>
      </c>
      <c r="H294" s="3" t="inlineStr">
        <is>
          <t>1</t>
        </is>
      </c>
      <c r="I294" s="3" t="inlineStr">
        <is>
          <t>1</t>
        </is>
      </c>
      <c r="J294" s="3" t="inlineStr">
        <is>
          <t>1</t>
        </is>
      </c>
      <c r="K294" s="3" t="inlineStr">
        <is>
          <t>1</t>
        </is>
      </c>
      <c r="L294" s="3" t="inlineStr">
        <is>
          <t>1</t>
        </is>
      </c>
      <c r="M294" s="3" t="inlineStr">
        <is>
          <t>1</t>
        </is>
      </c>
      <c r="N294" s="3" t="inlineStr">
        <is>
          <t>1</t>
        </is>
      </c>
      <c r="O294" s="4">
        <f>IF(OR($B294="",D294=""),"",--(D294=$B294))</f>
        <v/>
      </c>
      <c r="P294" s="4">
        <f>IF(OR($B294="",D294=""),"",IF($B294=1,--(D294=1),""))</f>
        <v/>
      </c>
      <c r="Q294" s="4">
        <f>IF(OR($B294="",D294=""),"",IF($B294=0,--(D294=0),""))</f>
        <v/>
      </c>
      <c r="R294" s="4">
        <f>IF(D294="","",--(D294=1))</f>
        <v/>
      </c>
      <c r="S294" s="4">
        <f>IF(OR($B294="",E294=""),"",--(E294=$B294))</f>
        <v/>
      </c>
      <c r="T294" s="4">
        <f>IF(OR($B294="",E294=""),"",IF($B294=1,--(E294=1),""))</f>
        <v/>
      </c>
      <c r="U294" s="4">
        <f>IF(OR($B294="",E294=""),"",IF($B294=0,--(E294=0),""))</f>
        <v/>
      </c>
      <c r="V294" s="4">
        <f>IF(E294="","",--(E294=1))</f>
        <v/>
      </c>
      <c r="W294" s="4">
        <f>IF(OR($B294="",F294=""),"",--(F294=$B294))</f>
        <v/>
      </c>
      <c r="X294" s="4">
        <f>IF(OR($B294="",F294=""),"",IF($B294=1,--(F294=1),""))</f>
        <v/>
      </c>
      <c r="Y294" s="4">
        <f>IF(OR($B294="",F294=""),"",IF($B294=0,--(F294=0),""))</f>
        <v/>
      </c>
      <c r="Z294" s="4">
        <f>IF(F294="","",--(F294=1))</f>
        <v/>
      </c>
      <c r="AA294" s="4">
        <f>IF(OR($B294="",G294=""),"",--(G294=$B294))</f>
        <v/>
      </c>
      <c r="AB294" s="4">
        <f>IF(OR($B294="",G294=""),"",IF($B294=1,--(G294=1),""))</f>
        <v/>
      </c>
      <c r="AC294" s="4">
        <f>IF(OR($B294="",G294=""),"",IF($B294=0,--(G294=0),""))</f>
        <v/>
      </c>
      <c r="AD294" s="4">
        <f>IF(G294="","",--(G294=1))</f>
        <v/>
      </c>
      <c r="AE294" s="4">
        <f>IF(OR($B294="",H294=""),"",--(H294=$B294))</f>
        <v/>
      </c>
      <c r="AF294" s="4">
        <f>IF(OR($B294="",H294=""),"",IF($B294=1,--(H294=1),""))</f>
        <v/>
      </c>
      <c r="AG294" s="4">
        <f>IF(OR($B294="",H294=""),"",IF($B294=0,--(H294=0),""))</f>
        <v/>
      </c>
      <c r="AH294" s="4">
        <f>IF(H294="","",--(H294=1))</f>
        <v/>
      </c>
      <c r="AI294" s="4">
        <f>IF(OR($B294="",I294=""),"",--(I294=$B294))</f>
        <v/>
      </c>
      <c r="AJ294" s="4">
        <f>IF(OR($B294="",I294=""),"",IF($B294=1,--(I294=1),""))</f>
        <v/>
      </c>
      <c r="AK294" s="4">
        <f>IF(OR($B294="",I294=""),"",IF($B294=0,--(I294=0),""))</f>
        <v/>
      </c>
      <c r="AL294" s="4">
        <f>IF(I294="","",--(I294=1))</f>
        <v/>
      </c>
      <c r="AM294" s="4">
        <f>IF(OR($B294="",J294=""),"",--(J294=$B294))</f>
        <v/>
      </c>
      <c r="AN294" s="4">
        <f>IF(OR($B294="",J294=""),"",IF($B294=1,--(J294=1),""))</f>
        <v/>
      </c>
      <c r="AO294" s="4">
        <f>IF(OR($B294="",J294=""),"",IF($B294=0,--(J294=0),""))</f>
        <v/>
      </c>
      <c r="AP294" s="4">
        <f>IF(J294="","",--(J294=1))</f>
        <v/>
      </c>
      <c r="AQ294" s="4">
        <f>IF(OR($B294="",K294=""),"",--(K294=$B294))</f>
        <v/>
      </c>
      <c r="AR294" s="4">
        <f>IF(OR($B294="",K294=""),"",IF($B294=1,--(K294=1),""))</f>
        <v/>
      </c>
      <c r="AS294" s="4">
        <f>IF(OR($B294="",K294=""),"",IF($B294=0,--(K294=0),""))</f>
        <v/>
      </c>
      <c r="AT294" s="4">
        <f>IF(K294="","",--(K294=1))</f>
        <v/>
      </c>
      <c r="AU294" s="4">
        <f>IF(OR($B294="",L294=""),"",--(L294=$B294))</f>
        <v/>
      </c>
      <c r="AV294" s="4">
        <f>IF(OR($B294="",L294=""),"",IF($B294=1,--(L294=1),""))</f>
        <v/>
      </c>
      <c r="AW294" s="4">
        <f>IF(OR($B294="",L294=""),"",IF($B294=0,--(L294=0),""))</f>
        <v/>
      </c>
      <c r="AX294" s="4">
        <f>IF(L294="","",--(L294=1))</f>
        <v/>
      </c>
      <c r="AY294" s="4">
        <f>IF(OR($B294="",M294=""),"",--(M294=$B294))</f>
        <v/>
      </c>
      <c r="AZ294" s="4">
        <f>IF(OR($B294="",M294=""),"",IF($B294=1,--(M294=1),""))</f>
        <v/>
      </c>
      <c r="BA294" s="4">
        <f>IF(OR($B294="",M294=""),"",IF($B294=0,--(M294=0),""))</f>
        <v/>
      </c>
      <c r="BB294" s="4">
        <f>IF(M294="","",--(M294=1))</f>
        <v/>
      </c>
      <c r="BC294" s="4">
        <f>IF(OR($B294="",N294=""),"",--(N294=$B294))</f>
        <v/>
      </c>
      <c r="BD294" s="4">
        <f>IF(OR($B294="",N294=""),"",IF($B294=1,--(N294=1),""))</f>
        <v/>
      </c>
      <c r="BE294" s="4">
        <f>IF(OR($B294="",N294=""),"",IF($B294=0,--(N294=0),""))</f>
        <v/>
      </c>
      <c r="BF294" s="4">
        <f>IF(N294="","",--(N294=1))</f>
        <v/>
      </c>
    </row>
    <row r="295">
      <c r="A295" s="3" t="inlineStr">
        <is>
          <t>20213966</t>
        </is>
      </c>
      <c r="B295" s="3" t="inlineStr">
        <is>
          <t>1</t>
        </is>
      </c>
      <c r="C295" s="3" t="inlineStr">
        <is>
          <t>Direct</t>
        </is>
      </c>
      <c r="D295" s="3" t="inlineStr">
        <is>
          <t>1</t>
        </is>
      </c>
      <c r="E295" s="3" t="inlineStr">
        <is>
          <t>1</t>
        </is>
      </c>
      <c r="F295" s="3" t="inlineStr">
        <is>
          <t>0</t>
        </is>
      </c>
      <c r="G295" s="3" t="inlineStr">
        <is>
          <t>0</t>
        </is>
      </c>
      <c r="H295" s="3" t="inlineStr">
        <is>
          <t>0</t>
        </is>
      </c>
      <c r="I295" s="3" t="inlineStr">
        <is>
          <t>0</t>
        </is>
      </c>
      <c r="J295" s="3" t="inlineStr">
        <is>
          <t>0</t>
        </is>
      </c>
      <c r="K295" s="3" t="inlineStr">
        <is>
          <t>1</t>
        </is>
      </c>
      <c r="L295" s="3" t="inlineStr">
        <is>
          <t>1</t>
        </is>
      </c>
      <c r="M295" s="3" t="inlineStr">
        <is>
          <t>1</t>
        </is>
      </c>
      <c r="N295" s="3" t="inlineStr">
        <is>
          <t>1</t>
        </is>
      </c>
      <c r="O295" s="4">
        <f>IF(OR($B295="",D295=""),"",--(D295=$B295))</f>
        <v/>
      </c>
      <c r="P295" s="4">
        <f>IF(OR($B295="",D295=""),"",IF($B295=1,--(D295=1),""))</f>
        <v/>
      </c>
      <c r="Q295" s="4">
        <f>IF(OR($B295="",D295=""),"",IF($B295=0,--(D295=0),""))</f>
        <v/>
      </c>
      <c r="R295" s="4">
        <f>IF(D295="","",--(D295=1))</f>
        <v/>
      </c>
      <c r="S295" s="4">
        <f>IF(OR($B295="",E295=""),"",--(E295=$B295))</f>
        <v/>
      </c>
      <c r="T295" s="4">
        <f>IF(OR($B295="",E295=""),"",IF($B295=1,--(E295=1),""))</f>
        <v/>
      </c>
      <c r="U295" s="4">
        <f>IF(OR($B295="",E295=""),"",IF($B295=0,--(E295=0),""))</f>
        <v/>
      </c>
      <c r="V295" s="4">
        <f>IF(E295="","",--(E295=1))</f>
        <v/>
      </c>
      <c r="W295" s="4">
        <f>IF(OR($B295="",F295=""),"",--(F295=$B295))</f>
        <v/>
      </c>
      <c r="X295" s="4">
        <f>IF(OR($B295="",F295=""),"",IF($B295=1,--(F295=1),""))</f>
        <v/>
      </c>
      <c r="Y295" s="4">
        <f>IF(OR($B295="",F295=""),"",IF($B295=0,--(F295=0),""))</f>
        <v/>
      </c>
      <c r="Z295" s="4">
        <f>IF(F295="","",--(F295=1))</f>
        <v/>
      </c>
      <c r="AA295" s="4">
        <f>IF(OR($B295="",G295=""),"",--(G295=$B295))</f>
        <v/>
      </c>
      <c r="AB295" s="4">
        <f>IF(OR($B295="",G295=""),"",IF($B295=1,--(G295=1),""))</f>
        <v/>
      </c>
      <c r="AC295" s="4">
        <f>IF(OR($B295="",G295=""),"",IF($B295=0,--(G295=0),""))</f>
        <v/>
      </c>
      <c r="AD295" s="4">
        <f>IF(G295="","",--(G295=1))</f>
        <v/>
      </c>
      <c r="AE295" s="4">
        <f>IF(OR($B295="",H295=""),"",--(H295=$B295))</f>
        <v/>
      </c>
      <c r="AF295" s="4">
        <f>IF(OR($B295="",H295=""),"",IF($B295=1,--(H295=1),""))</f>
        <v/>
      </c>
      <c r="AG295" s="4">
        <f>IF(OR($B295="",H295=""),"",IF($B295=0,--(H295=0),""))</f>
        <v/>
      </c>
      <c r="AH295" s="4">
        <f>IF(H295="","",--(H295=1))</f>
        <v/>
      </c>
      <c r="AI295" s="4">
        <f>IF(OR($B295="",I295=""),"",--(I295=$B295))</f>
        <v/>
      </c>
      <c r="AJ295" s="4">
        <f>IF(OR($B295="",I295=""),"",IF($B295=1,--(I295=1),""))</f>
        <v/>
      </c>
      <c r="AK295" s="4">
        <f>IF(OR($B295="",I295=""),"",IF($B295=0,--(I295=0),""))</f>
        <v/>
      </c>
      <c r="AL295" s="4">
        <f>IF(I295="","",--(I295=1))</f>
        <v/>
      </c>
      <c r="AM295" s="4">
        <f>IF(OR($B295="",J295=""),"",--(J295=$B295))</f>
        <v/>
      </c>
      <c r="AN295" s="4">
        <f>IF(OR($B295="",J295=""),"",IF($B295=1,--(J295=1),""))</f>
        <v/>
      </c>
      <c r="AO295" s="4">
        <f>IF(OR($B295="",J295=""),"",IF($B295=0,--(J295=0),""))</f>
        <v/>
      </c>
      <c r="AP295" s="4">
        <f>IF(J295="","",--(J295=1))</f>
        <v/>
      </c>
      <c r="AQ295" s="4">
        <f>IF(OR($B295="",K295=""),"",--(K295=$B295))</f>
        <v/>
      </c>
      <c r="AR295" s="4">
        <f>IF(OR($B295="",K295=""),"",IF($B295=1,--(K295=1),""))</f>
        <v/>
      </c>
      <c r="AS295" s="4">
        <f>IF(OR($B295="",K295=""),"",IF($B295=0,--(K295=0),""))</f>
        <v/>
      </c>
      <c r="AT295" s="4">
        <f>IF(K295="","",--(K295=1))</f>
        <v/>
      </c>
      <c r="AU295" s="4">
        <f>IF(OR($B295="",L295=""),"",--(L295=$B295))</f>
        <v/>
      </c>
      <c r="AV295" s="4">
        <f>IF(OR($B295="",L295=""),"",IF($B295=1,--(L295=1),""))</f>
        <v/>
      </c>
      <c r="AW295" s="4">
        <f>IF(OR($B295="",L295=""),"",IF($B295=0,--(L295=0),""))</f>
        <v/>
      </c>
      <c r="AX295" s="4">
        <f>IF(L295="","",--(L295=1))</f>
        <v/>
      </c>
      <c r="AY295" s="4">
        <f>IF(OR($B295="",M295=""),"",--(M295=$B295))</f>
        <v/>
      </c>
      <c r="AZ295" s="4">
        <f>IF(OR($B295="",M295=""),"",IF($B295=1,--(M295=1),""))</f>
        <v/>
      </c>
      <c r="BA295" s="4">
        <f>IF(OR($B295="",M295=""),"",IF($B295=0,--(M295=0),""))</f>
        <v/>
      </c>
      <c r="BB295" s="4">
        <f>IF(M295="","",--(M295=1))</f>
        <v/>
      </c>
      <c r="BC295" s="4">
        <f>IF(OR($B295="",N295=""),"",--(N295=$B295))</f>
        <v/>
      </c>
      <c r="BD295" s="4">
        <f>IF(OR($B295="",N295=""),"",IF($B295=1,--(N295=1),""))</f>
        <v/>
      </c>
      <c r="BE295" s="4">
        <f>IF(OR($B295="",N295=""),"",IF($B295=0,--(N295=0),""))</f>
        <v/>
      </c>
      <c r="BF295" s="4">
        <f>IF(N295="","",--(N295=1))</f>
        <v/>
      </c>
    </row>
    <row r="296">
      <c r="A296" s="3" t="inlineStr">
        <is>
          <t>20214057</t>
        </is>
      </c>
      <c r="B296" s="3" t="inlineStr">
        <is>
          <t>1</t>
        </is>
      </c>
      <c r="C296" s="3" t="inlineStr">
        <is>
          <t>Direct</t>
        </is>
      </c>
      <c r="D296" s="3" t="inlineStr">
        <is>
          <t>1</t>
        </is>
      </c>
      <c r="E296" s="3" t="inlineStr">
        <is>
          <t>0</t>
        </is>
      </c>
      <c r="F296" s="3" t="inlineStr">
        <is>
          <t>0</t>
        </is>
      </c>
      <c r="G296" s="3" t="inlineStr">
        <is>
          <t>1</t>
        </is>
      </c>
      <c r="H296" s="3" t="inlineStr">
        <is>
          <t>1</t>
        </is>
      </c>
      <c r="I296" s="3" t="inlineStr">
        <is>
          <t>1</t>
        </is>
      </c>
      <c r="J296" s="3" t="inlineStr">
        <is>
          <t>1</t>
        </is>
      </c>
      <c r="K296" s="3" t="inlineStr">
        <is>
          <t>1</t>
        </is>
      </c>
      <c r="L296" s="3" t="inlineStr">
        <is>
          <t>1</t>
        </is>
      </c>
      <c r="M296" s="3" t="inlineStr">
        <is>
          <t>1</t>
        </is>
      </c>
      <c r="N296" s="3" t="inlineStr">
        <is>
          <t>1</t>
        </is>
      </c>
      <c r="O296" s="4">
        <f>IF(OR($B296="",D296=""),"",--(D296=$B296))</f>
        <v/>
      </c>
      <c r="P296" s="4">
        <f>IF(OR($B296="",D296=""),"",IF($B296=1,--(D296=1),""))</f>
        <v/>
      </c>
      <c r="Q296" s="4">
        <f>IF(OR($B296="",D296=""),"",IF($B296=0,--(D296=0),""))</f>
        <v/>
      </c>
      <c r="R296" s="4">
        <f>IF(D296="","",--(D296=1))</f>
        <v/>
      </c>
      <c r="S296" s="4">
        <f>IF(OR($B296="",E296=""),"",--(E296=$B296))</f>
        <v/>
      </c>
      <c r="T296" s="4">
        <f>IF(OR($B296="",E296=""),"",IF($B296=1,--(E296=1),""))</f>
        <v/>
      </c>
      <c r="U296" s="4">
        <f>IF(OR($B296="",E296=""),"",IF($B296=0,--(E296=0),""))</f>
        <v/>
      </c>
      <c r="V296" s="4">
        <f>IF(E296="","",--(E296=1))</f>
        <v/>
      </c>
      <c r="W296" s="4">
        <f>IF(OR($B296="",F296=""),"",--(F296=$B296))</f>
        <v/>
      </c>
      <c r="X296" s="4">
        <f>IF(OR($B296="",F296=""),"",IF($B296=1,--(F296=1),""))</f>
        <v/>
      </c>
      <c r="Y296" s="4">
        <f>IF(OR($B296="",F296=""),"",IF($B296=0,--(F296=0),""))</f>
        <v/>
      </c>
      <c r="Z296" s="4">
        <f>IF(F296="","",--(F296=1))</f>
        <v/>
      </c>
      <c r="AA296" s="4">
        <f>IF(OR($B296="",G296=""),"",--(G296=$B296))</f>
        <v/>
      </c>
      <c r="AB296" s="4">
        <f>IF(OR($B296="",G296=""),"",IF($B296=1,--(G296=1),""))</f>
        <v/>
      </c>
      <c r="AC296" s="4">
        <f>IF(OR($B296="",G296=""),"",IF($B296=0,--(G296=0),""))</f>
        <v/>
      </c>
      <c r="AD296" s="4">
        <f>IF(G296="","",--(G296=1))</f>
        <v/>
      </c>
      <c r="AE296" s="4">
        <f>IF(OR($B296="",H296=""),"",--(H296=$B296))</f>
        <v/>
      </c>
      <c r="AF296" s="4">
        <f>IF(OR($B296="",H296=""),"",IF($B296=1,--(H296=1),""))</f>
        <v/>
      </c>
      <c r="AG296" s="4">
        <f>IF(OR($B296="",H296=""),"",IF($B296=0,--(H296=0),""))</f>
        <v/>
      </c>
      <c r="AH296" s="4">
        <f>IF(H296="","",--(H296=1))</f>
        <v/>
      </c>
      <c r="AI296" s="4">
        <f>IF(OR($B296="",I296=""),"",--(I296=$B296))</f>
        <v/>
      </c>
      <c r="AJ296" s="4">
        <f>IF(OR($B296="",I296=""),"",IF($B296=1,--(I296=1),""))</f>
        <v/>
      </c>
      <c r="AK296" s="4">
        <f>IF(OR($B296="",I296=""),"",IF($B296=0,--(I296=0),""))</f>
        <v/>
      </c>
      <c r="AL296" s="4">
        <f>IF(I296="","",--(I296=1))</f>
        <v/>
      </c>
      <c r="AM296" s="4">
        <f>IF(OR($B296="",J296=""),"",--(J296=$B296))</f>
        <v/>
      </c>
      <c r="AN296" s="4">
        <f>IF(OR($B296="",J296=""),"",IF($B296=1,--(J296=1),""))</f>
        <v/>
      </c>
      <c r="AO296" s="4">
        <f>IF(OR($B296="",J296=""),"",IF($B296=0,--(J296=0),""))</f>
        <v/>
      </c>
      <c r="AP296" s="4">
        <f>IF(J296="","",--(J296=1))</f>
        <v/>
      </c>
      <c r="AQ296" s="4">
        <f>IF(OR($B296="",K296=""),"",--(K296=$B296))</f>
        <v/>
      </c>
      <c r="AR296" s="4">
        <f>IF(OR($B296="",K296=""),"",IF($B296=1,--(K296=1),""))</f>
        <v/>
      </c>
      <c r="AS296" s="4">
        <f>IF(OR($B296="",K296=""),"",IF($B296=0,--(K296=0),""))</f>
        <v/>
      </c>
      <c r="AT296" s="4">
        <f>IF(K296="","",--(K296=1))</f>
        <v/>
      </c>
      <c r="AU296" s="4">
        <f>IF(OR($B296="",L296=""),"",--(L296=$B296))</f>
        <v/>
      </c>
      <c r="AV296" s="4">
        <f>IF(OR($B296="",L296=""),"",IF($B296=1,--(L296=1),""))</f>
        <v/>
      </c>
      <c r="AW296" s="4">
        <f>IF(OR($B296="",L296=""),"",IF($B296=0,--(L296=0),""))</f>
        <v/>
      </c>
      <c r="AX296" s="4">
        <f>IF(L296="","",--(L296=1))</f>
        <v/>
      </c>
      <c r="AY296" s="4">
        <f>IF(OR($B296="",M296=""),"",--(M296=$B296))</f>
        <v/>
      </c>
      <c r="AZ296" s="4">
        <f>IF(OR($B296="",M296=""),"",IF($B296=1,--(M296=1),""))</f>
        <v/>
      </c>
      <c r="BA296" s="4">
        <f>IF(OR($B296="",M296=""),"",IF($B296=0,--(M296=0),""))</f>
        <v/>
      </c>
      <c r="BB296" s="4">
        <f>IF(M296="","",--(M296=1))</f>
        <v/>
      </c>
      <c r="BC296" s="4">
        <f>IF(OR($B296="",N296=""),"",--(N296=$B296))</f>
        <v/>
      </c>
      <c r="BD296" s="4">
        <f>IF(OR($B296="",N296=""),"",IF($B296=1,--(N296=1),""))</f>
        <v/>
      </c>
      <c r="BE296" s="4">
        <f>IF(OR($B296="",N296=""),"",IF($B296=0,--(N296=0),""))</f>
        <v/>
      </c>
      <c r="BF296" s="4">
        <f>IF(N296="","",--(N296=1))</f>
        <v/>
      </c>
    </row>
    <row r="297">
      <c r="A297" s="3" t="inlineStr">
        <is>
          <t>202140839</t>
        </is>
      </c>
      <c r="B297" s="3" t="inlineStr">
        <is>
          <t>0</t>
        </is>
      </c>
      <c r="C297" s="3" t="inlineStr">
        <is>
          <t>Direct</t>
        </is>
      </c>
      <c r="D297" s="3" t="inlineStr">
        <is>
          <t>1</t>
        </is>
      </c>
      <c r="E297" s="3" t="inlineStr">
        <is>
          <t>1</t>
        </is>
      </c>
      <c r="F297" s="3" t="inlineStr">
        <is>
          <t>1</t>
        </is>
      </c>
      <c r="G297" s="3" t="inlineStr">
        <is>
          <t>1</t>
        </is>
      </c>
      <c r="H297" s="3" t="inlineStr">
        <is>
          <t>1</t>
        </is>
      </c>
      <c r="I297" s="3" t="inlineStr">
        <is>
          <t>1</t>
        </is>
      </c>
      <c r="J297" s="3" t="inlineStr">
        <is>
          <t>0</t>
        </is>
      </c>
      <c r="K297" s="3" t="inlineStr">
        <is>
          <t>1</t>
        </is>
      </c>
      <c r="L297" s="3" t="inlineStr">
        <is>
          <t>1</t>
        </is>
      </c>
      <c r="M297" s="3" t="inlineStr">
        <is>
          <t>1</t>
        </is>
      </c>
      <c r="N297" s="3" t="inlineStr">
        <is>
          <t>1</t>
        </is>
      </c>
      <c r="O297" s="4">
        <f>IF(OR($B297="",D297=""),"",--(D297=$B297))</f>
        <v/>
      </c>
      <c r="P297" s="4">
        <f>IF(OR($B297="",D297=""),"",IF($B297=1,--(D297=1),""))</f>
        <v/>
      </c>
      <c r="Q297" s="4">
        <f>IF(OR($B297="",D297=""),"",IF($B297=0,--(D297=0),""))</f>
        <v/>
      </c>
      <c r="R297" s="4">
        <f>IF(D297="","",--(D297=1))</f>
        <v/>
      </c>
      <c r="S297" s="4">
        <f>IF(OR($B297="",E297=""),"",--(E297=$B297))</f>
        <v/>
      </c>
      <c r="T297" s="4">
        <f>IF(OR($B297="",E297=""),"",IF($B297=1,--(E297=1),""))</f>
        <v/>
      </c>
      <c r="U297" s="4">
        <f>IF(OR($B297="",E297=""),"",IF($B297=0,--(E297=0),""))</f>
        <v/>
      </c>
      <c r="V297" s="4">
        <f>IF(E297="","",--(E297=1))</f>
        <v/>
      </c>
      <c r="W297" s="4">
        <f>IF(OR($B297="",F297=""),"",--(F297=$B297))</f>
        <v/>
      </c>
      <c r="X297" s="4">
        <f>IF(OR($B297="",F297=""),"",IF($B297=1,--(F297=1),""))</f>
        <v/>
      </c>
      <c r="Y297" s="4">
        <f>IF(OR($B297="",F297=""),"",IF($B297=0,--(F297=0),""))</f>
        <v/>
      </c>
      <c r="Z297" s="4">
        <f>IF(F297="","",--(F297=1))</f>
        <v/>
      </c>
      <c r="AA297" s="4">
        <f>IF(OR($B297="",G297=""),"",--(G297=$B297))</f>
        <v/>
      </c>
      <c r="AB297" s="4">
        <f>IF(OR($B297="",G297=""),"",IF($B297=1,--(G297=1),""))</f>
        <v/>
      </c>
      <c r="AC297" s="4">
        <f>IF(OR($B297="",G297=""),"",IF($B297=0,--(G297=0),""))</f>
        <v/>
      </c>
      <c r="AD297" s="4">
        <f>IF(G297="","",--(G297=1))</f>
        <v/>
      </c>
      <c r="AE297" s="4">
        <f>IF(OR($B297="",H297=""),"",--(H297=$B297))</f>
        <v/>
      </c>
      <c r="AF297" s="4">
        <f>IF(OR($B297="",H297=""),"",IF($B297=1,--(H297=1),""))</f>
        <v/>
      </c>
      <c r="AG297" s="4">
        <f>IF(OR($B297="",H297=""),"",IF($B297=0,--(H297=0),""))</f>
        <v/>
      </c>
      <c r="AH297" s="4">
        <f>IF(H297="","",--(H297=1))</f>
        <v/>
      </c>
      <c r="AI297" s="4">
        <f>IF(OR($B297="",I297=""),"",--(I297=$B297))</f>
        <v/>
      </c>
      <c r="AJ297" s="4">
        <f>IF(OR($B297="",I297=""),"",IF($B297=1,--(I297=1),""))</f>
        <v/>
      </c>
      <c r="AK297" s="4">
        <f>IF(OR($B297="",I297=""),"",IF($B297=0,--(I297=0),""))</f>
        <v/>
      </c>
      <c r="AL297" s="4">
        <f>IF(I297="","",--(I297=1))</f>
        <v/>
      </c>
      <c r="AM297" s="4">
        <f>IF(OR($B297="",J297=""),"",--(J297=$B297))</f>
        <v/>
      </c>
      <c r="AN297" s="4">
        <f>IF(OR($B297="",J297=""),"",IF($B297=1,--(J297=1),""))</f>
        <v/>
      </c>
      <c r="AO297" s="4">
        <f>IF(OR($B297="",J297=""),"",IF($B297=0,--(J297=0),""))</f>
        <v/>
      </c>
      <c r="AP297" s="4">
        <f>IF(J297="","",--(J297=1))</f>
        <v/>
      </c>
      <c r="AQ297" s="4">
        <f>IF(OR($B297="",K297=""),"",--(K297=$B297))</f>
        <v/>
      </c>
      <c r="AR297" s="4">
        <f>IF(OR($B297="",K297=""),"",IF($B297=1,--(K297=1),""))</f>
        <v/>
      </c>
      <c r="AS297" s="4">
        <f>IF(OR($B297="",K297=""),"",IF($B297=0,--(K297=0),""))</f>
        <v/>
      </c>
      <c r="AT297" s="4">
        <f>IF(K297="","",--(K297=1))</f>
        <v/>
      </c>
      <c r="AU297" s="4">
        <f>IF(OR($B297="",L297=""),"",--(L297=$B297))</f>
        <v/>
      </c>
      <c r="AV297" s="4">
        <f>IF(OR($B297="",L297=""),"",IF($B297=1,--(L297=1),""))</f>
        <v/>
      </c>
      <c r="AW297" s="4">
        <f>IF(OR($B297="",L297=""),"",IF($B297=0,--(L297=0),""))</f>
        <v/>
      </c>
      <c r="AX297" s="4">
        <f>IF(L297="","",--(L297=1))</f>
        <v/>
      </c>
      <c r="AY297" s="4">
        <f>IF(OR($B297="",M297=""),"",--(M297=$B297))</f>
        <v/>
      </c>
      <c r="AZ297" s="4">
        <f>IF(OR($B297="",M297=""),"",IF($B297=1,--(M297=1),""))</f>
        <v/>
      </c>
      <c r="BA297" s="4">
        <f>IF(OR($B297="",M297=""),"",IF($B297=0,--(M297=0),""))</f>
        <v/>
      </c>
      <c r="BB297" s="4">
        <f>IF(M297="","",--(M297=1))</f>
        <v/>
      </c>
      <c r="BC297" s="4">
        <f>IF(OR($B297="",N297=""),"",--(N297=$B297))</f>
        <v/>
      </c>
      <c r="BD297" s="4">
        <f>IF(OR($B297="",N297=""),"",IF($B297=1,--(N297=1),""))</f>
        <v/>
      </c>
      <c r="BE297" s="4">
        <f>IF(OR($B297="",N297=""),"",IF($B297=0,--(N297=0),""))</f>
        <v/>
      </c>
      <c r="BF297" s="4">
        <f>IF(N297="","",--(N297=1))</f>
        <v/>
      </c>
    </row>
    <row r="298">
      <c r="A298" s="3" t="inlineStr">
        <is>
          <t>202140945</t>
        </is>
      </c>
      <c r="B298" s="3" t="inlineStr">
        <is>
          <t>1</t>
        </is>
      </c>
      <c r="C298" s="3" t="inlineStr">
        <is>
          <t>Direct</t>
        </is>
      </c>
      <c r="D298" s="3" t="inlineStr">
        <is>
          <t>1</t>
        </is>
      </c>
      <c r="E298" s="3" t="inlineStr">
        <is>
          <t>0</t>
        </is>
      </c>
      <c r="F298" s="3" t="inlineStr">
        <is>
          <t>1</t>
        </is>
      </c>
      <c r="G298" s="3" t="inlineStr">
        <is>
          <t>1</t>
        </is>
      </c>
      <c r="H298" s="3" t="inlineStr">
        <is>
          <t>1</t>
        </is>
      </c>
      <c r="I298" s="3" t="inlineStr">
        <is>
          <t>1</t>
        </is>
      </c>
      <c r="J298" s="3" t="inlineStr">
        <is>
          <t>1</t>
        </is>
      </c>
      <c r="K298" s="3" t="inlineStr">
        <is>
          <t>1</t>
        </is>
      </c>
      <c r="L298" s="3" t="inlineStr">
        <is>
          <t>1</t>
        </is>
      </c>
      <c r="M298" s="3" t="inlineStr">
        <is>
          <t>1</t>
        </is>
      </c>
      <c r="N298" s="3" t="inlineStr">
        <is>
          <t>1</t>
        </is>
      </c>
      <c r="O298" s="4">
        <f>IF(OR($B298="",D298=""),"",--(D298=$B298))</f>
        <v/>
      </c>
      <c r="P298" s="4">
        <f>IF(OR($B298="",D298=""),"",IF($B298=1,--(D298=1),""))</f>
        <v/>
      </c>
      <c r="Q298" s="4">
        <f>IF(OR($B298="",D298=""),"",IF($B298=0,--(D298=0),""))</f>
        <v/>
      </c>
      <c r="R298" s="4">
        <f>IF(D298="","",--(D298=1))</f>
        <v/>
      </c>
      <c r="S298" s="4">
        <f>IF(OR($B298="",E298=""),"",--(E298=$B298))</f>
        <v/>
      </c>
      <c r="T298" s="4">
        <f>IF(OR($B298="",E298=""),"",IF($B298=1,--(E298=1),""))</f>
        <v/>
      </c>
      <c r="U298" s="4">
        <f>IF(OR($B298="",E298=""),"",IF($B298=0,--(E298=0),""))</f>
        <v/>
      </c>
      <c r="V298" s="4">
        <f>IF(E298="","",--(E298=1))</f>
        <v/>
      </c>
      <c r="W298" s="4">
        <f>IF(OR($B298="",F298=""),"",--(F298=$B298))</f>
        <v/>
      </c>
      <c r="X298" s="4">
        <f>IF(OR($B298="",F298=""),"",IF($B298=1,--(F298=1),""))</f>
        <v/>
      </c>
      <c r="Y298" s="4">
        <f>IF(OR($B298="",F298=""),"",IF($B298=0,--(F298=0),""))</f>
        <v/>
      </c>
      <c r="Z298" s="4">
        <f>IF(F298="","",--(F298=1))</f>
        <v/>
      </c>
      <c r="AA298" s="4">
        <f>IF(OR($B298="",G298=""),"",--(G298=$B298))</f>
        <v/>
      </c>
      <c r="AB298" s="4">
        <f>IF(OR($B298="",G298=""),"",IF($B298=1,--(G298=1),""))</f>
        <v/>
      </c>
      <c r="AC298" s="4">
        <f>IF(OR($B298="",G298=""),"",IF($B298=0,--(G298=0),""))</f>
        <v/>
      </c>
      <c r="AD298" s="4">
        <f>IF(G298="","",--(G298=1))</f>
        <v/>
      </c>
      <c r="AE298" s="4">
        <f>IF(OR($B298="",H298=""),"",--(H298=$B298))</f>
        <v/>
      </c>
      <c r="AF298" s="4">
        <f>IF(OR($B298="",H298=""),"",IF($B298=1,--(H298=1),""))</f>
        <v/>
      </c>
      <c r="AG298" s="4">
        <f>IF(OR($B298="",H298=""),"",IF($B298=0,--(H298=0),""))</f>
        <v/>
      </c>
      <c r="AH298" s="4">
        <f>IF(H298="","",--(H298=1))</f>
        <v/>
      </c>
      <c r="AI298" s="4">
        <f>IF(OR($B298="",I298=""),"",--(I298=$B298))</f>
        <v/>
      </c>
      <c r="AJ298" s="4">
        <f>IF(OR($B298="",I298=""),"",IF($B298=1,--(I298=1),""))</f>
        <v/>
      </c>
      <c r="AK298" s="4">
        <f>IF(OR($B298="",I298=""),"",IF($B298=0,--(I298=0),""))</f>
        <v/>
      </c>
      <c r="AL298" s="4">
        <f>IF(I298="","",--(I298=1))</f>
        <v/>
      </c>
      <c r="AM298" s="4">
        <f>IF(OR($B298="",J298=""),"",--(J298=$B298))</f>
        <v/>
      </c>
      <c r="AN298" s="4">
        <f>IF(OR($B298="",J298=""),"",IF($B298=1,--(J298=1),""))</f>
        <v/>
      </c>
      <c r="AO298" s="4">
        <f>IF(OR($B298="",J298=""),"",IF($B298=0,--(J298=0),""))</f>
        <v/>
      </c>
      <c r="AP298" s="4">
        <f>IF(J298="","",--(J298=1))</f>
        <v/>
      </c>
      <c r="AQ298" s="4">
        <f>IF(OR($B298="",K298=""),"",--(K298=$B298))</f>
        <v/>
      </c>
      <c r="AR298" s="4">
        <f>IF(OR($B298="",K298=""),"",IF($B298=1,--(K298=1),""))</f>
        <v/>
      </c>
      <c r="AS298" s="4">
        <f>IF(OR($B298="",K298=""),"",IF($B298=0,--(K298=0),""))</f>
        <v/>
      </c>
      <c r="AT298" s="4">
        <f>IF(K298="","",--(K298=1))</f>
        <v/>
      </c>
      <c r="AU298" s="4">
        <f>IF(OR($B298="",L298=""),"",--(L298=$B298))</f>
        <v/>
      </c>
      <c r="AV298" s="4">
        <f>IF(OR($B298="",L298=""),"",IF($B298=1,--(L298=1),""))</f>
        <v/>
      </c>
      <c r="AW298" s="4">
        <f>IF(OR($B298="",L298=""),"",IF($B298=0,--(L298=0),""))</f>
        <v/>
      </c>
      <c r="AX298" s="4">
        <f>IF(L298="","",--(L298=1))</f>
        <v/>
      </c>
      <c r="AY298" s="4">
        <f>IF(OR($B298="",M298=""),"",--(M298=$B298))</f>
        <v/>
      </c>
      <c r="AZ298" s="4">
        <f>IF(OR($B298="",M298=""),"",IF($B298=1,--(M298=1),""))</f>
        <v/>
      </c>
      <c r="BA298" s="4">
        <f>IF(OR($B298="",M298=""),"",IF($B298=0,--(M298=0),""))</f>
        <v/>
      </c>
      <c r="BB298" s="4">
        <f>IF(M298="","",--(M298=1))</f>
        <v/>
      </c>
      <c r="BC298" s="4">
        <f>IF(OR($B298="",N298=""),"",--(N298=$B298))</f>
        <v/>
      </c>
      <c r="BD298" s="4">
        <f>IF(OR($B298="",N298=""),"",IF($B298=1,--(N298=1),""))</f>
        <v/>
      </c>
      <c r="BE298" s="4">
        <f>IF(OR($B298="",N298=""),"",IF($B298=0,--(N298=0),""))</f>
        <v/>
      </c>
      <c r="BF298" s="4">
        <f>IF(N298="","",--(N298=1))</f>
        <v/>
      </c>
    </row>
    <row r="299">
      <c r="A299" s="3" t="inlineStr">
        <is>
          <t>20214127</t>
        </is>
      </c>
      <c r="B299" s="3" t="inlineStr">
        <is>
          <t>0</t>
        </is>
      </c>
      <c r="C299" s="3" t="inlineStr">
        <is>
          <t>Direct</t>
        </is>
      </c>
      <c r="D299" s="3" t="inlineStr">
        <is>
          <t>1</t>
        </is>
      </c>
      <c r="E299" s="3" t="inlineStr">
        <is>
          <t>1</t>
        </is>
      </c>
      <c r="F299" s="3" t="inlineStr">
        <is>
          <t>1</t>
        </is>
      </c>
      <c r="G299" s="3" t="inlineStr">
        <is>
          <t>1</t>
        </is>
      </c>
      <c r="H299" s="3" t="inlineStr">
        <is>
          <t>1</t>
        </is>
      </c>
      <c r="I299" s="3" t="inlineStr">
        <is>
          <t>1</t>
        </is>
      </c>
      <c r="J299" s="3" t="inlineStr">
        <is>
          <t>1</t>
        </is>
      </c>
      <c r="K299" s="3" t="inlineStr">
        <is>
          <t>1</t>
        </is>
      </c>
      <c r="L299" s="3" t="inlineStr">
        <is>
          <t>1</t>
        </is>
      </c>
      <c r="M299" s="3" t="inlineStr">
        <is>
          <t>1</t>
        </is>
      </c>
      <c r="N299" s="3" t="inlineStr">
        <is>
          <t>1</t>
        </is>
      </c>
      <c r="O299" s="4">
        <f>IF(OR($B299="",D299=""),"",--(D299=$B299))</f>
        <v/>
      </c>
      <c r="P299" s="4">
        <f>IF(OR($B299="",D299=""),"",IF($B299=1,--(D299=1),""))</f>
        <v/>
      </c>
      <c r="Q299" s="4">
        <f>IF(OR($B299="",D299=""),"",IF($B299=0,--(D299=0),""))</f>
        <v/>
      </c>
      <c r="R299" s="4">
        <f>IF(D299="","",--(D299=1))</f>
        <v/>
      </c>
      <c r="S299" s="4">
        <f>IF(OR($B299="",E299=""),"",--(E299=$B299))</f>
        <v/>
      </c>
      <c r="T299" s="4">
        <f>IF(OR($B299="",E299=""),"",IF($B299=1,--(E299=1),""))</f>
        <v/>
      </c>
      <c r="U299" s="4">
        <f>IF(OR($B299="",E299=""),"",IF($B299=0,--(E299=0),""))</f>
        <v/>
      </c>
      <c r="V299" s="4">
        <f>IF(E299="","",--(E299=1))</f>
        <v/>
      </c>
      <c r="W299" s="4">
        <f>IF(OR($B299="",F299=""),"",--(F299=$B299))</f>
        <v/>
      </c>
      <c r="X299" s="4">
        <f>IF(OR($B299="",F299=""),"",IF($B299=1,--(F299=1),""))</f>
        <v/>
      </c>
      <c r="Y299" s="4">
        <f>IF(OR($B299="",F299=""),"",IF($B299=0,--(F299=0),""))</f>
        <v/>
      </c>
      <c r="Z299" s="4">
        <f>IF(F299="","",--(F299=1))</f>
        <v/>
      </c>
      <c r="AA299" s="4">
        <f>IF(OR($B299="",G299=""),"",--(G299=$B299))</f>
        <v/>
      </c>
      <c r="AB299" s="4">
        <f>IF(OR($B299="",G299=""),"",IF($B299=1,--(G299=1),""))</f>
        <v/>
      </c>
      <c r="AC299" s="4">
        <f>IF(OR($B299="",G299=""),"",IF($B299=0,--(G299=0),""))</f>
        <v/>
      </c>
      <c r="AD299" s="4">
        <f>IF(G299="","",--(G299=1))</f>
        <v/>
      </c>
      <c r="AE299" s="4">
        <f>IF(OR($B299="",H299=""),"",--(H299=$B299))</f>
        <v/>
      </c>
      <c r="AF299" s="4">
        <f>IF(OR($B299="",H299=""),"",IF($B299=1,--(H299=1),""))</f>
        <v/>
      </c>
      <c r="AG299" s="4">
        <f>IF(OR($B299="",H299=""),"",IF($B299=0,--(H299=0),""))</f>
        <v/>
      </c>
      <c r="AH299" s="4">
        <f>IF(H299="","",--(H299=1))</f>
        <v/>
      </c>
      <c r="AI299" s="4">
        <f>IF(OR($B299="",I299=""),"",--(I299=$B299))</f>
        <v/>
      </c>
      <c r="AJ299" s="4">
        <f>IF(OR($B299="",I299=""),"",IF($B299=1,--(I299=1),""))</f>
        <v/>
      </c>
      <c r="AK299" s="4">
        <f>IF(OR($B299="",I299=""),"",IF($B299=0,--(I299=0),""))</f>
        <v/>
      </c>
      <c r="AL299" s="4">
        <f>IF(I299="","",--(I299=1))</f>
        <v/>
      </c>
      <c r="AM299" s="4">
        <f>IF(OR($B299="",J299=""),"",--(J299=$B299))</f>
        <v/>
      </c>
      <c r="AN299" s="4">
        <f>IF(OR($B299="",J299=""),"",IF($B299=1,--(J299=1),""))</f>
        <v/>
      </c>
      <c r="AO299" s="4">
        <f>IF(OR($B299="",J299=""),"",IF($B299=0,--(J299=0),""))</f>
        <v/>
      </c>
      <c r="AP299" s="4">
        <f>IF(J299="","",--(J299=1))</f>
        <v/>
      </c>
      <c r="AQ299" s="4">
        <f>IF(OR($B299="",K299=""),"",--(K299=$B299))</f>
        <v/>
      </c>
      <c r="AR299" s="4">
        <f>IF(OR($B299="",K299=""),"",IF($B299=1,--(K299=1),""))</f>
        <v/>
      </c>
      <c r="AS299" s="4">
        <f>IF(OR($B299="",K299=""),"",IF($B299=0,--(K299=0),""))</f>
        <v/>
      </c>
      <c r="AT299" s="4">
        <f>IF(K299="","",--(K299=1))</f>
        <v/>
      </c>
      <c r="AU299" s="4">
        <f>IF(OR($B299="",L299=""),"",--(L299=$B299))</f>
        <v/>
      </c>
      <c r="AV299" s="4">
        <f>IF(OR($B299="",L299=""),"",IF($B299=1,--(L299=1),""))</f>
        <v/>
      </c>
      <c r="AW299" s="4">
        <f>IF(OR($B299="",L299=""),"",IF($B299=0,--(L299=0),""))</f>
        <v/>
      </c>
      <c r="AX299" s="4">
        <f>IF(L299="","",--(L299=1))</f>
        <v/>
      </c>
      <c r="AY299" s="4">
        <f>IF(OR($B299="",M299=""),"",--(M299=$B299))</f>
        <v/>
      </c>
      <c r="AZ299" s="4">
        <f>IF(OR($B299="",M299=""),"",IF($B299=1,--(M299=1),""))</f>
        <v/>
      </c>
      <c r="BA299" s="4">
        <f>IF(OR($B299="",M299=""),"",IF($B299=0,--(M299=0),""))</f>
        <v/>
      </c>
      <c r="BB299" s="4">
        <f>IF(M299="","",--(M299=1))</f>
        <v/>
      </c>
      <c r="BC299" s="4">
        <f>IF(OR($B299="",N299=""),"",--(N299=$B299))</f>
        <v/>
      </c>
      <c r="BD299" s="4">
        <f>IF(OR($B299="",N299=""),"",IF($B299=1,--(N299=1),""))</f>
        <v/>
      </c>
      <c r="BE299" s="4">
        <f>IF(OR($B299="",N299=""),"",IF($B299=0,--(N299=0),""))</f>
        <v/>
      </c>
      <c r="BF299" s="4">
        <f>IF(N299="","",--(N299=1))</f>
        <v/>
      </c>
    </row>
    <row r="300">
      <c r="A300" s="3" t="inlineStr">
        <is>
          <t>202141832</t>
        </is>
      </c>
      <c r="B300" s="3" t="inlineStr">
        <is>
          <t>0</t>
        </is>
      </c>
      <c r="C300" s="3" t="inlineStr">
        <is>
          <t>Direct</t>
        </is>
      </c>
      <c r="D300" s="3" t="inlineStr">
        <is>
          <t>1</t>
        </is>
      </c>
      <c r="E300" s="3" t="inlineStr">
        <is>
          <t>0</t>
        </is>
      </c>
      <c r="F300" s="3" t="inlineStr">
        <is>
          <t>0</t>
        </is>
      </c>
      <c r="G300" s="3" t="inlineStr">
        <is>
          <t>1</t>
        </is>
      </c>
      <c r="H300" s="3" t="inlineStr">
        <is>
          <t>1</t>
        </is>
      </c>
      <c r="I300" s="3" t="inlineStr">
        <is>
          <t>1</t>
        </is>
      </c>
      <c r="J300" s="3" t="inlineStr">
        <is>
          <t>1</t>
        </is>
      </c>
      <c r="K300" s="3" t="inlineStr">
        <is>
          <t>1</t>
        </is>
      </c>
      <c r="L300" s="3" t="inlineStr">
        <is>
          <t>1</t>
        </is>
      </c>
      <c r="M300" s="3" t="inlineStr">
        <is>
          <t>1</t>
        </is>
      </c>
      <c r="N300" s="3" t="inlineStr">
        <is>
          <t>1</t>
        </is>
      </c>
      <c r="O300" s="4">
        <f>IF(OR($B300="",D300=""),"",--(D300=$B300))</f>
        <v/>
      </c>
      <c r="P300" s="4">
        <f>IF(OR($B300="",D300=""),"",IF($B300=1,--(D300=1),""))</f>
        <v/>
      </c>
      <c r="Q300" s="4">
        <f>IF(OR($B300="",D300=""),"",IF($B300=0,--(D300=0),""))</f>
        <v/>
      </c>
      <c r="R300" s="4">
        <f>IF(D300="","",--(D300=1))</f>
        <v/>
      </c>
      <c r="S300" s="4">
        <f>IF(OR($B300="",E300=""),"",--(E300=$B300))</f>
        <v/>
      </c>
      <c r="T300" s="4">
        <f>IF(OR($B300="",E300=""),"",IF($B300=1,--(E300=1),""))</f>
        <v/>
      </c>
      <c r="U300" s="4">
        <f>IF(OR($B300="",E300=""),"",IF($B300=0,--(E300=0),""))</f>
        <v/>
      </c>
      <c r="V300" s="4">
        <f>IF(E300="","",--(E300=1))</f>
        <v/>
      </c>
      <c r="W300" s="4">
        <f>IF(OR($B300="",F300=""),"",--(F300=$B300))</f>
        <v/>
      </c>
      <c r="X300" s="4">
        <f>IF(OR($B300="",F300=""),"",IF($B300=1,--(F300=1),""))</f>
        <v/>
      </c>
      <c r="Y300" s="4">
        <f>IF(OR($B300="",F300=""),"",IF($B300=0,--(F300=0),""))</f>
        <v/>
      </c>
      <c r="Z300" s="4">
        <f>IF(F300="","",--(F300=1))</f>
        <v/>
      </c>
      <c r="AA300" s="4">
        <f>IF(OR($B300="",G300=""),"",--(G300=$B300))</f>
        <v/>
      </c>
      <c r="AB300" s="4">
        <f>IF(OR($B300="",G300=""),"",IF($B300=1,--(G300=1),""))</f>
        <v/>
      </c>
      <c r="AC300" s="4">
        <f>IF(OR($B300="",G300=""),"",IF($B300=0,--(G300=0),""))</f>
        <v/>
      </c>
      <c r="AD300" s="4">
        <f>IF(G300="","",--(G300=1))</f>
        <v/>
      </c>
      <c r="AE300" s="4">
        <f>IF(OR($B300="",H300=""),"",--(H300=$B300))</f>
        <v/>
      </c>
      <c r="AF300" s="4">
        <f>IF(OR($B300="",H300=""),"",IF($B300=1,--(H300=1),""))</f>
        <v/>
      </c>
      <c r="AG300" s="4">
        <f>IF(OR($B300="",H300=""),"",IF($B300=0,--(H300=0),""))</f>
        <v/>
      </c>
      <c r="AH300" s="4">
        <f>IF(H300="","",--(H300=1))</f>
        <v/>
      </c>
      <c r="AI300" s="4">
        <f>IF(OR($B300="",I300=""),"",--(I300=$B300))</f>
        <v/>
      </c>
      <c r="AJ300" s="4">
        <f>IF(OR($B300="",I300=""),"",IF($B300=1,--(I300=1),""))</f>
        <v/>
      </c>
      <c r="AK300" s="4">
        <f>IF(OR($B300="",I300=""),"",IF($B300=0,--(I300=0),""))</f>
        <v/>
      </c>
      <c r="AL300" s="4">
        <f>IF(I300="","",--(I300=1))</f>
        <v/>
      </c>
      <c r="AM300" s="4">
        <f>IF(OR($B300="",J300=""),"",--(J300=$B300))</f>
        <v/>
      </c>
      <c r="AN300" s="4">
        <f>IF(OR($B300="",J300=""),"",IF($B300=1,--(J300=1),""))</f>
        <v/>
      </c>
      <c r="AO300" s="4">
        <f>IF(OR($B300="",J300=""),"",IF($B300=0,--(J300=0),""))</f>
        <v/>
      </c>
      <c r="AP300" s="4">
        <f>IF(J300="","",--(J300=1))</f>
        <v/>
      </c>
      <c r="AQ300" s="4">
        <f>IF(OR($B300="",K300=""),"",--(K300=$B300))</f>
        <v/>
      </c>
      <c r="AR300" s="4">
        <f>IF(OR($B300="",K300=""),"",IF($B300=1,--(K300=1),""))</f>
        <v/>
      </c>
      <c r="AS300" s="4">
        <f>IF(OR($B300="",K300=""),"",IF($B300=0,--(K300=0),""))</f>
        <v/>
      </c>
      <c r="AT300" s="4">
        <f>IF(K300="","",--(K300=1))</f>
        <v/>
      </c>
      <c r="AU300" s="4">
        <f>IF(OR($B300="",L300=""),"",--(L300=$B300))</f>
        <v/>
      </c>
      <c r="AV300" s="4">
        <f>IF(OR($B300="",L300=""),"",IF($B300=1,--(L300=1),""))</f>
        <v/>
      </c>
      <c r="AW300" s="4">
        <f>IF(OR($B300="",L300=""),"",IF($B300=0,--(L300=0),""))</f>
        <v/>
      </c>
      <c r="AX300" s="4">
        <f>IF(L300="","",--(L300=1))</f>
        <v/>
      </c>
      <c r="AY300" s="4">
        <f>IF(OR($B300="",M300=""),"",--(M300=$B300))</f>
        <v/>
      </c>
      <c r="AZ300" s="4">
        <f>IF(OR($B300="",M300=""),"",IF($B300=1,--(M300=1),""))</f>
        <v/>
      </c>
      <c r="BA300" s="4">
        <f>IF(OR($B300="",M300=""),"",IF($B300=0,--(M300=0),""))</f>
        <v/>
      </c>
      <c r="BB300" s="4">
        <f>IF(M300="","",--(M300=1))</f>
        <v/>
      </c>
      <c r="BC300" s="4">
        <f>IF(OR($B300="",N300=""),"",--(N300=$B300))</f>
        <v/>
      </c>
      <c r="BD300" s="4">
        <f>IF(OR($B300="",N300=""),"",IF($B300=1,--(N300=1),""))</f>
        <v/>
      </c>
      <c r="BE300" s="4">
        <f>IF(OR($B300="",N300=""),"",IF($B300=0,--(N300=0),""))</f>
        <v/>
      </c>
      <c r="BF300" s="4">
        <f>IF(N300="","",--(N300=1))</f>
        <v/>
      </c>
    </row>
    <row r="301">
      <c r="A301" s="3" t="inlineStr">
        <is>
          <t>202141970</t>
        </is>
      </c>
      <c r="B301" s="3" t="inlineStr">
        <is>
          <t>1</t>
        </is>
      </c>
      <c r="C301" s="3" t="inlineStr">
        <is>
          <t>Direct</t>
        </is>
      </c>
      <c r="D301" s="3" t="inlineStr">
        <is>
          <t>1</t>
        </is>
      </c>
      <c r="E301" s="3" t="inlineStr">
        <is>
          <t>0</t>
        </is>
      </c>
      <c r="F301" s="3" t="inlineStr">
        <is>
          <t>0</t>
        </is>
      </c>
      <c r="G301" s="3" t="inlineStr">
        <is>
          <t>0</t>
        </is>
      </c>
      <c r="H301" s="3" t="inlineStr">
        <is>
          <t>0</t>
        </is>
      </c>
      <c r="I301" s="3" t="inlineStr">
        <is>
          <t>0</t>
        </is>
      </c>
      <c r="J301" s="3" t="inlineStr">
        <is>
          <t>0</t>
        </is>
      </c>
      <c r="K301" s="3" t="inlineStr">
        <is>
          <t>1</t>
        </is>
      </c>
      <c r="L301" s="3" t="inlineStr">
        <is>
          <t>1</t>
        </is>
      </c>
      <c r="M301" s="3" t="inlineStr">
        <is>
          <t>1</t>
        </is>
      </c>
      <c r="N301" s="3" t="inlineStr">
        <is>
          <t>1</t>
        </is>
      </c>
      <c r="O301" s="4">
        <f>IF(OR($B301="",D301=""),"",--(D301=$B301))</f>
        <v/>
      </c>
      <c r="P301" s="4">
        <f>IF(OR($B301="",D301=""),"",IF($B301=1,--(D301=1),""))</f>
        <v/>
      </c>
      <c r="Q301" s="4">
        <f>IF(OR($B301="",D301=""),"",IF($B301=0,--(D301=0),""))</f>
        <v/>
      </c>
      <c r="R301" s="4">
        <f>IF(D301="","",--(D301=1))</f>
        <v/>
      </c>
      <c r="S301" s="4">
        <f>IF(OR($B301="",E301=""),"",--(E301=$B301))</f>
        <v/>
      </c>
      <c r="T301" s="4">
        <f>IF(OR($B301="",E301=""),"",IF($B301=1,--(E301=1),""))</f>
        <v/>
      </c>
      <c r="U301" s="4">
        <f>IF(OR($B301="",E301=""),"",IF($B301=0,--(E301=0),""))</f>
        <v/>
      </c>
      <c r="V301" s="4">
        <f>IF(E301="","",--(E301=1))</f>
        <v/>
      </c>
      <c r="W301" s="4">
        <f>IF(OR($B301="",F301=""),"",--(F301=$B301))</f>
        <v/>
      </c>
      <c r="X301" s="4">
        <f>IF(OR($B301="",F301=""),"",IF($B301=1,--(F301=1),""))</f>
        <v/>
      </c>
      <c r="Y301" s="4">
        <f>IF(OR($B301="",F301=""),"",IF($B301=0,--(F301=0),""))</f>
        <v/>
      </c>
      <c r="Z301" s="4">
        <f>IF(F301="","",--(F301=1))</f>
        <v/>
      </c>
      <c r="AA301" s="4">
        <f>IF(OR($B301="",G301=""),"",--(G301=$B301))</f>
        <v/>
      </c>
      <c r="AB301" s="4">
        <f>IF(OR($B301="",G301=""),"",IF($B301=1,--(G301=1),""))</f>
        <v/>
      </c>
      <c r="AC301" s="4">
        <f>IF(OR($B301="",G301=""),"",IF($B301=0,--(G301=0),""))</f>
        <v/>
      </c>
      <c r="AD301" s="4">
        <f>IF(G301="","",--(G301=1))</f>
        <v/>
      </c>
      <c r="AE301" s="4">
        <f>IF(OR($B301="",H301=""),"",--(H301=$B301))</f>
        <v/>
      </c>
      <c r="AF301" s="4">
        <f>IF(OR($B301="",H301=""),"",IF($B301=1,--(H301=1),""))</f>
        <v/>
      </c>
      <c r="AG301" s="4">
        <f>IF(OR($B301="",H301=""),"",IF($B301=0,--(H301=0),""))</f>
        <v/>
      </c>
      <c r="AH301" s="4">
        <f>IF(H301="","",--(H301=1))</f>
        <v/>
      </c>
      <c r="AI301" s="4">
        <f>IF(OR($B301="",I301=""),"",--(I301=$B301))</f>
        <v/>
      </c>
      <c r="AJ301" s="4">
        <f>IF(OR($B301="",I301=""),"",IF($B301=1,--(I301=1),""))</f>
        <v/>
      </c>
      <c r="AK301" s="4">
        <f>IF(OR($B301="",I301=""),"",IF($B301=0,--(I301=0),""))</f>
        <v/>
      </c>
      <c r="AL301" s="4">
        <f>IF(I301="","",--(I301=1))</f>
        <v/>
      </c>
      <c r="AM301" s="4">
        <f>IF(OR($B301="",J301=""),"",--(J301=$B301))</f>
        <v/>
      </c>
      <c r="AN301" s="4">
        <f>IF(OR($B301="",J301=""),"",IF($B301=1,--(J301=1),""))</f>
        <v/>
      </c>
      <c r="AO301" s="4">
        <f>IF(OR($B301="",J301=""),"",IF($B301=0,--(J301=0),""))</f>
        <v/>
      </c>
      <c r="AP301" s="4">
        <f>IF(J301="","",--(J301=1))</f>
        <v/>
      </c>
      <c r="AQ301" s="4">
        <f>IF(OR($B301="",K301=""),"",--(K301=$B301))</f>
        <v/>
      </c>
      <c r="AR301" s="4">
        <f>IF(OR($B301="",K301=""),"",IF($B301=1,--(K301=1),""))</f>
        <v/>
      </c>
      <c r="AS301" s="4">
        <f>IF(OR($B301="",K301=""),"",IF($B301=0,--(K301=0),""))</f>
        <v/>
      </c>
      <c r="AT301" s="4">
        <f>IF(K301="","",--(K301=1))</f>
        <v/>
      </c>
      <c r="AU301" s="4">
        <f>IF(OR($B301="",L301=""),"",--(L301=$B301))</f>
        <v/>
      </c>
      <c r="AV301" s="4">
        <f>IF(OR($B301="",L301=""),"",IF($B301=1,--(L301=1),""))</f>
        <v/>
      </c>
      <c r="AW301" s="4">
        <f>IF(OR($B301="",L301=""),"",IF($B301=0,--(L301=0),""))</f>
        <v/>
      </c>
      <c r="AX301" s="4">
        <f>IF(L301="","",--(L301=1))</f>
        <v/>
      </c>
      <c r="AY301" s="4">
        <f>IF(OR($B301="",M301=""),"",--(M301=$B301))</f>
        <v/>
      </c>
      <c r="AZ301" s="4">
        <f>IF(OR($B301="",M301=""),"",IF($B301=1,--(M301=1),""))</f>
        <v/>
      </c>
      <c r="BA301" s="4">
        <f>IF(OR($B301="",M301=""),"",IF($B301=0,--(M301=0),""))</f>
        <v/>
      </c>
      <c r="BB301" s="4">
        <f>IF(M301="","",--(M301=1))</f>
        <v/>
      </c>
      <c r="BC301" s="4">
        <f>IF(OR($B301="",N301=""),"",--(N301=$B301))</f>
        <v/>
      </c>
      <c r="BD301" s="4">
        <f>IF(OR($B301="",N301=""),"",IF($B301=1,--(N301=1),""))</f>
        <v/>
      </c>
      <c r="BE301" s="4">
        <f>IF(OR($B301="",N301=""),"",IF($B301=0,--(N301=0),""))</f>
        <v/>
      </c>
      <c r="BF301" s="4">
        <f>IF(N301="","",--(N301=1))</f>
        <v/>
      </c>
    </row>
    <row r="302">
      <c r="A302" s="3" t="inlineStr">
        <is>
          <t>202142046</t>
        </is>
      </c>
      <c r="B302" s="3" t="inlineStr">
        <is>
          <t>0</t>
        </is>
      </c>
      <c r="C302" s="3" t="inlineStr">
        <is>
          <t>Direct</t>
        </is>
      </c>
      <c r="D302" s="3" t="inlineStr">
        <is>
          <t>1</t>
        </is>
      </c>
      <c r="E302" s="3" t="inlineStr">
        <is>
          <t>0</t>
        </is>
      </c>
      <c r="F302" s="3" t="inlineStr">
        <is>
          <t>0</t>
        </is>
      </c>
      <c r="G302" s="3" t="inlineStr">
        <is>
          <t>0</t>
        </is>
      </c>
      <c r="H302" s="3" t="inlineStr">
        <is>
          <t>0</t>
        </is>
      </c>
      <c r="I302" s="3" t="inlineStr">
        <is>
          <t>0</t>
        </is>
      </c>
      <c r="J302" s="3" t="inlineStr">
        <is>
          <t>0</t>
        </is>
      </c>
      <c r="K302" s="3" t="inlineStr">
        <is>
          <t>0</t>
        </is>
      </c>
      <c r="L302" s="3" t="inlineStr">
        <is>
          <t>1</t>
        </is>
      </c>
      <c r="M302" s="3" t="inlineStr">
        <is>
          <t>1</t>
        </is>
      </c>
      <c r="N302" s="3" t="inlineStr">
        <is>
          <t>1</t>
        </is>
      </c>
      <c r="O302" s="4">
        <f>IF(OR($B302="",D302=""),"",--(D302=$B302))</f>
        <v/>
      </c>
      <c r="P302" s="4">
        <f>IF(OR($B302="",D302=""),"",IF($B302=1,--(D302=1),""))</f>
        <v/>
      </c>
      <c r="Q302" s="4">
        <f>IF(OR($B302="",D302=""),"",IF($B302=0,--(D302=0),""))</f>
        <v/>
      </c>
      <c r="R302" s="4">
        <f>IF(D302="","",--(D302=1))</f>
        <v/>
      </c>
      <c r="S302" s="4">
        <f>IF(OR($B302="",E302=""),"",--(E302=$B302))</f>
        <v/>
      </c>
      <c r="T302" s="4">
        <f>IF(OR($B302="",E302=""),"",IF($B302=1,--(E302=1),""))</f>
        <v/>
      </c>
      <c r="U302" s="4">
        <f>IF(OR($B302="",E302=""),"",IF($B302=0,--(E302=0),""))</f>
        <v/>
      </c>
      <c r="V302" s="4">
        <f>IF(E302="","",--(E302=1))</f>
        <v/>
      </c>
      <c r="W302" s="4">
        <f>IF(OR($B302="",F302=""),"",--(F302=$B302))</f>
        <v/>
      </c>
      <c r="X302" s="4">
        <f>IF(OR($B302="",F302=""),"",IF($B302=1,--(F302=1),""))</f>
        <v/>
      </c>
      <c r="Y302" s="4">
        <f>IF(OR($B302="",F302=""),"",IF($B302=0,--(F302=0),""))</f>
        <v/>
      </c>
      <c r="Z302" s="4">
        <f>IF(F302="","",--(F302=1))</f>
        <v/>
      </c>
      <c r="AA302" s="4">
        <f>IF(OR($B302="",G302=""),"",--(G302=$B302))</f>
        <v/>
      </c>
      <c r="AB302" s="4">
        <f>IF(OR($B302="",G302=""),"",IF($B302=1,--(G302=1),""))</f>
        <v/>
      </c>
      <c r="AC302" s="4">
        <f>IF(OR($B302="",G302=""),"",IF($B302=0,--(G302=0),""))</f>
        <v/>
      </c>
      <c r="AD302" s="4">
        <f>IF(G302="","",--(G302=1))</f>
        <v/>
      </c>
      <c r="AE302" s="4">
        <f>IF(OR($B302="",H302=""),"",--(H302=$B302))</f>
        <v/>
      </c>
      <c r="AF302" s="4">
        <f>IF(OR($B302="",H302=""),"",IF($B302=1,--(H302=1),""))</f>
        <v/>
      </c>
      <c r="AG302" s="4">
        <f>IF(OR($B302="",H302=""),"",IF($B302=0,--(H302=0),""))</f>
        <v/>
      </c>
      <c r="AH302" s="4">
        <f>IF(H302="","",--(H302=1))</f>
        <v/>
      </c>
      <c r="AI302" s="4">
        <f>IF(OR($B302="",I302=""),"",--(I302=$B302))</f>
        <v/>
      </c>
      <c r="AJ302" s="4">
        <f>IF(OR($B302="",I302=""),"",IF($B302=1,--(I302=1),""))</f>
        <v/>
      </c>
      <c r="AK302" s="4">
        <f>IF(OR($B302="",I302=""),"",IF($B302=0,--(I302=0),""))</f>
        <v/>
      </c>
      <c r="AL302" s="4">
        <f>IF(I302="","",--(I302=1))</f>
        <v/>
      </c>
      <c r="AM302" s="4">
        <f>IF(OR($B302="",J302=""),"",--(J302=$B302))</f>
        <v/>
      </c>
      <c r="AN302" s="4">
        <f>IF(OR($B302="",J302=""),"",IF($B302=1,--(J302=1),""))</f>
        <v/>
      </c>
      <c r="AO302" s="4">
        <f>IF(OR($B302="",J302=""),"",IF($B302=0,--(J302=0),""))</f>
        <v/>
      </c>
      <c r="AP302" s="4">
        <f>IF(J302="","",--(J302=1))</f>
        <v/>
      </c>
      <c r="AQ302" s="4">
        <f>IF(OR($B302="",K302=""),"",--(K302=$B302))</f>
        <v/>
      </c>
      <c r="AR302" s="4">
        <f>IF(OR($B302="",K302=""),"",IF($B302=1,--(K302=1),""))</f>
        <v/>
      </c>
      <c r="AS302" s="4">
        <f>IF(OR($B302="",K302=""),"",IF($B302=0,--(K302=0),""))</f>
        <v/>
      </c>
      <c r="AT302" s="4">
        <f>IF(K302="","",--(K302=1))</f>
        <v/>
      </c>
      <c r="AU302" s="4">
        <f>IF(OR($B302="",L302=""),"",--(L302=$B302))</f>
        <v/>
      </c>
      <c r="AV302" s="4">
        <f>IF(OR($B302="",L302=""),"",IF($B302=1,--(L302=1),""))</f>
        <v/>
      </c>
      <c r="AW302" s="4">
        <f>IF(OR($B302="",L302=""),"",IF($B302=0,--(L302=0),""))</f>
        <v/>
      </c>
      <c r="AX302" s="4">
        <f>IF(L302="","",--(L302=1))</f>
        <v/>
      </c>
      <c r="AY302" s="4">
        <f>IF(OR($B302="",M302=""),"",--(M302=$B302))</f>
        <v/>
      </c>
      <c r="AZ302" s="4">
        <f>IF(OR($B302="",M302=""),"",IF($B302=1,--(M302=1),""))</f>
        <v/>
      </c>
      <c r="BA302" s="4">
        <f>IF(OR($B302="",M302=""),"",IF($B302=0,--(M302=0),""))</f>
        <v/>
      </c>
      <c r="BB302" s="4">
        <f>IF(M302="","",--(M302=1))</f>
        <v/>
      </c>
      <c r="BC302" s="4">
        <f>IF(OR($B302="",N302=""),"",--(N302=$B302))</f>
        <v/>
      </c>
      <c r="BD302" s="4">
        <f>IF(OR($B302="",N302=""),"",IF($B302=1,--(N302=1),""))</f>
        <v/>
      </c>
      <c r="BE302" s="4">
        <f>IF(OR($B302="",N302=""),"",IF($B302=0,--(N302=0),""))</f>
        <v/>
      </c>
      <c r="BF302" s="4">
        <f>IF(N302="","",--(N302=1))</f>
        <v/>
      </c>
    </row>
    <row r="303">
      <c r="A303" s="3" t="inlineStr">
        <is>
          <t>202142076</t>
        </is>
      </c>
      <c r="B303" s="3" t="inlineStr">
        <is>
          <t>1</t>
        </is>
      </c>
      <c r="C303" s="3" t="inlineStr">
        <is>
          <t>Direct</t>
        </is>
      </c>
      <c r="D303" s="3" t="inlineStr">
        <is>
          <t>1</t>
        </is>
      </c>
      <c r="E303" s="3" t="inlineStr">
        <is>
          <t>1</t>
        </is>
      </c>
      <c r="F303" s="3" t="inlineStr">
        <is>
          <t>0</t>
        </is>
      </c>
      <c r="G303" s="3" t="inlineStr">
        <is>
          <t>0</t>
        </is>
      </c>
      <c r="H303" s="3" t="inlineStr">
        <is>
          <t>0</t>
        </is>
      </c>
      <c r="I303" s="3" t="inlineStr">
        <is>
          <t>0</t>
        </is>
      </c>
      <c r="J303" s="3" t="inlineStr">
        <is>
          <t>0</t>
        </is>
      </c>
      <c r="K303" s="3" t="inlineStr">
        <is>
          <t>0</t>
        </is>
      </c>
      <c r="L303" s="3" t="inlineStr">
        <is>
          <t>0</t>
        </is>
      </c>
      <c r="M303" s="3" t="inlineStr">
        <is>
          <t>0</t>
        </is>
      </c>
      <c r="N303" s="3" t="inlineStr">
        <is>
          <t>0</t>
        </is>
      </c>
      <c r="O303" s="4">
        <f>IF(OR($B303="",D303=""),"",--(D303=$B303))</f>
        <v/>
      </c>
      <c r="P303" s="4">
        <f>IF(OR($B303="",D303=""),"",IF($B303=1,--(D303=1),""))</f>
        <v/>
      </c>
      <c r="Q303" s="4">
        <f>IF(OR($B303="",D303=""),"",IF($B303=0,--(D303=0),""))</f>
        <v/>
      </c>
      <c r="R303" s="4">
        <f>IF(D303="","",--(D303=1))</f>
        <v/>
      </c>
      <c r="S303" s="4">
        <f>IF(OR($B303="",E303=""),"",--(E303=$B303))</f>
        <v/>
      </c>
      <c r="T303" s="4">
        <f>IF(OR($B303="",E303=""),"",IF($B303=1,--(E303=1),""))</f>
        <v/>
      </c>
      <c r="U303" s="4">
        <f>IF(OR($B303="",E303=""),"",IF($B303=0,--(E303=0),""))</f>
        <v/>
      </c>
      <c r="V303" s="4">
        <f>IF(E303="","",--(E303=1))</f>
        <v/>
      </c>
      <c r="W303" s="4">
        <f>IF(OR($B303="",F303=""),"",--(F303=$B303))</f>
        <v/>
      </c>
      <c r="X303" s="4">
        <f>IF(OR($B303="",F303=""),"",IF($B303=1,--(F303=1),""))</f>
        <v/>
      </c>
      <c r="Y303" s="4">
        <f>IF(OR($B303="",F303=""),"",IF($B303=0,--(F303=0),""))</f>
        <v/>
      </c>
      <c r="Z303" s="4">
        <f>IF(F303="","",--(F303=1))</f>
        <v/>
      </c>
      <c r="AA303" s="4">
        <f>IF(OR($B303="",G303=""),"",--(G303=$B303))</f>
        <v/>
      </c>
      <c r="AB303" s="4">
        <f>IF(OR($B303="",G303=""),"",IF($B303=1,--(G303=1),""))</f>
        <v/>
      </c>
      <c r="AC303" s="4">
        <f>IF(OR($B303="",G303=""),"",IF($B303=0,--(G303=0),""))</f>
        <v/>
      </c>
      <c r="AD303" s="4">
        <f>IF(G303="","",--(G303=1))</f>
        <v/>
      </c>
      <c r="AE303" s="4">
        <f>IF(OR($B303="",H303=""),"",--(H303=$B303))</f>
        <v/>
      </c>
      <c r="AF303" s="4">
        <f>IF(OR($B303="",H303=""),"",IF($B303=1,--(H303=1),""))</f>
        <v/>
      </c>
      <c r="AG303" s="4">
        <f>IF(OR($B303="",H303=""),"",IF($B303=0,--(H303=0),""))</f>
        <v/>
      </c>
      <c r="AH303" s="4">
        <f>IF(H303="","",--(H303=1))</f>
        <v/>
      </c>
      <c r="AI303" s="4">
        <f>IF(OR($B303="",I303=""),"",--(I303=$B303))</f>
        <v/>
      </c>
      <c r="AJ303" s="4">
        <f>IF(OR($B303="",I303=""),"",IF($B303=1,--(I303=1),""))</f>
        <v/>
      </c>
      <c r="AK303" s="4">
        <f>IF(OR($B303="",I303=""),"",IF($B303=0,--(I303=0),""))</f>
        <v/>
      </c>
      <c r="AL303" s="4">
        <f>IF(I303="","",--(I303=1))</f>
        <v/>
      </c>
      <c r="AM303" s="4">
        <f>IF(OR($B303="",J303=""),"",--(J303=$B303))</f>
        <v/>
      </c>
      <c r="AN303" s="4">
        <f>IF(OR($B303="",J303=""),"",IF($B303=1,--(J303=1),""))</f>
        <v/>
      </c>
      <c r="AO303" s="4">
        <f>IF(OR($B303="",J303=""),"",IF($B303=0,--(J303=0),""))</f>
        <v/>
      </c>
      <c r="AP303" s="4">
        <f>IF(J303="","",--(J303=1))</f>
        <v/>
      </c>
      <c r="AQ303" s="4">
        <f>IF(OR($B303="",K303=""),"",--(K303=$B303))</f>
        <v/>
      </c>
      <c r="AR303" s="4">
        <f>IF(OR($B303="",K303=""),"",IF($B303=1,--(K303=1),""))</f>
        <v/>
      </c>
      <c r="AS303" s="4">
        <f>IF(OR($B303="",K303=""),"",IF($B303=0,--(K303=0),""))</f>
        <v/>
      </c>
      <c r="AT303" s="4">
        <f>IF(K303="","",--(K303=1))</f>
        <v/>
      </c>
      <c r="AU303" s="4">
        <f>IF(OR($B303="",L303=""),"",--(L303=$B303))</f>
        <v/>
      </c>
      <c r="AV303" s="4">
        <f>IF(OR($B303="",L303=""),"",IF($B303=1,--(L303=1),""))</f>
        <v/>
      </c>
      <c r="AW303" s="4">
        <f>IF(OR($B303="",L303=""),"",IF($B303=0,--(L303=0),""))</f>
        <v/>
      </c>
      <c r="AX303" s="4">
        <f>IF(L303="","",--(L303=1))</f>
        <v/>
      </c>
      <c r="AY303" s="4">
        <f>IF(OR($B303="",M303=""),"",--(M303=$B303))</f>
        <v/>
      </c>
      <c r="AZ303" s="4">
        <f>IF(OR($B303="",M303=""),"",IF($B303=1,--(M303=1),""))</f>
        <v/>
      </c>
      <c r="BA303" s="4">
        <f>IF(OR($B303="",M303=""),"",IF($B303=0,--(M303=0),""))</f>
        <v/>
      </c>
      <c r="BB303" s="4">
        <f>IF(M303="","",--(M303=1))</f>
        <v/>
      </c>
      <c r="BC303" s="4">
        <f>IF(OR($B303="",N303=""),"",--(N303=$B303))</f>
        <v/>
      </c>
      <c r="BD303" s="4">
        <f>IF(OR($B303="",N303=""),"",IF($B303=1,--(N303=1),""))</f>
        <v/>
      </c>
      <c r="BE303" s="4">
        <f>IF(OR($B303="",N303=""),"",IF($B303=0,--(N303=0),""))</f>
        <v/>
      </c>
      <c r="BF303" s="4">
        <f>IF(N303="","",--(N303=1))</f>
        <v/>
      </c>
    </row>
    <row r="304">
      <c r="A304" s="3" t="inlineStr">
        <is>
          <t>202143694</t>
        </is>
      </c>
      <c r="B304" s="3" t="inlineStr">
        <is>
          <t>0</t>
        </is>
      </c>
      <c r="C304" s="3" t="inlineStr">
        <is>
          <t>Direct</t>
        </is>
      </c>
      <c r="D304" s="3" t="inlineStr">
        <is>
          <t>0</t>
        </is>
      </c>
      <c r="E304" s="3" t="inlineStr">
        <is>
          <t>1</t>
        </is>
      </c>
      <c r="F304" s="3" t="inlineStr">
        <is>
          <t>1</t>
        </is>
      </c>
      <c r="G304" s="3" t="inlineStr">
        <is>
          <t>0</t>
        </is>
      </c>
      <c r="H304" s="3" t="inlineStr">
        <is>
          <t>1</t>
        </is>
      </c>
      <c r="I304" s="3" t="inlineStr">
        <is>
          <t>1</t>
        </is>
      </c>
      <c r="J304" s="3" t="inlineStr">
        <is>
          <t>1</t>
        </is>
      </c>
      <c r="K304" s="3" t="inlineStr">
        <is>
          <t>1</t>
        </is>
      </c>
      <c r="L304" s="3" t="inlineStr">
        <is>
          <t>1</t>
        </is>
      </c>
      <c r="M304" s="3" t="inlineStr">
        <is>
          <t>1</t>
        </is>
      </c>
      <c r="N304" s="3" t="inlineStr">
        <is>
          <t>1</t>
        </is>
      </c>
      <c r="O304" s="4">
        <f>IF(OR($B304="",D304=""),"",--(D304=$B304))</f>
        <v/>
      </c>
      <c r="P304" s="4">
        <f>IF(OR($B304="",D304=""),"",IF($B304=1,--(D304=1),""))</f>
        <v/>
      </c>
      <c r="Q304" s="4">
        <f>IF(OR($B304="",D304=""),"",IF($B304=0,--(D304=0),""))</f>
        <v/>
      </c>
      <c r="R304" s="4">
        <f>IF(D304="","",--(D304=1))</f>
        <v/>
      </c>
      <c r="S304" s="4">
        <f>IF(OR($B304="",E304=""),"",--(E304=$B304))</f>
        <v/>
      </c>
      <c r="T304" s="4">
        <f>IF(OR($B304="",E304=""),"",IF($B304=1,--(E304=1),""))</f>
        <v/>
      </c>
      <c r="U304" s="4">
        <f>IF(OR($B304="",E304=""),"",IF($B304=0,--(E304=0),""))</f>
        <v/>
      </c>
      <c r="V304" s="4">
        <f>IF(E304="","",--(E304=1))</f>
        <v/>
      </c>
      <c r="W304" s="4">
        <f>IF(OR($B304="",F304=""),"",--(F304=$B304))</f>
        <v/>
      </c>
      <c r="X304" s="4">
        <f>IF(OR($B304="",F304=""),"",IF($B304=1,--(F304=1),""))</f>
        <v/>
      </c>
      <c r="Y304" s="4">
        <f>IF(OR($B304="",F304=""),"",IF($B304=0,--(F304=0),""))</f>
        <v/>
      </c>
      <c r="Z304" s="4">
        <f>IF(F304="","",--(F304=1))</f>
        <v/>
      </c>
      <c r="AA304" s="4">
        <f>IF(OR($B304="",G304=""),"",--(G304=$B304))</f>
        <v/>
      </c>
      <c r="AB304" s="4">
        <f>IF(OR($B304="",G304=""),"",IF($B304=1,--(G304=1),""))</f>
        <v/>
      </c>
      <c r="AC304" s="4">
        <f>IF(OR($B304="",G304=""),"",IF($B304=0,--(G304=0),""))</f>
        <v/>
      </c>
      <c r="AD304" s="4">
        <f>IF(G304="","",--(G304=1))</f>
        <v/>
      </c>
      <c r="AE304" s="4">
        <f>IF(OR($B304="",H304=""),"",--(H304=$B304))</f>
        <v/>
      </c>
      <c r="AF304" s="4">
        <f>IF(OR($B304="",H304=""),"",IF($B304=1,--(H304=1),""))</f>
        <v/>
      </c>
      <c r="AG304" s="4">
        <f>IF(OR($B304="",H304=""),"",IF($B304=0,--(H304=0),""))</f>
        <v/>
      </c>
      <c r="AH304" s="4">
        <f>IF(H304="","",--(H304=1))</f>
        <v/>
      </c>
      <c r="AI304" s="4">
        <f>IF(OR($B304="",I304=""),"",--(I304=$B304))</f>
        <v/>
      </c>
      <c r="AJ304" s="4">
        <f>IF(OR($B304="",I304=""),"",IF($B304=1,--(I304=1),""))</f>
        <v/>
      </c>
      <c r="AK304" s="4">
        <f>IF(OR($B304="",I304=""),"",IF($B304=0,--(I304=0),""))</f>
        <v/>
      </c>
      <c r="AL304" s="4">
        <f>IF(I304="","",--(I304=1))</f>
        <v/>
      </c>
      <c r="AM304" s="4">
        <f>IF(OR($B304="",J304=""),"",--(J304=$B304))</f>
        <v/>
      </c>
      <c r="AN304" s="4">
        <f>IF(OR($B304="",J304=""),"",IF($B304=1,--(J304=1),""))</f>
        <v/>
      </c>
      <c r="AO304" s="4">
        <f>IF(OR($B304="",J304=""),"",IF($B304=0,--(J304=0),""))</f>
        <v/>
      </c>
      <c r="AP304" s="4">
        <f>IF(J304="","",--(J304=1))</f>
        <v/>
      </c>
      <c r="AQ304" s="4">
        <f>IF(OR($B304="",K304=""),"",--(K304=$B304))</f>
        <v/>
      </c>
      <c r="AR304" s="4">
        <f>IF(OR($B304="",K304=""),"",IF($B304=1,--(K304=1),""))</f>
        <v/>
      </c>
      <c r="AS304" s="4">
        <f>IF(OR($B304="",K304=""),"",IF($B304=0,--(K304=0),""))</f>
        <v/>
      </c>
      <c r="AT304" s="4">
        <f>IF(K304="","",--(K304=1))</f>
        <v/>
      </c>
      <c r="AU304" s="4">
        <f>IF(OR($B304="",L304=""),"",--(L304=$B304))</f>
        <v/>
      </c>
      <c r="AV304" s="4">
        <f>IF(OR($B304="",L304=""),"",IF($B304=1,--(L304=1),""))</f>
        <v/>
      </c>
      <c r="AW304" s="4">
        <f>IF(OR($B304="",L304=""),"",IF($B304=0,--(L304=0),""))</f>
        <v/>
      </c>
      <c r="AX304" s="4">
        <f>IF(L304="","",--(L304=1))</f>
        <v/>
      </c>
      <c r="AY304" s="4">
        <f>IF(OR($B304="",M304=""),"",--(M304=$B304))</f>
        <v/>
      </c>
      <c r="AZ304" s="4">
        <f>IF(OR($B304="",M304=""),"",IF($B304=1,--(M304=1),""))</f>
        <v/>
      </c>
      <c r="BA304" s="4">
        <f>IF(OR($B304="",M304=""),"",IF($B304=0,--(M304=0),""))</f>
        <v/>
      </c>
      <c r="BB304" s="4">
        <f>IF(M304="","",--(M304=1))</f>
        <v/>
      </c>
      <c r="BC304" s="4">
        <f>IF(OR($B304="",N304=""),"",--(N304=$B304))</f>
        <v/>
      </c>
      <c r="BD304" s="4">
        <f>IF(OR($B304="",N304=""),"",IF($B304=1,--(N304=1),""))</f>
        <v/>
      </c>
      <c r="BE304" s="4">
        <f>IF(OR($B304="",N304=""),"",IF($B304=0,--(N304=0),""))</f>
        <v/>
      </c>
      <c r="BF304" s="4">
        <f>IF(N304="","",--(N304=1))</f>
        <v/>
      </c>
    </row>
    <row r="305">
      <c r="A305" s="3" t="inlineStr">
        <is>
          <t>20214390</t>
        </is>
      </c>
      <c r="B305" s="3" t="inlineStr">
        <is>
          <t>0</t>
        </is>
      </c>
      <c r="C305" s="3" t="inlineStr">
        <is>
          <t>Direct</t>
        </is>
      </c>
      <c r="D305" s="3" t="inlineStr">
        <is>
          <t>0</t>
        </is>
      </c>
      <c r="E305" s="3" t="inlineStr">
        <is>
          <t>0</t>
        </is>
      </c>
      <c r="F305" s="3" t="inlineStr">
        <is>
          <t>0</t>
        </is>
      </c>
      <c r="G305" s="3" t="inlineStr">
        <is>
          <t>0</t>
        </is>
      </c>
      <c r="H305" s="3" t="inlineStr">
        <is>
          <t>0</t>
        </is>
      </c>
      <c r="I305" s="3" t="inlineStr">
        <is>
          <t>0</t>
        </is>
      </c>
      <c r="J305" s="3" t="inlineStr">
        <is>
          <t>0</t>
        </is>
      </c>
      <c r="K305" s="3" t="inlineStr">
        <is>
          <t>0</t>
        </is>
      </c>
      <c r="L305" s="3" t="inlineStr">
        <is>
          <t>0</t>
        </is>
      </c>
      <c r="M305" s="3" t="inlineStr">
        <is>
          <t>0</t>
        </is>
      </c>
      <c r="N305" s="3" t="inlineStr">
        <is>
          <t>0</t>
        </is>
      </c>
      <c r="O305" s="4">
        <f>IF(OR($B305="",D305=""),"",--(D305=$B305))</f>
        <v/>
      </c>
      <c r="P305" s="4">
        <f>IF(OR($B305="",D305=""),"",IF($B305=1,--(D305=1),""))</f>
        <v/>
      </c>
      <c r="Q305" s="4">
        <f>IF(OR($B305="",D305=""),"",IF($B305=0,--(D305=0),""))</f>
        <v/>
      </c>
      <c r="R305" s="4">
        <f>IF(D305="","",--(D305=1))</f>
        <v/>
      </c>
      <c r="S305" s="4">
        <f>IF(OR($B305="",E305=""),"",--(E305=$B305))</f>
        <v/>
      </c>
      <c r="T305" s="4">
        <f>IF(OR($B305="",E305=""),"",IF($B305=1,--(E305=1),""))</f>
        <v/>
      </c>
      <c r="U305" s="4">
        <f>IF(OR($B305="",E305=""),"",IF($B305=0,--(E305=0),""))</f>
        <v/>
      </c>
      <c r="V305" s="4">
        <f>IF(E305="","",--(E305=1))</f>
        <v/>
      </c>
      <c r="W305" s="4">
        <f>IF(OR($B305="",F305=""),"",--(F305=$B305))</f>
        <v/>
      </c>
      <c r="X305" s="4">
        <f>IF(OR($B305="",F305=""),"",IF($B305=1,--(F305=1),""))</f>
        <v/>
      </c>
      <c r="Y305" s="4">
        <f>IF(OR($B305="",F305=""),"",IF($B305=0,--(F305=0),""))</f>
        <v/>
      </c>
      <c r="Z305" s="4">
        <f>IF(F305="","",--(F305=1))</f>
        <v/>
      </c>
      <c r="AA305" s="4">
        <f>IF(OR($B305="",G305=""),"",--(G305=$B305))</f>
        <v/>
      </c>
      <c r="AB305" s="4">
        <f>IF(OR($B305="",G305=""),"",IF($B305=1,--(G305=1),""))</f>
        <v/>
      </c>
      <c r="AC305" s="4">
        <f>IF(OR($B305="",G305=""),"",IF($B305=0,--(G305=0),""))</f>
        <v/>
      </c>
      <c r="AD305" s="4">
        <f>IF(G305="","",--(G305=1))</f>
        <v/>
      </c>
      <c r="AE305" s="4">
        <f>IF(OR($B305="",H305=""),"",--(H305=$B305))</f>
        <v/>
      </c>
      <c r="AF305" s="4">
        <f>IF(OR($B305="",H305=""),"",IF($B305=1,--(H305=1),""))</f>
        <v/>
      </c>
      <c r="AG305" s="4">
        <f>IF(OR($B305="",H305=""),"",IF($B305=0,--(H305=0),""))</f>
        <v/>
      </c>
      <c r="AH305" s="4">
        <f>IF(H305="","",--(H305=1))</f>
        <v/>
      </c>
      <c r="AI305" s="4">
        <f>IF(OR($B305="",I305=""),"",--(I305=$B305))</f>
        <v/>
      </c>
      <c r="AJ305" s="4">
        <f>IF(OR($B305="",I305=""),"",IF($B305=1,--(I305=1),""))</f>
        <v/>
      </c>
      <c r="AK305" s="4">
        <f>IF(OR($B305="",I305=""),"",IF($B305=0,--(I305=0),""))</f>
        <v/>
      </c>
      <c r="AL305" s="4">
        <f>IF(I305="","",--(I305=1))</f>
        <v/>
      </c>
      <c r="AM305" s="4">
        <f>IF(OR($B305="",J305=""),"",--(J305=$B305))</f>
        <v/>
      </c>
      <c r="AN305" s="4">
        <f>IF(OR($B305="",J305=""),"",IF($B305=1,--(J305=1),""))</f>
        <v/>
      </c>
      <c r="AO305" s="4">
        <f>IF(OR($B305="",J305=""),"",IF($B305=0,--(J305=0),""))</f>
        <v/>
      </c>
      <c r="AP305" s="4">
        <f>IF(J305="","",--(J305=1))</f>
        <v/>
      </c>
      <c r="AQ305" s="4">
        <f>IF(OR($B305="",K305=""),"",--(K305=$B305))</f>
        <v/>
      </c>
      <c r="AR305" s="4">
        <f>IF(OR($B305="",K305=""),"",IF($B305=1,--(K305=1),""))</f>
        <v/>
      </c>
      <c r="AS305" s="4">
        <f>IF(OR($B305="",K305=""),"",IF($B305=0,--(K305=0),""))</f>
        <v/>
      </c>
      <c r="AT305" s="4">
        <f>IF(K305="","",--(K305=1))</f>
        <v/>
      </c>
      <c r="AU305" s="4">
        <f>IF(OR($B305="",L305=""),"",--(L305=$B305))</f>
        <v/>
      </c>
      <c r="AV305" s="4">
        <f>IF(OR($B305="",L305=""),"",IF($B305=1,--(L305=1),""))</f>
        <v/>
      </c>
      <c r="AW305" s="4">
        <f>IF(OR($B305="",L305=""),"",IF($B305=0,--(L305=0),""))</f>
        <v/>
      </c>
      <c r="AX305" s="4">
        <f>IF(L305="","",--(L305=1))</f>
        <v/>
      </c>
      <c r="AY305" s="4">
        <f>IF(OR($B305="",M305=""),"",--(M305=$B305))</f>
        <v/>
      </c>
      <c r="AZ305" s="4">
        <f>IF(OR($B305="",M305=""),"",IF($B305=1,--(M305=1),""))</f>
        <v/>
      </c>
      <c r="BA305" s="4">
        <f>IF(OR($B305="",M305=""),"",IF($B305=0,--(M305=0),""))</f>
        <v/>
      </c>
      <c r="BB305" s="4">
        <f>IF(M305="","",--(M305=1))</f>
        <v/>
      </c>
      <c r="BC305" s="4">
        <f>IF(OR($B305="",N305=""),"",--(N305=$B305))</f>
        <v/>
      </c>
      <c r="BD305" s="4">
        <f>IF(OR($B305="",N305=""),"",IF($B305=1,--(N305=1),""))</f>
        <v/>
      </c>
      <c r="BE305" s="4">
        <f>IF(OR($B305="",N305=""),"",IF($B305=0,--(N305=0),""))</f>
        <v/>
      </c>
      <c r="BF305" s="4">
        <f>IF(N305="","",--(N305=1))</f>
        <v/>
      </c>
    </row>
    <row r="306">
      <c r="A306" s="3" t="inlineStr">
        <is>
          <t>20214450</t>
        </is>
      </c>
      <c r="B306" s="3" t="inlineStr">
        <is>
          <t>0</t>
        </is>
      </c>
      <c r="C306" s="3" t="inlineStr">
        <is>
          <t>Direct</t>
        </is>
      </c>
      <c r="D306" s="3" t="inlineStr">
        <is>
          <t>1</t>
        </is>
      </c>
      <c r="E306" s="3" t="inlineStr">
        <is>
          <t>0</t>
        </is>
      </c>
      <c r="F306" s="3" t="inlineStr">
        <is>
          <t>0</t>
        </is>
      </c>
      <c r="G306" s="3" t="inlineStr">
        <is>
          <t>0</t>
        </is>
      </c>
      <c r="H306" s="3" t="inlineStr">
        <is>
          <t>1</t>
        </is>
      </c>
      <c r="I306" s="3" t="inlineStr">
        <is>
          <t>1</t>
        </is>
      </c>
      <c r="J306" s="3" t="inlineStr">
        <is>
          <t>1</t>
        </is>
      </c>
      <c r="K306" s="3" t="inlineStr">
        <is>
          <t>1</t>
        </is>
      </c>
      <c r="L306" s="3" t="inlineStr">
        <is>
          <t>1</t>
        </is>
      </c>
      <c r="M306" s="3" t="inlineStr">
        <is>
          <t>1</t>
        </is>
      </c>
      <c r="N306" s="3" t="inlineStr">
        <is>
          <t>1</t>
        </is>
      </c>
      <c r="O306" s="4">
        <f>IF(OR($B306="",D306=""),"",--(D306=$B306))</f>
        <v/>
      </c>
      <c r="P306" s="4">
        <f>IF(OR($B306="",D306=""),"",IF($B306=1,--(D306=1),""))</f>
        <v/>
      </c>
      <c r="Q306" s="4">
        <f>IF(OR($B306="",D306=""),"",IF($B306=0,--(D306=0),""))</f>
        <v/>
      </c>
      <c r="R306" s="4">
        <f>IF(D306="","",--(D306=1))</f>
        <v/>
      </c>
      <c r="S306" s="4">
        <f>IF(OR($B306="",E306=""),"",--(E306=$B306))</f>
        <v/>
      </c>
      <c r="T306" s="4">
        <f>IF(OR($B306="",E306=""),"",IF($B306=1,--(E306=1),""))</f>
        <v/>
      </c>
      <c r="U306" s="4">
        <f>IF(OR($B306="",E306=""),"",IF($B306=0,--(E306=0),""))</f>
        <v/>
      </c>
      <c r="V306" s="4">
        <f>IF(E306="","",--(E306=1))</f>
        <v/>
      </c>
      <c r="W306" s="4">
        <f>IF(OR($B306="",F306=""),"",--(F306=$B306))</f>
        <v/>
      </c>
      <c r="X306" s="4">
        <f>IF(OR($B306="",F306=""),"",IF($B306=1,--(F306=1),""))</f>
        <v/>
      </c>
      <c r="Y306" s="4">
        <f>IF(OR($B306="",F306=""),"",IF($B306=0,--(F306=0),""))</f>
        <v/>
      </c>
      <c r="Z306" s="4">
        <f>IF(F306="","",--(F306=1))</f>
        <v/>
      </c>
      <c r="AA306" s="4">
        <f>IF(OR($B306="",G306=""),"",--(G306=$B306))</f>
        <v/>
      </c>
      <c r="AB306" s="4">
        <f>IF(OR($B306="",G306=""),"",IF($B306=1,--(G306=1),""))</f>
        <v/>
      </c>
      <c r="AC306" s="4">
        <f>IF(OR($B306="",G306=""),"",IF($B306=0,--(G306=0),""))</f>
        <v/>
      </c>
      <c r="AD306" s="4">
        <f>IF(G306="","",--(G306=1))</f>
        <v/>
      </c>
      <c r="AE306" s="4">
        <f>IF(OR($B306="",H306=""),"",--(H306=$B306))</f>
        <v/>
      </c>
      <c r="AF306" s="4">
        <f>IF(OR($B306="",H306=""),"",IF($B306=1,--(H306=1),""))</f>
        <v/>
      </c>
      <c r="AG306" s="4">
        <f>IF(OR($B306="",H306=""),"",IF($B306=0,--(H306=0),""))</f>
        <v/>
      </c>
      <c r="AH306" s="4">
        <f>IF(H306="","",--(H306=1))</f>
        <v/>
      </c>
      <c r="AI306" s="4">
        <f>IF(OR($B306="",I306=""),"",--(I306=$B306))</f>
        <v/>
      </c>
      <c r="AJ306" s="4">
        <f>IF(OR($B306="",I306=""),"",IF($B306=1,--(I306=1),""))</f>
        <v/>
      </c>
      <c r="AK306" s="4">
        <f>IF(OR($B306="",I306=""),"",IF($B306=0,--(I306=0),""))</f>
        <v/>
      </c>
      <c r="AL306" s="4">
        <f>IF(I306="","",--(I306=1))</f>
        <v/>
      </c>
      <c r="AM306" s="4">
        <f>IF(OR($B306="",J306=""),"",--(J306=$B306))</f>
        <v/>
      </c>
      <c r="AN306" s="4">
        <f>IF(OR($B306="",J306=""),"",IF($B306=1,--(J306=1),""))</f>
        <v/>
      </c>
      <c r="AO306" s="4">
        <f>IF(OR($B306="",J306=""),"",IF($B306=0,--(J306=0),""))</f>
        <v/>
      </c>
      <c r="AP306" s="4">
        <f>IF(J306="","",--(J306=1))</f>
        <v/>
      </c>
      <c r="AQ306" s="4">
        <f>IF(OR($B306="",K306=""),"",--(K306=$B306))</f>
        <v/>
      </c>
      <c r="AR306" s="4">
        <f>IF(OR($B306="",K306=""),"",IF($B306=1,--(K306=1),""))</f>
        <v/>
      </c>
      <c r="AS306" s="4">
        <f>IF(OR($B306="",K306=""),"",IF($B306=0,--(K306=0),""))</f>
        <v/>
      </c>
      <c r="AT306" s="4">
        <f>IF(K306="","",--(K306=1))</f>
        <v/>
      </c>
      <c r="AU306" s="4">
        <f>IF(OR($B306="",L306=""),"",--(L306=$B306))</f>
        <v/>
      </c>
      <c r="AV306" s="4">
        <f>IF(OR($B306="",L306=""),"",IF($B306=1,--(L306=1),""))</f>
        <v/>
      </c>
      <c r="AW306" s="4">
        <f>IF(OR($B306="",L306=""),"",IF($B306=0,--(L306=0),""))</f>
        <v/>
      </c>
      <c r="AX306" s="4">
        <f>IF(L306="","",--(L306=1))</f>
        <v/>
      </c>
      <c r="AY306" s="4">
        <f>IF(OR($B306="",M306=""),"",--(M306=$B306))</f>
        <v/>
      </c>
      <c r="AZ306" s="4">
        <f>IF(OR($B306="",M306=""),"",IF($B306=1,--(M306=1),""))</f>
        <v/>
      </c>
      <c r="BA306" s="4">
        <f>IF(OR($B306="",M306=""),"",IF($B306=0,--(M306=0),""))</f>
        <v/>
      </c>
      <c r="BB306" s="4">
        <f>IF(M306="","",--(M306=1))</f>
        <v/>
      </c>
      <c r="BC306" s="4">
        <f>IF(OR($B306="",N306=""),"",--(N306=$B306))</f>
        <v/>
      </c>
      <c r="BD306" s="4">
        <f>IF(OR($B306="",N306=""),"",IF($B306=1,--(N306=1),""))</f>
        <v/>
      </c>
      <c r="BE306" s="4">
        <f>IF(OR($B306="",N306=""),"",IF($B306=0,--(N306=0),""))</f>
        <v/>
      </c>
      <c r="BF306" s="4">
        <f>IF(N306="","",--(N306=1))</f>
        <v/>
      </c>
    </row>
    <row r="307">
      <c r="A307" s="3" t="inlineStr">
        <is>
          <t>202144660</t>
        </is>
      </c>
      <c r="B307" s="3" t="inlineStr">
        <is>
          <t>1</t>
        </is>
      </c>
      <c r="C307" s="3" t="inlineStr">
        <is>
          <t>Direct</t>
        </is>
      </c>
      <c r="D307" s="3" t="inlineStr">
        <is>
          <t>1</t>
        </is>
      </c>
      <c r="E307" s="3" t="inlineStr">
        <is>
          <t>1</t>
        </is>
      </c>
      <c r="F307" s="3" t="inlineStr">
        <is>
          <t>1</t>
        </is>
      </c>
      <c r="G307" s="3" t="inlineStr">
        <is>
          <t>1</t>
        </is>
      </c>
      <c r="H307" s="3" t="inlineStr">
        <is>
          <t>1</t>
        </is>
      </c>
      <c r="I307" s="3" t="inlineStr">
        <is>
          <t>1</t>
        </is>
      </c>
      <c r="J307" s="3" t="inlineStr">
        <is>
          <t>1</t>
        </is>
      </c>
      <c r="K307" s="3" t="inlineStr">
        <is>
          <t>1</t>
        </is>
      </c>
      <c r="L307" s="3" t="inlineStr">
        <is>
          <t>1</t>
        </is>
      </c>
      <c r="M307" s="3" t="inlineStr">
        <is>
          <t>1</t>
        </is>
      </c>
      <c r="N307" s="3" t="inlineStr">
        <is>
          <t>1</t>
        </is>
      </c>
      <c r="O307" s="4">
        <f>IF(OR($B307="",D307=""),"",--(D307=$B307))</f>
        <v/>
      </c>
      <c r="P307" s="4">
        <f>IF(OR($B307="",D307=""),"",IF($B307=1,--(D307=1),""))</f>
        <v/>
      </c>
      <c r="Q307" s="4">
        <f>IF(OR($B307="",D307=""),"",IF($B307=0,--(D307=0),""))</f>
        <v/>
      </c>
      <c r="R307" s="4">
        <f>IF(D307="","",--(D307=1))</f>
        <v/>
      </c>
      <c r="S307" s="4">
        <f>IF(OR($B307="",E307=""),"",--(E307=$B307))</f>
        <v/>
      </c>
      <c r="T307" s="4">
        <f>IF(OR($B307="",E307=""),"",IF($B307=1,--(E307=1),""))</f>
        <v/>
      </c>
      <c r="U307" s="4">
        <f>IF(OR($B307="",E307=""),"",IF($B307=0,--(E307=0),""))</f>
        <v/>
      </c>
      <c r="V307" s="4">
        <f>IF(E307="","",--(E307=1))</f>
        <v/>
      </c>
      <c r="W307" s="4">
        <f>IF(OR($B307="",F307=""),"",--(F307=$B307))</f>
        <v/>
      </c>
      <c r="X307" s="4">
        <f>IF(OR($B307="",F307=""),"",IF($B307=1,--(F307=1),""))</f>
        <v/>
      </c>
      <c r="Y307" s="4">
        <f>IF(OR($B307="",F307=""),"",IF($B307=0,--(F307=0),""))</f>
        <v/>
      </c>
      <c r="Z307" s="4">
        <f>IF(F307="","",--(F307=1))</f>
        <v/>
      </c>
      <c r="AA307" s="4">
        <f>IF(OR($B307="",G307=""),"",--(G307=$B307))</f>
        <v/>
      </c>
      <c r="AB307" s="4">
        <f>IF(OR($B307="",G307=""),"",IF($B307=1,--(G307=1),""))</f>
        <v/>
      </c>
      <c r="AC307" s="4">
        <f>IF(OR($B307="",G307=""),"",IF($B307=0,--(G307=0),""))</f>
        <v/>
      </c>
      <c r="AD307" s="4">
        <f>IF(G307="","",--(G307=1))</f>
        <v/>
      </c>
      <c r="AE307" s="4">
        <f>IF(OR($B307="",H307=""),"",--(H307=$B307))</f>
        <v/>
      </c>
      <c r="AF307" s="4">
        <f>IF(OR($B307="",H307=""),"",IF($B307=1,--(H307=1),""))</f>
        <v/>
      </c>
      <c r="AG307" s="4">
        <f>IF(OR($B307="",H307=""),"",IF($B307=0,--(H307=0),""))</f>
        <v/>
      </c>
      <c r="AH307" s="4">
        <f>IF(H307="","",--(H307=1))</f>
        <v/>
      </c>
      <c r="AI307" s="4">
        <f>IF(OR($B307="",I307=""),"",--(I307=$B307))</f>
        <v/>
      </c>
      <c r="AJ307" s="4">
        <f>IF(OR($B307="",I307=""),"",IF($B307=1,--(I307=1),""))</f>
        <v/>
      </c>
      <c r="AK307" s="4">
        <f>IF(OR($B307="",I307=""),"",IF($B307=0,--(I307=0),""))</f>
        <v/>
      </c>
      <c r="AL307" s="4">
        <f>IF(I307="","",--(I307=1))</f>
        <v/>
      </c>
      <c r="AM307" s="4">
        <f>IF(OR($B307="",J307=""),"",--(J307=$B307))</f>
        <v/>
      </c>
      <c r="AN307" s="4">
        <f>IF(OR($B307="",J307=""),"",IF($B307=1,--(J307=1),""))</f>
        <v/>
      </c>
      <c r="AO307" s="4">
        <f>IF(OR($B307="",J307=""),"",IF($B307=0,--(J307=0),""))</f>
        <v/>
      </c>
      <c r="AP307" s="4">
        <f>IF(J307="","",--(J307=1))</f>
        <v/>
      </c>
      <c r="AQ307" s="4">
        <f>IF(OR($B307="",K307=""),"",--(K307=$B307))</f>
        <v/>
      </c>
      <c r="AR307" s="4">
        <f>IF(OR($B307="",K307=""),"",IF($B307=1,--(K307=1),""))</f>
        <v/>
      </c>
      <c r="AS307" s="4">
        <f>IF(OR($B307="",K307=""),"",IF($B307=0,--(K307=0),""))</f>
        <v/>
      </c>
      <c r="AT307" s="4">
        <f>IF(K307="","",--(K307=1))</f>
        <v/>
      </c>
      <c r="AU307" s="4">
        <f>IF(OR($B307="",L307=""),"",--(L307=$B307))</f>
        <v/>
      </c>
      <c r="AV307" s="4">
        <f>IF(OR($B307="",L307=""),"",IF($B307=1,--(L307=1),""))</f>
        <v/>
      </c>
      <c r="AW307" s="4">
        <f>IF(OR($B307="",L307=""),"",IF($B307=0,--(L307=0),""))</f>
        <v/>
      </c>
      <c r="AX307" s="4">
        <f>IF(L307="","",--(L307=1))</f>
        <v/>
      </c>
      <c r="AY307" s="4">
        <f>IF(OR($B307="",M307=""),"",--(M307=$B307))</f>
        <v/>
      </c>
      <c r="AZ307" s="4">
        <f>IF(OR($B307="",M307=""),"",IF($B307=1,--(M307=1),""))</f>
        <v/>
      </c>
      <c r="BA307" s="4">
        <f>IF(OR($B307="",M307=""),"",IF($B307=0,--(M307=0),""))</f>
        <v/>
      </c>
      <c r="BB307" s="4">
        <f>IF(M307="","",--(M307=1))</f>
        <v/>
      </c>
      <c r="BC307" s="4">
        <f>IF(OR($B307="",N307=""),"",--(N307=$B307))</f>
        <v/>
      </c>
      <c r="BD307" s="4">
        <f>IF(OR($B307="",N307=""),"",IF($B307=1,--(N307=1),""))</f>
        <v/>
      </c>
      <c r="BE307" s="4">
        <f>IF(OR($B307="",N307=""),"",IF($B307=0,--(N307=0),""))</f>
        <v/>
      </c>
      <c r="BF307" s="4">
        <f>IF(N307="","",--(N307=1))</f>
        <v/>
      </c>
    </row>
    <row r="308">
      <c r="A308" s="3" t="inlineStr">
        <is>
          <t>202144987</t>
        </is>
      </c>
      <c r="B308" s="3" t="inlineStr">
        <is>
          <t>0</t>
        </is>
      </c>
      <c r="C308" s="3" t="inlineStr">
        <is>
          <t>Direct</t>
        </is>
      </c>
      <c r="D308" s="3" t="inlineStr">
        <is>
          <t>1</t>
        </is>
      </c>
      <c r="E308" s="3" t="inlineStr">
        <is>
          <t>1</t>
        </is>
      </c>
      <c r="F308" s="3" t="inlineStr">
        <is>
          <t>1</t>
        </is>
      </c>
      <c r="G308" s="3" t="inlineStr">
        <is>
          <t>1</t>
        </is>
      </c>
      <c r="H308" s="3" t="inlineStr">
        <is>
          <t>1</t>
        </is>
      </c>
      <c r="I308" s="3" t="inlineStr">
        <is>
          <t>1</t>
        </is>
      </c>
      <c r="J308" s="3" t="inlineStr">
        <is>
          <t>1</t>
        </is>
      </c>
      <c r="K308" s="3" t="inlineStr">
        <is>
          <t>1</t>
        </is>
      </c>
      <c r="L308" s="3" t="inlineStr">
        <is>
          <t>1</t>
        </is>
      </c>
      <c r="M308" s="3" t="inlineStr">
        <is>
          <t>1</t>
        </is>
      </c>
      <c r="N308" s="3" t="inlineStr">
        <is>
          <t>1</t>
        </is>
      </c>
      <c r="O308" s="4">
        <f>IF(OR($B308="",D308=""),"",--(D308=$B308))</f>
        <v/>
      </c>
      <c r="P308" s="4">
        <f>IF(OR($B308="",D308=""),"",IF($B308=1,--(D308=1),""))</f>
        <v/>
      </c>
      <c r="Q308" s="4">
        <f>IF(OR($B308="",D308=""),"",IF($B308=0,--(D308=0),""))</f>
        <v/>
      </c>
      <c r="R308" s="4">
        <f>IF(D308="","",--(D308=1))</f>
        <v/>
      </c>
      <c r="S308" s="4">
        <f>IF(OR($B308="",E308=""),"",--(E308=$B308))</f>
        <v/>
      </c>
      <c r="T308" s="4">
        <f>IF(OR($B308="",E308=""),"",IF($B308=1,--(E308=1),""))</f>
        <v/>
      </c>
      <c r="U308" s="4">
        <f>IF(OR($B308="",E308=""),"",IF($B308=0,--(E308=0),""))</f>
        <v/>
      </c>
      <c r="V308" s="4">
        <f>IF(E308="","",--(E308=1))</f>
        <v/>
      </c>
      <c r="W308" s="4">
        <f>IF(OR($B308="",F308=""),"",--(F308=$B308))</f>
        <v/>
      </c>
      <c r="X308" s="4">
        <f>IF(OR($B308="",F308=""),"",IF($B308=1,--(F308=1),""))</f>
        <v/>
      </c>
      <c r="Y308" s="4">
        <f>IF(OR($B308="",F308=""),"",IF($B308=0,--(F308=0),""))</f>
        <v/>
      </c>
      <c r="Z308" s="4">
        <f>IF(F308="","",--(F308=1))</f>
        <v/>
      </c>
      <c r="AA308" s="4">
        <f>IF(OR($B308="",G308=""),"",--(G308=$B308))</f>
        <v/>
      </c>
      <c r="AB308" s="4">
        <f>IF(OR($B308="",G308=""),"",IF($B308=1,--(G308=1),""))</f>
        <v/>
      </c>
      <c r="AC308" s="4">
        <f>IF(OR($B308="",G308=""),"",IF($B308=0,--(G308=0),""))</f>
        <v/>
      </c>
      <c r="AD308" s="4">
        <f>IF(G308="","",--(G308=1))</f>
        <v/>
      </c>
      <c r="AE308" s="4">
        <f>IF(OR($B308="",H308=""),"",--(H308=$B308))</f>
        <v/>
      </c>
      <c r="AF308" s="4">
        <f>IF(OR($B308="",H308=""),"",IF($B308=1,--(H308=1),""))</f>
        <v/>
      </c>
      <c r="AG308" s="4">
        <f>IF(OR($B308="",H308=""),"",IF($B308=0,--(H308=0),""))</f>
        <v/>
      </c>
      <c r="AH308" s="4">
        <f>IF(H308="","",--(H308=1))</f>
        <v/>
      </c>
      <c r="AI308" s="4">
        <f>IF(OR($B308="",I308=""),"",--(I308=$B308))</f>
        <v/>
      </c>
      <c r="AJ308" s="4">
        <f>IF(OR($B308="",I308=""),"",IF($B308=1,--(I308=1),""))</f>
        <v/>
      </c>
      <c r="AK308" s="4">
        <f>IF(OR($B308="",I308=""),"",IF($B308=0,--(I308=0),""))</f>
        <v/>
      </c>
      <c r="AL308" s="4">
        <f>IF(I308="","",--(I308=1))</f>
        <v/>
      </c>
      <c r="AM308" s="4">
        <f>IF(OR($B308="",J308=""),"",--(J308=$B308))</f>
        <v/>
      </c>
      <c r="AN308" s="4">
        <f>IF(OR($B308="",J308=""),"",IF($B308=1,--(J308=1),""))</f>
        <v/>
      </c>
      <c r="AO308" s="4">
        <f>IF(OR($B308="",J308=""),"",IF($B308=0,--(J308=0),""))</f>
        <v/>
      </c>
      <c r="AP308" s="4">
        <f>IF(J308="","",--(J308=1))</f>
        <v/>
      </c>
      <c r="AQ308" s="4">
        <f>IF(OR($B308="",K308=""),"",--(K308=$B308))</f>
        <v/>
      </c>
      <c r="AR308" s="4">
        <f>IF(OR($B308="",K308=""),"",IF($B308=1,--(K308=1),""))</f>
        <v/>
      </c>
      <c r="AS308" s="4">
        <f>IF(OR($B308="",K308=""),"",IF($B308=0,--(K308=0),""))</f>
        <v/>
      </c>
      <c r="AT308" s="4">
        <f>IF(K308="","",--(K308=1))</f>
        <v/>
      </c>
      <c r="AU308" s="4">
        <f>IF(OR($B308="",L308=""),"",--(L308=$B308))</f>
        <v/>
      </c>
      <c r="AV308" s="4">
        <f>IF(OR($B308="",L308=""),"",IF($B308=1,--(L308=1),""))</f>
        <v/>
      </c>
      <c r="AW308" s="4">
        <f>IF(OR($B308="",L308=""),"",IF($B308=0,--(L308=0),""))</f>
        <v/>
      </c>
      <c r="AX308" s="4">
        <f>IF(L308="","",--(L308=1))</f>
        <v/>
      </c>
      <c r="AY308" s="4">
        <f>IF(OR($B308="",M308=""),"",--(M308=$B308))</f>
        <v/>
      </c>
      <c r="AZ308" s="4">
        <f>IF(OR($B308="",M308=""),"",IF($B308=1,--(M308=1),""))</f>
        <v/>
      </c>
      <c r="BA308" s="4">
        <f>IF(OR($B308="",M308=""),"",IF($B308=0,--(M308=0),""))</f>
        <v/>
      </c>
      <c r="BB308" s="4">
        <f>IF(M308="","",--(M308=1))</f>
        <v/>
      </c>
      <c r="BC308" s="4">
        <f>IF(OR($B308="",N308=""),"",--(N308=$B308))</f>
        <v/>
      </c>
      <c r="BD308" s="4">
        <f>IF(OR($B308="",N308=""),"",IF($B308=1,--(N308=1),""))</f>
        <v/>
      </c>
      <c r="BE308" s="4">
        <f>IF(OR($B308="",N308=""),"",IF($B308=0,--(N308=0),""))</f>
        <v/>
      </c>
      <c r="BF308" s="4">
        <f>IF(N308="","",--(N308=1))</f>
        <v/>
      </c>
    </row>
    <row r="309">
      <c r="A309" s="3" t="inlineStr">
        <is>
          <t>202145257</t>
        </is>
      </c>
      <c r="B309" s="3" t="inlineStr">
        <is>
          <t>1</t>
        </is>
      </c>
      <c r="C309" s="3" t="inlineStr">
        <is>
          <t>Direct</t>
        </is>
      </c>
      <c r="D309" s="3" t="inlineStr">
        <is>
          <t>1</t>
        </is>
      </c>
      <c r="E309" s="3" t="inlineStr">
        <is>
          <t>1</t>
        </is>
      </c>
      <c r="F309" s="3" t="inlineStr">
        <is>
          <t>0</t>
        </is>
      </c>
      <c r="G309" s="3" t="inlineStr">
        <is>
          <t>0</t>
        </is>
      </c>
      <c r="H309" s="3" t="inlineStr">
        <is>
          <t>1</t>
        </is>
      </c>
      <c r="I309" s="3" t="inlineStr">
        <is>
          <t>1</t>
        </is>
      </c>
      <c r="J309" s="3" t="inlineStr">
        <is>
          <t>1</t>
        </is>
      </c>
      <c r="K309" s="3" t="inlineStr">
        <is>
          <t>1</t>
        </is>
      </c>
      <c r="L309" s="3" t="inlineStr">
        <is>
          <t>1</t>
        </is>
      </c>
      <c r="M309" s="3" t="inlineStr">
        <is>
          <t>1</t>
        </is>
      </c>
      <c r="N309" s="3" t="inlineStr">
        <is>
          <t>1</t>
        </is>
      </c>
      <c r="O309" s="4">
        <f>IF(OR($B309="",D309=""),"",--(D309=$B309))</f>
        <v/>
      </c>
      <c r="P309" s="4">
        <f>IF(OR($B309="",D309=""),"",IF($B309=1,--(D309=1),""))</f>
        <v/>
      </c>
      <c r="Q309" s="4">
        <f>IF(OR($B309="",D309=""),"",IF($B309=0,--(D309=0),""))</f>
        <v/>
      </c>
      <c r="R309" s="4">
        <f>IF(D309="","",--(D309=1))</f>
        <v/>
      </c>
      <c r="S309" s="4">
        <f>IF(OR($B309="",E309=""),"",--(E309=$B309))</f>
        <v/>
      </c>
      <c r="T309" s="4">
        <f>IF(OR($B309="",E309=""),"",IF($B309=1,--(E309=1),""))</f>
        <v/>
      </c>
      <c r="U309" s="4">
        <f>IF(OR($B309="",E309=""),"",IF($B309=0,--(E309=0),""))</f>
        <v/>
      </c>
      <c r="V309" s="4">
        <f>IF(E309="","",--(E309=1))</f>
        <v/>
      </c>
      <c r="W309" s="4">
        <f>IF(OR($B309="",F309=""),"",--(F309=$B309))</f>
        <v/>
      </c>
      <c r="X309" s="4">
        <f>IF(OR($B309="",F309=""),"",IF($B309=1,--(F309=1),""))</f>
        <v/>
      </c>
      <c r="Y309" s="4">
        <f>IF(OR($B309="",F309=""),"",IF($B309=0,--(F309=0),""))</f>
        <v/>
      </c>
      <c r="Z309" s="4">
        <f>IF(F309="","",--(F309=1))</f>
        <v/>
      </c>
      <c r="AA309" s="4">
        <f>IF(OR($B309="",G309=""),"",--(G309=$B309))</f>
        <v/>
      </c>
      <c r="AB309" s="4">
        <f>IF(OR($B309="",G309=""),"",IF($B309=1,--(G309=1),""))</f>
        <v/>
      </c>
      <c r="AC309" s="4">
        <f>IF(OR($B309="",G309=""),"",IF($B309=0,--(G309=0),""))</f>
        <v/>
      </c>
      <c r="AD309" s="4">
        <f>IF(G309="","",--(G309=1))</f>
        <v/>
      </c>
      <c r="AE309" s="4">
        <f>IF(OR($B309="",H309=""),"",--(H309=$B309))</f>
        <v/>
      </c>
      <c r="AF309" s="4">
        <f>IF(OR($B309="",H309=""),"",IF($B309=1,--(H309=1),""))</f>
        <v/>
      </c>
      <c r="AG309" s="4">
        <f>IF(OR($B309="",H309=""),"",IF($B309=0,--(H309=0),""))</f>
        <v/>
      </c>
      <c r="AH309" s="4">
        <f>IF(H309="","",--(H309=1))</f>
        <v/>
      </c>
      <c r="AI309" s="4">
        <f>IF(OR($B309="",I309=""),"",--(I309=$B309))</f>
        <v/>
      </c>
      <c r="AJ309" s="4">
        <f>IF(OR($B309="",I309=""),"",IF($B309=1,--(I309=1),""))</f>
        <v/>
      </c>
      <c r="AK309" s="4">
        <f>IF(OR($B309="",I309=""),"",IF($B309=0,--(I309=0),""))</f>
        <v/>
      </c>
      <c r="AL309" s="4">
        <f>IF(I309="","",--(I309=1))</f>
        <v/>
      </c>
      <c r="AM309" s="4">
        <f>IF(OR($B309="",J309=""),"",--(J309=$B309))</f>
        <v/>
      </c>
      <c r="AN309" s="4">
        <f>IF(OR($B309="",J309=""),"",IF($B309=1,--(J309=1),""))</f>
        <v/>
      </c>
      <c r="AO309" s="4">
        <f>IF(OR($B309="",J309=""),"",IF($B309=0,--(J309=0),""))</f>
        <v/>
      </c>
      <c r="AP309" s="4">
        <f>IF(J309="","",--(J309=1))</f>
        <v/>
      </c>
      <c r="AQ309" s="4">
        <f>IF(OR($B309="",K309=""),"",--(K309=$B309))</f>
        <v/>
      </c>
      <c r="AR309" s="4">
        <f>IF(OR($B309="",K309=""),"",IF($B309=1,--(K309=1),""))</f>
        <v/>
      </c>
      <c r="AS309" s="4">
        <f>IF(OR($B309="",K309=""),"",IF($B309=0,--(K309=0),""))</f>
        <v/>
      </c>
      <c r="AT309" s="4">
        <f>IF(K309="","",--(K309=1))</f>
        <v/>
      </c>
      <c r="AU309" s="4">
        <f>IF(OR($B309="",L309=""),"",--(L309=$B309))</f>
        <v/>
      </c>
      <c r="AV309" s="4">
        <f>IF(OR($B309="",L309=""),"",IF($B309=1,--(L309=1),""))</f>
        <v/>
      </c>
      <c r="AW309" s="4">
        <f>IF(OR($B309="",L309=""),"",IF($B309=0,--(L309=0),""))</f>
        <v/>
      </c>
      <c r="AX309" s="4">
        <f>IF(L309="","",--(L309=1))</f>
        <v/>
      </c>
      <c r="AY309" s="4">
        <f>IF(OR($B309="",M309=""),"",--(M309=$B309))</f>
        <v/>
      </c>
      <c r="AZ309" s="4">
        <f>IF(OR($B309="",M309=""),"",IF($B309=1,--(M309=1),""))</f>
        <v/>
      </c>
      <c r="BA309" s="4">
        <f>IF(OR($B309="",M309=""),"",IF($B309=0,--(M309=0),""))</f>
        <v/>
      </c>
      <c r="BB309" s="4">
        <f>IF(M309="","",--(M309=1))</f>
        <v/>
      </c>
      <c r="BC309" s="4">
        <f>IF(OR($B309="",N309=""),"",--(N309=$B309))</f>
        <v/>
      </c>
      <c r="BD309" s="4">
        <f>IF(OR($B309="",N309=""),"",IF($B309=1,--(N309=1),""))</f>
        <v/>
      </c>
      <c r="BE309" s="4">
        <f>IF(OR($B309="",N309=""),"",IF($B309=0,--(N309=0),""))</f>
        <v/>
      </c>
      <c r="BF309" s="4">
        <f>IF(N309="","",--(N309=1))</f>
        <v/>
      </c>
    </row>
    <row r="310">
      <c r="A310" s="3" t="inlineStr">
        <is>
          <t>202146030</t>
        </is>
      </c>
      <c r="B310" s="3" t="inlineStr">
        <is>
          <t>1</t>
        </is>
      </c>
      <c r="C310" s="3" t="inlineStr">
        <is>
          <t>Direct</t>
        </is>
      </c>
      <c r="D310" s="3" t="inlineStr">
        <is>
          <t>1</t>
        </is>
      </c>
      <c r="E310" s="3" t="inlineStr">
        <is>
          <t>1</t>
        </is>
      </c>
      <c r="F310" s="3" t="inlineStr">
        <is>
          <t>1</t>
        </is>
      </c>
      <c r="G310" s="3" t="inlineStr">
        <is>
          <t>1</t>
        </is>
      </c>
      <c r="H310" s="3" t="inlineStr">
        <is>
          <t>1</t>
        </is>
      </c>
      <c r="I310" s="3" t="inlineStr">
        <is>
          <t>1</t>
        </is>
      </c>
      <c r="J310" s="3" t="inlineStr">
        <is>
          <t>1</t>
        </is>
      </c>
      <c r="K310" s="3" t="inlineStr">
        <is>
          <t>1</t>
        </is>
      </c>
      <c r="L310" s="3" t="inlineStr">
        <is>
          <t>1</t>
        </is>
      </c>
      <c r="M310" s="3" t="inlineStr">
        <is>
          <t>1</t>
        </is>
      </c>
      <c r="N310" s="3" t="inlineStr">
        <is>
          <t>1</t>
        </is>
      </c>
      <c r="O310" s="4">
        <f>IF(OR($B310="",D310=""),"",--(D310=$B310))</f>
        <v/>
      </c>
      <c r="P310" s="4">
        <f>IF(OR($B310="",D310=""),"",IF($B310=1,--(D310=1),""))</f>
        <v/>
      </c>
      <c r="Q310" s="4">
        <f>IF(OR($B310="",D310=""),"",IF($B310=0,--(D310=0),""))</f>
        <v/>
      </c>
      <c r="R310" s="4">
        <f>IF(D310="","",--(D310=1))</f>
        <v/>
      </c>
      <c r="S310" s="4">
        <f>IF(OR($B310="",E310=""),"",--(E310=$B310))</f>
        <v/>
      </c>
      <c r="T310" s="4">
        <f>IF(OR($B310="",E310=""),"",IF($B310=1,--(E310=1),""))</f>
        <v/>
      </c>
      <c r="U310" s="4">
        <f>IF(OR($B310="",E310=""),"",IF($B310=0,--(E310=0),""))</f>
        <v/>
      </c>
      <c r="V310" s="4">
        <f>IF(E310="","",--(E310=1))</f>
        <v/>
      </c>
      <c r="W310" s="4">
        <f>IF(OR($B310="",F310=""),"",--(F310=$B310))</f>
        <v/>
      </c>
      <c r="X310" s="4">
        <f>IF(OR($B310="",F310=""),"",IF($B310=1,--(F310=1),""))</f>
        <v/>
      </c>
      <c r="Y310" s="4">
        <f>IF(OR($B310="",F310=""),"",IF($B310=0,--(F310=0),""))</f>
        <v/>
      </c>
      <c r="Z310" s="4">
        <f>IF(F310="","",--(F310=1))</f>
        <v/>
      </c>
      <c r="AA310" s="4">
        <f>IF(OR($B310="",G310=""),"",--(G310=$B310))</f>
        <v/>
      </c>
      <c r="AB310" s="4">
        <f>IF(OR($B310="",G310=""),"",IF($B310=1,--(G310=1),""))</f>
        <v/>
      </c>
      <c r="AC310" s="4">
        <f>IF(OR($B310="",G310=""),"",IF($B310=0,--(G310=0),""))</f>
        <v/>
      </c>
      <c r="AD310" s="4">
        <f>IF(G310="","",--(G310=1))</f>
        <v/>
      </c>
      <c r="AE310" s="4">
        <f>IF(OR($B310="",H310=""),"",--(H310=$B310))</f>
        <v/>
      </c>
      <c r="AF310" s="4">
        <f>IF(OR($B310="",H310=""),"",IF($B310=1,--(H310=1),""))</f>
        <v/>
      </c>
      <c r="AG310" s="4">
        <f>IF(OR($B310="",H310=""),"",IF($B310=0,--(H310=0),""))</f>
        <v/>
      </c>
      <c r="AH310" s="4">
        <f>IF(H310="","",--(H310=1))</f>
        <v/>
      </c>
      <c r="AI310" s="4">
        <f>IF(OR($B310="",I310=""),"",--(I310=$B310))</f>
        <v/>
      </c>
      <c r="AJ310" s="4">
        <f>IF(OR($B310="",I310=""),"",IF($B310=1,--(I310=1),""))</f>
        <v/>
      </c>
      <c r="AK310" s="4">
        <f>IF(OR($B310="",I310=""),"",IF($B310=0,--(I310=0),""))</f>
        <v/>
      </c>
      <c r="AL310" s="4">
        <f>IF(I310="","",--(I310=1))</f>
        <v/>
      </c>
      <c r="AM310" s="4">
        <f>IF(OR($B310="",J310=""),"",--(J310=$B310))</f>
        <v/>
      </c>
      <c r="AN310" s="4">
        <f>IF(OR($B310="",J310=""),"",IF($B310=1,--(J310=1),""))</f>
        <v/>
      </c>
      <c r="AO310" s="4">
        <f>IF(OR($B310="",J310=""),"",IF($B310=0,--(J310=0),""))</f>
        <v/>
      </c>
      <c r="AP310" s="4">
        <f>IF(J310="","",--(J310=1))</f>
        <v/>
      </c>
      <c r="AQ310" s="4">
        <f>IF(OR($B310="",K310=""),"",--(K310=$B310))</f>
        <v/>
      </c>
      <c r="AR310" s="4">
        <f>IF(OR($B310="",K310=""),"",IF($B310=1,--(K310=1),""))</f>
        <v/>
      </c>
      <c r="AS310" s="4">
        <f>IF(OR($B310="",K310=""),"",IF($B310=0,--(K310=0),""))</f>
        <v/>
      </c>
      <c r="AT310" s="4">
        <f>IF(K310="","",--(K310=1))</f>
        <v/>
      </c>
      <c r="AU310" s="4">
        <f>IF(OR($B310="",L310=""),"",--(L310=$B310))</f>
        <v/>
      </c>
      <c r="AV310" s="4">
        <f>IF(OR($B310="",L310=""),"",IF($B310=1,--(L310=1),""))</f>
        <v/>
      </c>
      <c r="AW310" s="4">
        <f>IF(OR($B310="",L310=""),"",IF($B310=0,--(L310=0),""))</f>
        <v/>
      </c>
      <c r="AX310" s="4">
        <f>IF(L310="","",--(L310=1))</f>
        <v/>
      </c>
      <c r="AY310" s="4">
        <f>IF(OR($B310="",M310=""),"",--(M310=$B310))</f>
        <v/>
      </c>
      <c r="AZ310" s="4">
        <f>IF(OR($B310="",M310=""),"",IF($B310=1,--(M310=1),""))</f>
        <v/>
      </c>
      <c r="BA310" s="4">
        <f>IF(OR($B310="",M310=""),"",IF($B310=0,--(M310=0),""))</f>
        <v/>
      </c>
      <c r="BB310" s="4">
        <f>IF(M310="","",--(M310=1))</f>
        <v/>
      </c>
      <c r="BC310" s="4">
        <f>IF(OR($B310="",N310=""),"",--(N310=$B310))</f>
        <v/>
      </c>
      <c r="BD310" s="4">
        <f>IF(OR($B310="",N310=""),"",IF($B310=1,--(N310=1),""))</f>
        <v/>
      </c>
      <c r="BE310" s="4">
        <f>IF(OR($B310="",N310=""),"",IF($B310=0,--(N310=0),""))</f>
        <v/>
      </c>
      <c r="BF310" s="4">
        <f>IF(N310="","",--(N310=1))</f>
        <v/>
      </c>
    </row>
    <row r="311">
      <c r="A311" s="3" t="inlineStr">
        <is>
          <t>202146829</t>
        </is>
      </c>
      <c r="B311" s="3" t="inlineStr">
        <is>
          <t>1</t>
        </is>
      </c>
      <c r="C311" s="3" t="inlineStr">
        <is>
          <t>Direct</t>
        </is>
      </c>
      <c r="D311" s="3" t="inlineStr">
        <is>
          <t>1</t>
        </is>
      </c>
      <c r="E311" s="3" t="inlineStr">
        <is>
          <t>1</t>
        </is>
      </c>
      <c r="F311" s="3" t="inlineStr">
        <is>
          <t>1</t>
        </is>
      </c>
      <c r="G311" s="3" t="inlineStr">
        <is>
          <t>1</t>
        </is>
      </c>
      <c r="H311" s="3" t="inlineStr">
        <is>
          <t>1</t>
        </is>
      </c>
      <c r="I311" s="3" t="inlineStr">
        <is>
          <t>1</t>
        </is>
      </c>
      <c r="J311" s="3" t="inlineStr">
        <is>
          <t>1</t>
        </is>
      </c>
      <c r="K311" s="3" t="inlineStr">
        <is>
          <t>1</t>
        </is>
      </c>
      <c r="L311" s="3" t="inlineStr">
        <is>
          <t>1</t>
        </is>
      </c>
      <c r="M311" s="3" t="inlineStr">
        <is>
          <t>1</t>
        </is>
      </c>
      <c r="N311" s="3" t="inlineStr">
        <is>
          <t>1</t>
        </is>
      </c>
      <c r="O311" s="4">
        <f>IF(OR($B311="",D311=""),"",--(D311=$B311))</f>
        <v/>
      </c>
      <c r="P311" s="4">
        <f>IF(OR($B311="",D311=""),"",IF($B311=1,--(D311=1),""))</f>
        <v/>
      </c>
      <c r="Q311" s="4">
        <f>IF(OR($B311="",D311=""),"",IF($B311=0,--(D311=0),""))</f>
        <v/>
      </c>
      <c r="R311" s="4">
        <f>IF(D311="","",--(D311=1))</f>
        <v/>
      </c>
      <c r="S311" s="4">
        <f>IF(OR($B311="",E311=""),"",--(E311=$B311))</f>
        <v/>
      </c>
      <c r="T311" s="4">
        <f>IF(OR($B311="",E311=""),"",IF($B311=1,--(E311=1),""))</f>
        <v/>
      </c>
      <c r="U311" s="4">
        <f>IF(OR($B311="",E311=""),"",IF($B311=0,--(E311=0),""))</f>
        <v/>
      </c>
      <c r="V311" s="4">
        <f>IF(E311="","",--(E311=1))</f>
        <v/>
      </c>
      <c r="W311" s="4">
        <f>IF(OR($B311="",F311=""),"",--(F311=$B311))</f>
        <v/>
      </c>
      <c r="X311" s="4">
        <f>IF(OR($B311="",F311=""),"",IF($B311=1,--(F311=1),""))</f>
        <v/>
      </c>
      <c r="Y311" s="4">
        <f>IF(OR($B311="",F311=""),"",IF($B311=0,--(F311=0),""))</f>
        <v/>
      </c>
      <c r="Z311" s="4">
        <f>IF(F311="","",--(F311=1))</f>
        <v/>
      </c>
      <c r="AA311" s="4">
        <f>IF(OR($B311="",G311=""),"",--(G311=$B311))</f>
        <v/>
      </c>
      <c r="AB311" s="4">
        <f>IF(OR($B311="",G311=""),"",IF($B311=1,--(G311=1),""))</f>
        <v/>
      </c>
      <c r="AC311" s="4">
        <f>IF(OR($B311="",G311=""),"",IF($B311=0,--(G311=0),""))</f>
        <v/>
      </c>
      <c r="AD311" s="4">
        <f>IF(G311="","",--(G311=1))</f>
        <v/>
      </c>
      <c r="AE311" s="4">
        <f>IF(OR($B311="",H311=""),"",--(H311=$B311))</f>
        <v/>
      </c>
      <c r="AF311" s="4">
        <f>IF(OR($B311="",H311=""),"",IF($B311=1,--(H311=1),""))</f>
        <v/>
      </c>
      <c r="AG311" s="4">
        <f>IF(OR($B311="",H311=""),"",IF($B311=0,--(H311=0),""))</f>
        <v/>
      </c>
      <c r="AH311" s="4">
        <f>IF(H311="","",--(H311=1))</f>
        <v/>
      </c>
      <c r="AI311" s="4">
        <f>IF(OR($B311="",I311=""),"",--(I311=$B311))</f>
        <v/>
      </c>
      <c r="AJ311" s="4">
        <f>IF(OR($B311="",I311=""),"",IF($B311=1,--(I311=1),""))</f>
        <v/>
      </c>
      <c r="AK311" s="4">
        <f>IF(OR($B311="",I311=""),"",IF($B311=0,--(I311=0),""))</f>
        <v/>
      </c>
      <c r="AL311" s="4">
        <f>IF(I311="","",--(I311=1))</f>
        <v/>
      </c>
      <c r="AM311" s="4">
        <f>IF(OR($B311="",J311=""),"",--(J311=$B311))</f>
        <v/>
      </c>
      <c r="AN311" s="4">
        <f>IF(OR($B311="",J311=""),"",IF($B311=1,--(J311=1),""))</f>
        <v/>
      </c>
      <c r="AO311" s="4">
        <f>IF(OR($B311="",J311=""),"",IF($B311=0,--(J311=0),""))</f>
        <v/>
      </c>
      <c r="AP311" s="4">
        <f>IF(J311="","",--(J311=1))</f>
        <v/>
      </c>
      <c r="AQ311" s="4">
        <f>IF(OR($B311="",K311=""),"",--(K311=$B311))</f>
        <v/>
      </c>
      <c r="AR311" s="4">
        <f>IF(OR($B311="",K311=""),"",IF($B311=1,--(K311=1),""))</f>
        <v/>
      </c>
      <c r="AS311" s="4">
        <f>IF(OR($B311="",K311=""),"",IF($B311=0,--(K311=0),""))</f>
        <v/>
      </c>
      <c r="AT311" s="4">
        <f>IF(K311="","",--(K311=1))</f>
        <v/>
      </c>
      <c r="AU311" s="4">
        <f>IF(OR($B311="",L311=""),"",--(L311=$B311))</f>
        <v/>
      </c>
      <c r="AV311" s="4">
        <f>IF(OR($B311="",L311=""),"",IF($B311=1,--(L311=1),""))</f>
        <v/>
      </c>
      <c r="AW311" s="4">
        <f>IF(OR($B311="",L311=""),"",IF($B311=0,--(L311=0),""))</f>
        <v/>
      </c>
      <c r="AX311" s="4">
        <f>IF(L311="","",--(L311=1))</f>
        <v/>
      </c>
      <c r="AY311" s="4">
        <f>IF(OR($B311="",M311=""),"",--(M311=$B311))</f>
        <v/>
      </c>
      <c r="AZ311" s="4">
        <f>IF(OR($B311="",M311=""),"",IF($B311=1,--(M311=1),""))</f>
        <v/>
      </c>
      <c r="BA311" s="4">
        <f>IF(OR($B311="",M311=""),"",IF($B311=0,--(M311=0),""))</f>
        <v/>
      </c>
      <c r="BB311" s="4">
        <f>IF(M311="","",--(M311=1))</f>
        <v/>
      </c>
      <c r="BC311" s="4">
        <f>IF(OR($B311="",N311=""),"",--(N311=$B311))</f>
        <v/>
      </c>
      <c r="BD311" s="4">
        <f>IF(OR($B311="",N311=""),"",IF($B311=1,--(N311=1),""))</f>
        <v/>
      </c>
      <c r="BE311" s="4">
        <f>IF(OR($B311="",N311=""),"",IF($B311=0,--(N311=0),""))</f>
        <v/>
      </c>
      <c r="BF311" s="4">
        <f>IF(N311="","",--(N311=1))</f>
        <v/>
      </c>
    </row>
    <row r="312">
      <c r="A312" s="3" t="inlineStr">
        <is>
          <t>20214722</t>
        </is>
      </c>
      <c r="B312" s="3" t="inlineStr">
        <is>
          <t>0</t>
        </is>
      </c>
      <c r="C312" s="3" t="inlineStr">
        <is>
          <t>Direct</t>
        </is>
      </c>
      <c r="D312" s="3" t="inlineStr">
        <is>
          <t>1</t>
        </is>
      </c>
      <c r="E312" s="3" t="inlineStr">
        <is>
          <t>0</t>
        </is>
      </c>
      <c r="F312" s="3" t="inlineStr">
        <is>
          <t>0</t>
        </is>
      </c>
      <c r="G312" s="3" t="inlineStr">
        <is>
          <t>0</t>
        </is>
      </c>
      <c r="H312" s="3" t="inlineStr">
        <is>
          <t>0</t>
        </is>
      </c>
      <c r="I312" s="3" t="inlineStr">
        <is>
          <t>1</t>
        </is>
      </c>
      <c r="J312" s="3" t="inlineStr">
        <is>
          <t>1</t>
        </is>
      </c>
      <c r="K312" s="3" t="inlineStr">
        <is>
          <t>1</t>
        </is>
      </c>
      <c r="L312" s="3" t="inlineStr">
        <is>
          <t>1</t>
        </is>
      </c>
      <c r="M312" s="3" t="inlineStr">
        <is>
          <t>1</t>
        </is>
      </c>
      <c r="N312" s="3" t="inlineStr">
        <is>
          <t>1</t>
        </is>
      </c>
      <c r="O312" s="4">
        <f>IF(OR($B312="",D312=""),"",--(D312=$B312))</f>
        <v/>
      </c>
      <c r="P312" s="4">
        <f>IF(OR($B312="",D312=""),"",IF($B312=1,--(D312=1),""))</f>
        <v/>
      </c>
      <c r="Q312" s="4">
        <f>IF(OR($B312="",D312=""),"",IF($B312=0,--(D312=0),""))</f>
        <v/>
      </c>
      <c r="R312" s="4">
        <f>IF(D312="","",--(D312=1))</f>
        <v/>
      </c>
      <c r="S312" s="4">
        <f>IF(OR($B312="",E312=""),"",--(E312=$B312))</f>
        <v/>
      </c>
      <c r="T312" s="4">
        <f>IF(OR($B312="",E312=""),"",IF($B312=1,--(E312=1),""))</f>
        <v/>
      </c>
      <c r="U312" s="4">
        <f>IF(OR($B312="",E312=""),"",IF($B312=0,--(E312=0),""))</f>
        <v/>
      </c>
      <c r="V312" s="4">
        <f>IF(E312="","",--(E312=1))</f>
        <v/>
      </c>
      <c r="W312" s="4">
        <f>IF(OR($B312="",F312=""),"",--(F312=$B312))</f>
        <v/>
      </c>
      <c r="X312" s="4">
        <f>IF(OR($B312="",F312=""),"",IF($B312=1,--(F312=1),""))</f>
        <v/>
      </c>
      <c r="Y312" s="4">
        <f>IF(OR($B312="",F312=""),"",IF($B312=0,--(F312=0),""))</f>
        <v/>
      </c>
      <c r="Z312" s="4">
        <f>IF(F312="","",--(F312=1))</f>
        <v/>
      </c>
      <c r="AA312" s="4">
        <f>IF(OR($B312="",G312=""),"",--(G312=$B312))</f>
        <v/>
      </c>
      <c r="AB312" s="4">
        <f>IF(OR($B312="",G312=""),"",IF($B312=1,--(G312=1),""))</f>
        <v/>
      </c>
      <c r="AC312" s="4">
        <f>IF(OR($B312="",G312=""),"",IF($B312=0,--(G312=0),""))</f>
        <v/>
      </c>
      <c r="AD312" s="4">
        <f>IF(G312="","",--(G312=1))</f>
        <v/>
      </c>
      <c r="AE312" s="4">
        <f>IF(OR($B312="",H312=""),"",--(H312=$B312))</f>
        <v/>
      </c>
      <c r="AF312" s="4">
        <f>IF(OR($B312="",H312=""),"",IF($B312=1,--(H312=1),""))</f>
        <v/>
      </c>
      <c r="AG312" s="4">
        <f>IF(OR($B312="",H312=""),"",IF($B312=0,--(H312=0),""))</f>
        <v/>
      </c>
      <c r="AH312" s="4">
        <f>IF(H312="","",--(H312=1))</f>
        <v/>
      </c>
      <c r="AI312" s="4">
        <f>IF(OR($B312="",I312=""),"",--(I312=$B312))</f>
        <v/>
      </c>
      <c r="AJ312" s="4">
        <f>IF(OR($B312="",I312=""),"",IF($B312=1,--(I312=1),""))</f>
        <v/>
      </c>
      <c r="AK312" s="4">
        <f>IF(OR($B312="",I312=""),"",IF($B312=0,--(I312=0),""))</f>
        <v/>
      </c>
      <c r="AL312" s="4">
        <f>IF(I312="","",--(I312=1))</f>
        <v/>
      </c>
      <c r="AM312" s="4">
        <f>IF(OR($B312="",J312=""),"",--(J312=$B312))</f>
        <v/>
      </c>
      <c r="AN312" s="4">
        <f>IF(OR($B312="",J312=""),"",IF($B312=1,--(J312=1),""))</f>
        <v/>
      </c>
      <c r="AO312" s="4">
        <f>IF(OR($B312="",J312=""),"",IF($B312=0,--(J312=0),""))</f>
        <v/>
      </c>
      <c r="AP312" s="4">
        <f>IF(J312="","",--(J312=1))</f>
        <v/>
      </c>
      <c r="AQ312" s="4">
        <f>IF(OR($B312="",K312=""),"",--(K312=$B312))</f>
        <v/>
      </c>
      <c r="AR312" s="4">
        <f>IF(OR($B312="",K312=""),"",IF($B312=1,--(K312=1),""))</f>
        <v/>
      </c>
      <c r="AS312" s="4">
        <f>IF(OR($B312="",K312=""),"",IF($B312=0,--(K312=0),""))</f>
        <v/>
      </c>
      <c r="AT312" s="4">
        <f>IF(K312="","",--(K312=1))</f>
        <v/>
      </c>
      <c r="AU312" s="4">
        <f>IF(OR($B312="",L312=""),"",--(L312=$B312))</f>
        <v/>
      </c>
      <c r="AV312" s="4">
        <f>IF(OR($B312="",L312=""),"",IF($B312=1,--(L312=1),""))</f>
        <v/>
      </c>
      <c r="AW312" s="4">
        <f>IF(OR($B312="",L312=""),"",IF($B312=0,--(L312=0),""))</f>
        <v/>
      </c>
      <c r="AX312" s="4">
        <f>IF(L312="","",--(L312=1))</f>
        <v/>
      </c>
      <c r="AY312" s="4">
        <f>IF(OR($B312="",M312=""),"",--(M312=$B312))</f>
        <v/>
      </c>
      <c r="AZ312" s="4">
        <f>IF(OR($B312="",M312=""),"",IF($B312=1,--(M312=1),""))</f>
        <v/>
      </c>
      <c r="BA312" s="4">
        <f>IF(OR($B312="",M312=""),"",IF($B312=0,--(M312=0),""))</f>
        <v/>
      </c>
      <c r="BB312" s="4">
        <f>IF(M312="","",--(M312=1))</f>
        <v/>
      </c>
      <c r="BC312" s="4">
        <f>IF(OR($B312="",N312=""),"",--(N312=$B312))</f>
        <v/>
      </c>
      <c r="BD312" s="4">
        <f>IF(OR($B312="",N312=""),"",IF($B312=1,--(N312=1),""))</f>
        <v/>
      </c>
      <c r="BE312" s="4">
        <f>IF(OR($B312="",N312=""),"",IF($B312=0,--(N312=0),""))</f>
        <v/>
      </c>
      <c r="BF312" s="4">
        <f>IF(N312="","",--(N312=1))</f>
        <v/>
      </c>
    </row>
    <row r="313">
      <c r="A313" s="3" t="inlineStr">
        <is>
          <t>202147519</t>
        </is>
      </c>
      <c r="B313" s="3" t="inlineStr">
        <is>
          <t>1</t>
        </is>
      </c>
      <c r="C313" s="3" t="inlineStr">
        <is>
          <t>Direct</t>
        </is>
      </c>
      <c r="D313" s="3" t="inlineStr">
        <is>
          <t>1</t>
        </is>
      </c>
      <c r="E313" s="3" t="inlineStr">
        <is>
          <t>1</t>
        </is>
      </c>
      <c r="F313" s="3" t="inlineStr">
        <is>
          <t>0</t>
        </is>
      </c>
      <c r="G313" s="3" t="inlineStr">
        <is>
          <t>1</t>
        </is>
      </c>
      <c r="H313" s="3" t="inlineStr">
        <is>
          <t>1</t>
        </is>
      </c>
      <c r="I313" s="3" t="inlineStr">
        <is>
          <t>1</t>
        </is>
      </c>
      <c r="J313" s="3" t="inlineStr">
        <is>
          <t>1</t>
        </is>
      </c>
      <c r="K313" s="3" t="inlineStr">
        <is>
          <t>1</t>
        </is>
      </c>
      <c r="L313" s="3" t="inlineStr">
        <is>
          <t>0</t>
        </is>
      </c>
      <c r="M313" s="3" t="inlineStr">
        <is>
          <t>1</t>
        </is>
      </c>
      <c r="N313" s="3" t="inlineStr">
        <is>
          <t>1</t>
        </is>
      </c>
      <c r="O313" s="4">
        <f>IF(OR($B313="",D313=""),"",--(D313=$B313))</f>
        <v/>
      </c>
      <c r="P313" s="4">
        <f>IF(OR($B313="",D313=""),"",IF($B313=1,--(D313=1),""))</f>
        <v/>
      </c>
      <c r="Q313" s="4">
        <f>IF(OR($B313="",D313=""),"",IF($B313=0,--(D313=0),""))</f>
        <v/>
      </c>
      <c r="R313" s="4">
        <f>IF(D313="","",--(D313=1))</f>
        <v/>
      </c>
      <c r="S313" s="4">
        <f>IF(OR($B313="",E313=""),"",--(E313=$B313))</f>
        <v/>
      </c>
      <c r="T313" s="4">
        <f>IF(OR($B313="",E313=""),"",IF($B313=1,--(E313=1),""))</f>
        <v/>
      </c>
      <c r="U313" s="4">
        <f>IF(OR($B313="",E313=""),"",IF($B313=0,--(E313=0),""))</f>
        <v/>
      </c>
      <c r="V313" s="4">
        <f>IF(E313="","",--(E313=1))</f>
        <v/>
      </c>
      <c r="W313" s="4">
        <f>IF(OR($B313="",F313=""),"",--(F313=$B313))</f>
        <v/>
      </c>
      <c r="X313" s="4">
        <f>IF(OR($B313="",F313=""),"",IF($B313=1,--(F313=1),""))</f>
        <v/>
      </c>
      <c r="Y313" s="4">
        <f>IF(OR($B313="",F313=""),"",IF($B313=0,--(F313=0),""))</f>
        <v/>
      </c>
      <c r="Z313" s="4">
        <f>IF(F313="","",--(F313=1))</f>
        <v/>
      </c>
      <c r="AA313" s="4">
        <f>IF(OR($B313="",G313=""),"",--(G313=$B313))</f>
        <v/>
      </c>
      <c r="AB313" s="4">
        <f>IF(OR($B313="",G313=""),"",IF($B313=1,--(G313=1),""))</f>
        <v/>
      </c>
      <c r="AC313" s="4">
        <f>IF(OR($B313="",G313=""),"",IF($B313=0,--(G313=0),""))</f>
        <v/>
      </c>
      <c r="AD313" s="4">
        <f>IF(G313="","",--(G313=1))</f>
        <v/>
      </c>
      <c r="AE313" s="4">
        <f>IF(OR($B313="",H313=""),"",--(H313=$B313))</f>
        <v/>
      </c>
      <c r="AF313" s="4">
        <f>IF(OR($B313="",H313=""),"",IF($B313=1,--(H313=1),""))</f>
        <v/>
      </c>
      <c r="AG313" s="4">
        <f>IF(OR($B313="",H313=""),"",IF($B313=0,--(H313=0),""))</f>
        <v/>
      </c>
      <c r="AH313" s="4">
        <f>IF(H313="","",--(H313=1))</f>
        <v/>
      </c>
      <c r="AI313" s="4">
        <f>IF(OR($B313="",I313=""),"",--(I313=$B313))</f>
        <v/>
      </c>
      <c r="AJ313" s="4">
        <f>IF(OR($B313="",I313=""),"",IF($B313=1,--(I313=1),""))</f>
        <v/>
      </c>
      <c r="AK313" s="4">
        <f>IF(OR($B313="",I313=""),"",IF($B313=0,--(I313=0),""))</f>
        <v/>
      </c>
      <c r="AL313" s="4">
        <f>IF(I313="","",--(I313=1))</f>
        <v/>
      </c>
      <c r="AM313" s="4">
        <f>IF(OR($B313="",J313=""),"",--(J313=$B313))</f>
        <v/>
      </c>
      <c r="AN313" s="4">
        <f>IF(OR($B313="",J313=""),"",IF($B313=1,--(J313=1),""))</f>
        <v/>
      </c>
      <c r="AO313" s="4">
        <f>IF(OR($B313="",J313=""),"",IF($B313=0,--(J313=0),""))</f>
        <v/>
      </c>
      <c r="AP313" s="4">
        <f>IF(J313="","",--(J313=1))</f>
        <v/>
      </c>
      <c r="AQ313" s="4">
        <f>IF(OR($B313="",K313=""),"",--(K313=$B313))</f>
        <v/>
      </c>
      <c r="AR313" s="4">
        <f>IF(OR($B313="",K313=""),"",IF($B313=1,--(K313=1),""))</f>
        <v/>
      </c>
      <c r="AS313" s="4">
        <f>IF(OR($B313="",K313=""),"",IF($B313=0,--(K313=0),""))</f>
        <v/>
      </c>
      <c r="AT313" s="4">
        <f>IF(K313="","",--(K313=1))</f>
        <v/>
      </c>
      <c r="AU313" s="4">
        <f>IF(OR($B313="",L313=""),"",--(L313=$B313))</f>
        <v/>
      </c>
      <c r="AV313" s="4">
        <f>IF(OR($B313="",L313=""),"",IF($B313=1,--(L313=1),""))</f>
        <v/>
      </c>
      <c r="AW313" s="4">
        <f>IF(OR($B313="",L313=""),"",IF($B313=0,--(L313=0),""))</f>
        <v/>
      </c>
      <c r="AX313" s="4">
        <f>IF(L313="","",--(L313=1))</f>
        <v/>
      </c>
      <c r="AY313" s="4">
        <f>IF(OR($B313="",M313=""),"",--(M313=$B313))</f>
        <v/>
      </c>
      <c r="AZ313" s="4">
        <f>IF(OR($B313="",M313=""),"",IF($B313=1,--(M313=1),""))</f>
        <v/>
      </c>
      <c r="BA313" s="4">
        <f>IF(OR($B313="",M313=""),"",IF($B313=0,--(M313=0),""))</f>
        <v/>
      </c>
      <c r="BB313" s="4">
        <f>IF(M313="","",--(M313=1))</f>
        <v/>
      </c>
      <c r="BC313" s="4">
        <f>IF(OR($B313="",N313=""),"",--(N313=$B313))</f>
        <v/>
      </c>
      <c r="BD313" s="4">
        <f>IF(OR($B313="",N313=""),"",IF($B313=1,--(N313=1),""))</f>
        <v/>
      </c>
      <c r="BE313" s="4">
        <f>IF(OR($B313="",N313=""),"",IF($B313=0,--(N313=0),""))</f>
        <v/>
      </c>
      <c r="BF313" s="4">
        <f>IF(N313="","",--(N313=1))</f>
        <v/>
      </c>
    </row>
    <row r="314">
      <c r="A314" s="3" t="inlineStr">
        <is>
          <t>202147810</t>
        </is>
      </c>
      <c r="B314" s="3" t="inlineStr">
        <is>
          <t>0</t>
        </is>
      </c>
      <c r="C314" s="3" t="inlineStr">
        <is>
          <t>Direct</t>
        </is>
      </c>
      <c r="D314" s="3" t="inlineStr">
        <is>
          <t>1</t>
        </is>
      </c>
      <c r="E314" s="3" t="inlineStr">
        <is>
          <t>0</t>
        </is>
      </c>
      <c r="F314" s="3" t="inlineStr">
        <is>
          <t>0</t>
        </is>
      </c>
      <c r="G314" s="3" t="inlineStr">
        <is>
          <t>0</t>
        </is>
      </c>
      <c r="H314" s="3" t="inlineStr">
        <is>
          <t>1</t>
        </is>
      </c>
      <c r="I314" s="3" t="inlineStr">
        <is>
          <t>1</t>
        </is>
      </c>
      <c r="J314" s="3" t="inlineStr">
        <is>
          <t>1</t>
        </is>
      </c>
      <c r="K314" s="3" t="inlineStr">
        <is>
          <t>1</t>
        </is>
      </c>
      <c r="L314" s="3" t="inlineStr">
        <is>
          <t>1</t>
        </is>
      </c>
      <c r="M314" s="3" t="inlineStr">
        <is>
          <t>1</t>
        </is>
      </c>
      <c r="N314" s="3" t="inlineStr">
        <is>
          <t>1</t>
        </is>
      </c>
      <c r="O314" s="4">
        <f>IF(OR($B314="",D314=""),"",--(D314=$B314))</f>
        <v/>
      </c>
      <c r="P314" s="4">
        <f>IF(OR($B314="",D314=""),"",IF($B314=1,--(D314=1),""))</f>
        <v/>
      </c>
      <c r="Q314" s="4">
        <f>IF(OR($B314="",D314=""),"",IF($B314=0,--(D314=0),""))</f>
        <v/>
      </c>
      <c r="R314" s="4">
        <f>IF(D314="","",--(D314=1))</f>
        <v/>
      </c>
      <c r="S314" s="4">
        <f>IF(OR($B314="",E314=""),"",--(E314=$B314))</f>
        <v/>
      </c>
      <c r="T314" s="4">
        <f>IF(OR($B314="",E314=""),"",IF($B314=1,--(E314=1),""))</f>
        <v/>
      </c>
      <c r="U314" s="4">
        <f>IF(OR($B314="",E314=""),"",IF($B314=0,--(E314=0),""))</f>
        <v/>
      </c>
      <c r="V314" s="4">
        <f>IF(E314="","",--(E314=1))</f>
        <v/>
      </c>
      <c r="W314" s="4">
        <f>IF(OR($B314="",F314=""),"",--(F314=$B314))</f>
        <v/>
      </c>
      <c r="X314" s="4">
        <f>IF(OR($B314="",F314=""),"",IF($B314=1,--(F314=1),""))</f>
        <v/>
      </c>
      <c r="Y314" s="4">
        <f>IF(OR($B314="",F314=""),"",IF($B314=0,--(F314=0),""))</f>
        <v/>
      </c>
      <c r="Z314" s="4">
        <f>IF(F314="","",--(F314=1))</f>
        <v/>
      </c>
      <c r="AA314" s="4">
        <f>IF(OR($B314="",G314=""),"",--(G314=$B314))</f>
        <v/>
      </c>
      <c r="AB314" s="4">
        <f>IF(OR($B314="",G314=""),"",IF($B314=1,--(G314=1),""))</f>
        <v/>
      </c>
      <c r="AC314" s="4">
        <f>IF(OR($B314="",G314=""),"",IF($B314=0,--(G314=0),""))</f>
        <v/>
      </c>
      <c r="AD314" s="4">
        <f>IF(G314="","",--(G314=1))</f>
        <v/>
      </c>
      <c r="AE314" s="4">
        <f>IF(OR($B314="",H314=""),"",--(H314=$B314))</f>
        <v/>
      </c>
      <c r="AF314" s="4">
        <f>IF(OR($B314="",H314=""),"",IF($B314=1,--(H314=1),""))</f>
        <v/>
      </c>
      <c r="AG314" s="4">
        <f>IF(OR($B314="",H314=""),"",IF($B314=0,--(H314=0),""))</f>
        <v/>
      </c>
      <c r="AH314" s="4">
        <f>IF(H314="","",--(H314=1))</f>
        <v/>
      </c>
      <c r="AI314" s="4">
        <f>IF(OR($B314="",I314=""),"",--(I314=$B314))</f>
        <v/>
      </c>
      <c r="AJ314" s="4">
        <f>IF(OR($B314="",I314=""),"",IF($B314=1,--(I314=1),""))</f>
        <v/>
      </c>
      <c r="AK314" s="4">
        <f>IF(OR($B314="",I314=""),"",IF($B314=0,--(I314=0),""))</f>
        <v/>
      </c>
      <c r="AL314" s="4">
        <f>IF(I314="","",--(I314=1))</f>
        <v/>
      </c>
      <c r="AM314" s="4">
        <f>IF(OR($B314="",J314=""),"",--(J314=$B314))</f>
        <v/>
      </c>
      <c r="AN314" s="4">
        <f>IF(OR($B314="",J314=""),"",IF($B314=1,--(J314=1),""))</f>
        <v/>
      </c>
      <c r="AO314" s="4">
        <f>IF(OR($B314="",J314=""),"",IF($B314=0,--(J314=0),""))</f>
        <v/>
      </c>
      <c r="AP314" s="4">
        <f>IF(J314="","",--(J314=1))</f>
        <v/>
      </c>
      <c r="AQ314" s="4">
        <f>IF(OR($B314="",K314=""),"",--(K314=$B314))</f>
        <v/>
      </c>
      <c r="AR314" s="4">
        <f>IF(OR($B314="",K314=""),"",IF($B314=1,--(K314=1),""))</f>
        <v/>
      </c>
      <c r="AS314" s="4">
        <f>IF(OR($B314="",K314=""),"",IF($B314=0,--(K314=0),""))</f>
        <v/>
      </c>
      <c r="AT314" s="4">
        <f>IF(K314="","",--(K314=1))</f>
        <v/>
      </c>
      <c r="AU314" s="4">
        <f>IF(OR($B314="",L314=""),"",--(L314=$B314))</f>
        <v/>
      </c>
      <c r="AV314" s="4">
        <f>IF(OR($B314="",L314=""),"",IF($B314=1,--(L314=1),""))</f>
        <v/>
      </c>
      <c r="AW314" s="4">
        <f>IF(OR($B314="",L314=""),"",IF($B314=0,--(L314=0),""))</f>
        <v/>
      </c>
      <c r="AX314" s="4">
        <f>IF(L314="","",--(L314=1))</f>
        <v/>
      </c>
      <c r="AY314" s="4">
        <f>IF(OR($B314="",M314=""),"",--(M314=$B314))</f>
        <v/>
      </c>
      <c r="AZ314" s="4">
        <f>IF(OR($B314="",M314=""),"",IF($B314=1,--(M314=1),""))</f>
        <v/>
      </c>
      <c r="BA314" s="4">
        <f>IF(OR($B314="",M314=""),"",IF($B314=0,--(M314=0),""))</f>
        <v/>
      </c>
      <c r="BB314" s="4">
        <f>IF(M314="","",--(M314=1))</f>
        <v/>
      </c>
      <c r="BC314" s="4">
        <f>IF(OR($B314="",N314=""),"",--(N314=$B314))</f>
        <v/>
      </c>
      <c r="BD314" s="4">
        <f>IF(OR($B314="",N314=""),"",IF($B314=1,--(N314=1),""))</f>
        <v/>
      </c>
      <c r="BE314" s="4">
        <f>IF(OR($B314="",N314=""),"",IF($B314=0,--(N314=0),""))</f>
        <v/>
      </c>
      <c r="BF314" s="4">
        <f>IF(N314="","",--(N314=1))</f>
        <v/>
      </c>
    </row>
    <row r="315">
      <c r="A315" s="3" t="inlineStr">
        <is>
          <t>202148485</t>
        </is>
      </c>
      <c r="B315" s="3" t="inlineStr">
        <is>
          <t>0</t>
        </is>
      </c>
      <c r="C315" s="3" t="inlineStr">
        <is>
          <t>Direct</t>
        </is>
      </c>
      <c r="D315" s="3" t="inlineStr">
        <is>
          <t>0</t>
        </is>
      </c>
      <c r="E315" s="3" t="inlineStr">
        <is>
          <t>0</t>
        </is>
      </c>
      <c r="F315" s="3" t="inlineStr">
        <is>
          <t>0</t>
        </is>
      </c>
      <c r="G315" s="3" t="inlineStr">
        <is>
          <t>0</t>
        </is>
      </c>
      <c r="H315" s="3" t="inlineStr">
        <is>
          <t>0</t>
        </is>
      </c>
      <c r="I315" s="3" t="inlineStr">
        <is>
          <t>1</t>
        </is>
      </c>
      <c r="J315" s="3" t="inlineStr">
        <is>
          <t>1</t>
        </is>
      </c>
      <c r="K315" s="3" t="inlineStr">
        <is>
          <t>1</t>
        </is>
      </c>
      <c r="L315" s="3" t="inlineStr">
        <is>
          <t>1</t>
        </is>
      </c>
      <c r="M315" s="3" t="inlineStr">
        <is>
          <t>1</t>
        </is>
      </c>
      <c r="N315" s="3" t="inlineStr">
        <is>
          <t>1</t>
        </is>
      </c>
      <c r="O315" s="4">
        <f>IF(OR($B315="",D315=""),"",--(D315=$B315))</f>
        <v/>
      </c>
      <c r="P315" s="4">
        <f>IF(OR($B315="",D315=""),"",IF($B315=1,--(D315=1),""))</f>
        <v/>
      </c>
      <c r="Q315" s="4">
        <f>IF(OR($B315="",D315=""),"",IF($B315=0,--(D315=0),""))</f>
        <v/>
      </c>
      <c r="R315" s="4">
        <f>IF(D315="","",--(D315=1))</f>
        <v/>
      </c>
      <c r="S315" s="4">
        <f>IF(OR($B315="",E315=""),"",--(E315=$B315))</f>
        <v/>
      </c>
      <c r="T315" s="4">
        <f>IF(OR($B315="",E315=""),"",IF($B315=1,--(E315=1),""))</f>
        <v/>
      </c>
      <c r="U315" s="4">
        <f>IF(OR($B315="",E315=""),"",IF($B315=0,--(E315=0),""))</f>
        <v/>
      </c>
      <c r="V315" s="4">
        <f>IF(E315="","",--(E315=1))</f>
        <v/>
      </c>
      <c r="W315" s="4">
        <f>IF(OR($B315="",F315=""),"",--(F315=$B315))</f>
        <v/>
      </c>
      <c r="X315" s="4">
        <f>IF(OR($B315="",F315=""),"",IF($B315=1,--(F315=1),""))</f>
        <v/>
      </c>
      <c r="Y315" s="4">
        <f>IF(OR($B315="",F315=""),"",IF($B315=0,--(F315=0),""))</f>
        <v/>
      </c>
      <c r="Z315" s="4">
        <f>IF(F315="","",--(F315=1))</f>
        <v/>
      </c>
      <c r="AA315" s="4">
        <f>IF(OR($B315="",G315=""),"",--(G315=$B315))</f>
        <v/>
      </c>
      <c r="AB315" s="4">
        <f>IF(OR($B315="",G315=""),"",IF($B315=1,--(G315=1),""))</f>
        <v/>
      </c>
      <c r="AC315" s="4">
        <f>IF(OR($B315="",G315=""),"",IF($B315=0,--(G315=0),""))</f>
        <v/>
      </c>
      <c r="AD315" s="4">
        <f>IF(G315="","",--(G315=1))</f>
        <v/>
      </c>
      <c r="AE315" s="4">
        <f>IF(OR($B315="",H315=""),"",--(H315=$B315))</f>
        <v/>
      </c>
      <c r="AF315" s="4">
        <f>IF(OR($B315="",H315=""),"",IF($B315=1,--(H315=1),""))</f>
        <v/>
      </c>
      <c r="AG315" s="4">
        <f>IF(OR($B315="",H315=""),"",IF($B315=0,--(H315=0),""))</f>
        <v/>
      </c>
      <c r="AH315" s="4">
        <f>IF(H315="","",--(H315=1))</f>
        <v/>
      </c>
      <c r="AI315" s="4">
        <f>IF(OR($B315="",I315=""),"",--(I315=$B315))</f>
        <v/>
      </c>
      <c r="AJ315" s="4">
        <f>IF(OR($B315="",I315=""),"",IF($B315=1,--(I315=1),""))</f>
        <v/>
      </c>
      <c r="AK315" s="4">
        <f>IF(OR($B315="",I315=""),"",IF($B315=0,--(I315=0),""))</f>
        <v/>
      </c>
      <c r="AL315" s="4">
        <f>IF(I315="","",--(I315=1))</f>
        <v/>
      </c>
      <c r="AM315" s="4">
        <f>IF(OR($B315="",J315=""),"",--(J315=$B315))</f>
        <v/>
      </c>
      <c r="AN315" s="4">
        <f>IF(OR($B315="",J315=""),"",IF($B315=1,--(J315=1),""))</f>
        <v/>
      </c>
      <c r="AO315" s="4">
        <f>IF(OR($B315="",J315=""),"",IF($B315=0,--(J315=0),""))</f>
        <v/>
      </c>
      <c r="AP315" s="4">
        <f>IF(J315="","",--(J315=1))</f>
        <v/>
      </c>
      <c r="AQ315" s="4">
        <f>IF(OR($B315="",K315=""),"",--(K315=$B315))</f>
        <v/>
      </c>
      <c r="AR315" s="4">
        <f>IF(OR($B315="",K315=""),"",IF($B315=1,--(K315=1),""))</f>
        <v/>
      </c>
      <c r="AS315" s="4">
        <f>IF(OR($B315="",K315=""),"",IF($B315=0,--(K315=0),""))</f>
        <v/>
      </c>
      <c r="AT315" s="4">
        <f>IF(K315="","",--(K315=1))</f>
        <v/>
      </c>
      <c r="AU315" s="4">
        <f>IF(OR($B315="",L315=""),"",--(L315=$B315))</f>
        <v/>
      </c>
      <c r="AV315" s="4">
        <f>IF(OR($B315="",L315=""),"",IF($B315=1,--(L315=1),""))</f>
        <v/>
      </c>
      <c r="AW315" s="4">
        <f>IF(OR($B315="",L315=""),"",IF($B315=0,--(L315=0),""))</f>
        <v/>
      </c>
      <c r="AX315" s="4">
        <f>IF(L315="","",--(L315=1))</f>
        <v/>
      </c>
      <c r="AY315" s="4">
        <f>IF(OR($B315="",M315=""),"",--(M315=$B315))</f>
        <v/>
      </c>
      <c r="AZ315" s="4">
        <f>IF(OR($B315="",M315=""),"",IF($B315=1,--(M315=1),""))</f>
        <v/>
      </c>
      <c r="BA315" s="4">
        <f>IF(OR($B315="",M315=""),"",IF($B315=0,--(M315=0),""))</f>
        <v/>
      </c>
      <c r="BB315" s="4">
        <f>IF(M315="","",--(M315=1))</f>
        <v/>
      </c>
      <c r="BC315" s="4">
        <f>IF(OR($B315="",N315=""),"",--(N315=$B315))</f>
        <v/>
      </c>
      <c r="BD315" s="4">
        <f>IF(OR($B315="",N315=""),"",IF($B315=1,--(N315=1),""))</f>
        <v/>
      </c>
      <c r="BE315" s="4">
        <f>IF(OR($B315="",N315=""),"",IF($B315=0,--(N315=0),""))</f>
        <v/>
      </c>
      <c r="BF315" s="4">
        <f>IF(N315="","",--(N315=1))</f>
        <v/>
      </c>
    </row>
    <row r="316">
      <c r="A316" s="3" t="inlineStr">
        <is>
          <t>202148545</t>
        </is>
      </c>
      <c r="B316" s="3" t="inlineStr">
        <is>
          <t>1</t>
        </is>
      </c>
      <c r="C316" s="3" t="inlineStr">
        <is>
          <t>Direct</t>
        </is>
      </c>
      <c r="D316" s="3" t="inlineStr">
        <is>
          <t>1</t>
        </is>
      </c>
      <c r="E316" s="3" t="inlineStr">
        <is>
          <t>1</t>
        </is>
      </c>
      <c r="F316" s="3" t="inlineStr">
        <is>
          <t>1</t>
        </is>
      </c>
      <c r="G316" s="3" t="inlineStr">
        <is>
          <t>1</t>
        </is>
      </c>
      <c r="H316" s="3" t="inlineStr">
        <is>
          <t>1</t>
        </is>
      </c>
      <c r="I316" s="3" t="inlineStr">
        <is>
          <t>1</t>
        </is>
      </c>
      <c r="J316" s="3" t="inlineStr">
        <is>
          <t>1</t>
        </is>
      </c>
      <c r="K316" s="3" t="inlineStr">
        <is>
          <t>1</t>
        </is>
      </c>
      <c r="L316" s="3" t="inlineStr">
        <is>
          <t>1</t>
        </is>
      </c>
      <c r="M316" s="3" t="inlineStr">
        <is>
          <t>1</t>
        </is>
      </c>
      <c r="N316" s="3" t="inlineStr">
        <is>
          <t>1</t>
        </is>
      </c>
      <c r="O316" s="4">
        <f>IF(OR($B316="",D316=""),"",--(D316=$B316))</f>
        <v/>
      </c>
      <c r="P316" s="4">
        <f>IF(OR($B316="",D316=""),"",IF($B316=1,--(D316=1),""))</f>
        <v/>
      </c>
      <c r="Q316" s="4">
        <f>IF(OR($B316="",D316=""),"",IF($B316=0,--(D316=0),""))</f>
        <v/>
      </c>
      <c r="R316" s="4">
        <f>IF(D316="","",--(D316=1))</f>
        <v/>
      </c>
      <c r="S316" s="4">
        <f>IF(OR($B316="",E316=""),"",--(E316=$B316))</f>
        <v/>
      </c>
      <c r="T316" s="4">
        <f>IF(OR($B316="",E316=""),"",IF($B316=1,--(E316=1),""))</f>
        <v/>
      </c>
      <c r="U316" s="4">
        <f>IF(OR($B316="",E316=""),"",IF($B316=0,--(E316=0),""))</f>
        <v/>
      </c>
      <c r="V316" s="4">
        <f>IF(E316="","",--(E316=1))</f>
        <v/>
      </c>
      <c r="W316" s="4">
        <f>IF(OR($B316="",F316=""),"",--(F316=$B316))</f>
        <v/>
      </c>
      <c r="X316" s="4">
        <f>IF(OR($B316="",F316=""),"",IF($B316=1,--(F316=1),""))</f>
        <v/>
      </c>
      <c r="Y316" s="4">
        <f>IF(OR($B316="",F316=""),"",IF($B316=0,--(F316=0),""))</f>
        <v/>
      </c>
      <c r="Z316" s="4">
        <f>IF(F316="","",--(F316=1))</f>
        <v/>
      </c>
      <c r="AA316" s="4">
        <f>IF(OR($B316="",G316=""),"",--(G316=$B316))</f>
        <v/>
      </c>
      <c r="AB316" s="4">
        <f>IF(OR($B316="",G316=""),"",IF($B316=1,--(G316=1),""))</f>
        <v/>
      </c>
      <c r="AC316" s="4">
        <f>IF(OR($B316="",G316=""),"",IF($B316=0,--(G316=0),""))</f>
        <v/>
      </c>
      <c r="AD316" s="4">
        <f>IF(G316="","",--(G316=1))</f>
        <v/>
      </c>
      <c r="AE316" s="4">
        <f>IF(OR($B316="",H316=""),"",--(H316=$B316))</f>
        <v/>
      </c>
      <c r="AF316" s="4">
        <f>IF(OR($B316="",H316=""),"",IF($B316=1,--(H316=1),""))</f>
        <v/>
      </c>
      <c r="AG316" s="4">
        <f>IF(OR($B316="",H316=""),"",IF($B316=0,--(H316=0),""))</f>
        <v/>
      </c>
      <c r="AH316" s="4">
        <f>IF(H316="","",--(H316=1))</f>
        <v/>
      </c>
      <c r="AI316" s="4">
        <f>IF(OR($B316="",I316=""),"",--(I316=$B316))</f>
        <v/>
      </c>
      <c r="AJ316" s="4">
        <f>IF(OR($B316="",I316=""),"",IF($B316=1,--(I316=1),""))</f>
        <v/>
      </c>
      <c r="AK316" s="4">
        <f>IF(OR($B316="",I316=""),"",IF($B316=0,--(I316=0),""))</f>
        <v/>
      </c>
      <c r="AL316" s="4">
        <f>IF(I316="","",--(I316=1))</f>
        <v/>
      </c>
      <c r="AM316" s="4">
        <f>IF(OR($B316="",J316=""),"",--(J316=$B316))</f>
        <v/>
      </c>
      <c r="AN316" s="4">
        <f>IF(OR($B316="",J316=""),"",IF($B316=1,--(J316=1),""))</f>
        <v/>
      </c>
      <c r="AO316" s="4">
        <f>IF(OR($B316="",J316=""),"",IF($B316=0,--(J316=0),""))</f>
        <v/>
      </c>
      <c r="AP316" s="4">
        <f>IF(J316="","",--(J316=1))</f>
        <v/>
      </c>
      <c r="AQ316" s="4">
        <f>IF(OR($B316="",K316=""),"",--(K316=$B316))</f>
        <v/>
      </c>
      <c r="AR316" s="4">
        <f>IF(OR($B316="",K316=""),"",IF($B316=1,--(K316=1),""))</f>
        <v/>
      </c>
      <c r="AS316" s="4">
        <f>IF(OR($B316="",K316=""),"",IF($B316=0,--(K316=0),""))</f>
        <v/>
      </c>
      <c r="AT316" s="4">
        <f>IF(K316="","",--(K316=1))</f>
        <v/>
      </c>
      <c r="AU316" s="4">
        <f>IF(OR($B316="",L316=""),"",--(L316=$B316))</f>
        <v/>
      </c>
      <c r="AV316" s="4">
        <f>IF(OR($B316="",L316=""),"",IF($B316=1,--(L316=1),""))</f>
        <v/>
      </c>
      <c r="AW316" s="4">
        <f>IF(OR($B316="",L316=""),"",IF($B316=0,--(L316=0),""))</f>
        <v/>
      </c>
      <c r="AX316" s="4">
        <f>IF(L316="","",--(L316=1))</f>
        <v/>
      </c>
      <c r="AY316" s="4">
        <f>IF(OR($B316="",M316=""),"",--(M316=$B316))</f>
        <v/>
      </c>
      <c r="AZ316" s="4">
        <f>IF(OR($B316="",M316=""),"",IF($B316=1,--(M316=1),""))</f>
        <v/>
      </c>
      <c r="BA316" s="4">
        <f>IF(OR($B316="",M316=""),"",IF($B316=0,--(M316=0),""))</f>
        <v/>
      </c>
      <c r="BB316" s="4">
        <f>IF(M316="","",--(M316=1))</f>
        <v/>
      </c>
      <c r="BC316" s="4">
        <f>IF(OR($B316="",N316=""),"",--(N316=$B316))</f>
        <v/>
      </c>
      <c r="BD316" s="4">
        <f>IF(OR($B316="",N316=""),"",IF($B316=1,--(N316=1),""))</f>
        <v/>
      </c>
      <c r="BE316" s="4">
        <f>IF(OR($B316="",N316=""),"",IF($B316=0,--(N316=0),""))</f>
        <v/>
      </c>
      <c r="BF316" s="4">
        <f>IF(N316="","",--(N316=1))</f>
        <v/>
      </c>
    </row>
    <row r="317">
      <c r="A317" s="3" t="inlineStr">
        <is>
          <t>202148895</t>
        </is>
      </c>
      <c r="B317" s="3" t="inlineStr">
        <is>
          <t>1</t>
        </is>
      </c>
      <c r="C317" s="3" t="inlineStr">
        <is>
          <t>Direct</t>
        </is>
      </c>
      <c r="D317" s="3" t="inlineStr">
        <is>
          <t>1</t>
        </is>
      </c>
      <c r="E317" s="3" t="inlineStr">
        <is>
          <t>1</t>
        </is>
      </c>
      <c r="F317" s="3" t="inlineStr">
        <is>
          <t>1</t>
        </is>
      </c>
      <c r="G317" s="3" t="inlineStr">
        <is>
          <t>1</t>
        </is>
      </c>
      <c r="H317" s="3" t="inlineStr">
        <is>
          <t>1</t>
        </is>
      </c>
      <c r="I317" s="3" t="inlineStr">
        <is>
          <t>1</t>
        </is>
      </c>
      <c r="J317" s="3" t="inlineStr">
        <is>
          <t>1</t>
        </is>
      </c>
      <c r="K317" s="3" t="inlineStr">
        <is>
          <t>1</t>
        </is>
      </c>
      <c r="L317" s="3" t="inlineStr">
        <is>
          <t>1</t>
        </is>
      </c>
      <c r="M317" s="3" t="inlineStr">
        <is>
          <t>1</t>
        </is>
      </c>
      <c r="N317" s="3" t="inlineStr">
        <is>
          <t>1</t>
        </is>
      </c>
      <c r="O317" s="4">
        <f>IF(OR($B317="",D317=""),"",--(D317=$B317))</f>
        <v/>
      </c>
      <c r="P317" s="4">
        <f>IF(OR($B317="",D317=""),"",IF($B317=1,--(D317=1),""))</f>
        <v/>
      </c>
      <c r="Q317" s="4">
        <f>IF(OR($B317="",D317=""),"",IF($B317=0,--(D317=0),""))</f>
        <v/>
      </c>
      <c r="R317" s="4">
        <f>IF(D317="","",--(D317=1))</f>
        <v/>
      </c>
      <c r="S317" s="4">
        <f>IF(OR($B317="",E317=""),"",--(E317=$B317))</f>
        <v/>
      </c>
      <c r="T317" s="4">
        <f>IF(OR($B317="",E317=""),"",IF($B317=1,--(E317=1),""))</f>
        <v/>
      </c>
      <c r="U317" s="4">
        <f>IF(OR($B317="",E317=""),"",IF($B317=0,--(E317=0),""))</f>
        <v/>
      </c>
      <c r="V317" s="4">
        <f>IF(E317="","",--(E317=1))</f>
        <v/>
      </c>
      <c r="W317" s="4">
        <f>IF(OR($B317="",F317=""),"",--(F317=$B317))</f>
        <v/>
      </c>
      <c r="X317" s="4">
        <f>IF(OR($B317="",F317=""),"",IF($B317=1,--(F317=1),""))</f>
        <v/>
      </c>
      <c r="Y317" s="4">
        <f>IF(OR($B317="",F317=""),"",IF($B317=0,--(F317=0),""))</f>
        <v/>
      </c>
      <c r="Z317" s="4">
        <f>IF(F317="","",--(F317=1))</f>
        <v/>
      </c>
      <c r="AA317" s="4">
        <f>IF(OR($B317="",G317=""),"",--(G317=$B317))</f>
        <v/>
      </c>
      <c r="AB317" s="4">
        <f>IF(OR($B317="",G317=""),"",IF($B317=1,--(G317=1),""))</f>
        <v/>
      </c>
      <c r="AC317" s="4">
        <f>IF(OR($B317="",G317=""),"",IF($B317=0,--(G317=0),""))</f>
        <v/>
      </c>
      <c r="AD317" s="4">
        <f>IF(G317="","",--(G317=1))</f>
        <v/>
      </c>
      <c r="AE317" s="4">
        <f>IF(OR($B317="",H317=""),"",--(H317=$B317))</f>
        <v/>
      </c>
      <c r="AF317" s="4">
        <f>IF(OR($B317="",H317=""),"",IF($B317=1,--(H317=1),""))</f>
        <v/>
      </c>
      <c r="AG317" s="4">
        <f>IF(OR($B317="",H317=""),"",IF($B317=0,--(H317=0),""))</f>
        <v/>
      </c>
      <c r="AH317" s="4">
        <f>IF(H317="","",--(H317=1))</f>
        <v/>
      </c>
      <c r="AI317" s="4">
        <f>IF(OR($B317="",I317=""),"",--(I317=$B317))</f>
        <v/>
      </c>
      <c r="AJ317" s="4">
        <f>IF(OR($B317="",I317=""),"",IF($B317=1,--(I317=1),""))</f>
        <v/>
      </c>
      <c r="AK317" s="4">
        <f>IF(OR($B317="",I317=""),"",IF($B317=0,--(I317=0),""))</f>
        <v/>
      </c>
      <c r="AL317" s="4">
        <f>IF(I317="","",--(I317=1))</f>
        <v/>
      </c>
      <c r="AM317" s="4">
        <f>IF(OR($B317="",J317=""),"",--(J317=$B317))</f>
        <v/>
      </c>
      <c r="AN317" s="4">
        <f>IF(OR($B317="",J317=""),"",IF($B317=1,--(J317=1),""))</f>
        <v/>
      </c>
      <c r="AO317" s="4">
        <f>IF(OR($B317="",J317=""),"",IF($B317=0,--(J317=0),""))</f>
        <v/>
      </c>
      <c r="AP317" s="4">
        <f>IF(J317="","",--(J317=1))</f>
        <v/>
      </c>
      <c r="AQ317" s="4">
        <f>IF(OR($B317="",K317=""),"",--(K317=$B317))</f>
        <v/>
      </c>
      <c r="AR317" s="4">
        <f>IF(OR($B317="",K317=""),"",IF($B317=1,--(K317=1),""))</f>
        <v/>
      </c>
      <c r="AS317" s="4">
        <f>IF(OR($B317="",K317=""),"",IF($B317=0,--(K317=0),""))</f>
        <v/>
      </c>
      <c r="AT317" s="4">
        <f>IF(K317="","",--(K317=1))</f>
        <v/>
      </c>
      <c r="AU317" s="4">
        <f>IF(OR($B317="",L317=""),"",--(L317=$B317))</f>
        <v/>
      </c>
      <c r="AV317" s="4">
        <f>IF(OR($B317="",L317=""),"",IF($B317=1,--(L317=1),""))</f>
        <v/>
      </c>
      <c r="AW317" s="4">
        <f>IF(OR($B317="",L317=""),"",IF($B317=0,--(L317=0),""))</f>
        <v/>
      </c>
      <c r="AX317" s="4">
        <f>IF(L317="","",--(L317=1))</f>
        <v/>
      </c>
      <c r="AY317" s="4">
        <f>IF(OR($B317="",M317=""),"",--(M317=$B317))</f>
        <v/>
      </c>
      <c r="AZ317" s="4">
        <f>IF(OR($B317="",M317=""),"",IF($B317=1,--(M317=1),""))</f>
        <v/>
      </c>
      <c r="BA317" s="4">
        <f>IF(OR($B317="",M317=""),"",IF($B317=0,--(M317=0),""))</f>
        <v/>
      </c>
      <c r="BB317" s="4">
        <f>IF(M317="","",--(M317=1))</f>
        <v/>
      </c>
      <c r="BC317" s="4">
        <f>IF(OR($B317="",N317=""),"",--(N317=$B317))</f>
        <v/>
      </c>
      <c r="BD317" s="4">
        <f>IF(OR($B317="",N317=""),"",IF($B317=1,--(N317=1),""))</f>
        <v/>
      </c>
      <c r="BE317" s="4">
        <f>IF(OR($B317="",N317=""),"",IF($B317=0,--(N317=0),""))</f>
        <v/>
      </c>
      <c r="BF317" s="4">
        <f>IF(N317="","",--(N317=1))</f>
        <v/>
      </c>
    </row>
    <row r="318">
      <c r="A318" s="3" t="inlineStr">
        <is>
          <t>202149220</t>
        </is>
      </c>
      <c r="B318" s="3" t="inlineStr">
        <is>
          <t>0</t>
        </is>
      </c>
      <c r="C318" s="3" t="inlineStr">
        <is>
          <t>Direct</t>
        </is>
      </c>
      <c r="D318" s="3" t="inlineStr">
        <is>
          <t>1</t>
        </is>
      </c>
      <c r="E318" s="3" t="inlineStr">
        <is>
          <t>0</t>
        </is>
      </c>
      <c r="F318" s="3" t="inlineStr">
        <is>
          <t>1</t>
        </is>
      </c>
      <c r="G318" s="3" t="inlineStr">
        <is>
          <t>0</t>
        </is>
      </c>
      <c r="H318" s="3" t="inlineStr">
        <is>
          <t>0</t>
        </is>
      </c>
      <c r="I318" s="3" t="inlineStr">
        <is>
          <t>1</t>
        </is>
      </c>
      <c r="J318" s="3" t="inlineStr">
        <is>
          <t>1</t>
        </is>
      </c>
      <c r="K318" s="3" t="inlineStr">
        <is>
          <t>1</t>
        </is>
      </c>
      <c r="L318" s="3" t="inlineStr">
        <is>
          <t>1</t>
        </is>
      </c>
      <c r="M318" s="3" t="inlineStr">
        <is>
          <t>1</t>
        </is>
      </c>
      <c r="N318" s="3" t="inlineStr">
        <is>
          <t>1</t>
        </is>
      </c>
      <c r="O318" s="4">
        <f>IF(OR($B318="",D318=""),"",--(D318=$B318))</f>
        <v/>
      </c>
      <c r="P318" s="4">
        <f>IF(OR($B318="",D318=""),"",IF($B318=1,--(D318=1),""))</f>
        <v/>
      </c>
      <c r="Q318" s="4">
        <f>IF(OR($B318="",D318=""),"",IF($B318=0,--(D318=0),""))</f>
        <v/>
      </c>
      <c r="R318" s="4">
        <f>IF(D318="","",--(D318=1))</f>
        <v/>
      </c>
      <c r="S318" s="4">
        <f>IF(OR($B318="",E318=""),"",--(E318=$B318))</f>
        <v/>
      </c>
      <c r="T318" s="4">
        <f>IF(OR($B318="",E318=""),"",IF($B318=1,--(E318=1),""))</f>
        <v/>
      </c>
      <c r="U318" s="4">
        <f>IF(OR($B318="",E318=""),"",IF($B318=0,--(E318=0),""))</f>
        <v/>
      </c>
      <c r="V318" s="4">
        <f>IF(E318="","",--(E318=1))</f>
        <v/>
      </c>
      <c r="W318" s="4">
        <f>IF(OR($B318="",F318=""),"",--(F318=$B318))</f>
        <v/>
      </c>
      <c r="X318" s="4">
        <f>IF(OR($B318="",F318=""),"",IF($B318=1,--(F318=1),""))</f>
        <v/>
      </c>
      <c r="Y318" s="4">
        <f>IF(OR($B318="",F318=""),"",IF($B318=0,--(F318=0),""))</f>
        <v/>
      </c>
      <c r="Z318" s="4">
        <f>IF(F318="","",--(F318=1))</f>
        <v/>
      </c>
      <c r="AA318" s="4">
        <f>IF(OR($B318="",G318=""),"",--(G318=$B318))</f>
        <v/>
      </c>
      <c r="AB318" s="4">
        <f>IF(OR($B318="",G318=""),"",IF($B318=1,--(G318=1),""))</f>
        <v/>
      </c>
      <c r="AC318" s="4">
        <f>IF(OR($B318="",G318=""),"",IF($B318=0,--(G318=0),""))</f>
        <v/>
      </c>
      <c r="AD318" s="4">
        <f>IF(G318="","",--(G318=1))</f>
        <v/>
      </c>
      <c r="AE318" s="4">
        <f>IF(OR($B318="",H318=""),"",--(H318=$B318))</f>
        <v/>
      </c>
      <c r="AF318" s="4">
        <f>IF(OR($B318="",H318=""),"",IF($B318=1,--(H318=1),""))</f>
        <v/>
      </c>
      <c r="AG318" s="4">
        <f>IF(OR($B318="",H318=""),"",IF($B318=0,--(H318=0),""))</f>
        <v/>
      </c>
      <c r="AH318" s="4">
        <f>IF(H318="","",--(H318=1))</f>
        <v/>
      </c>
      <c r="AI318" s="4">
        <f>IF(OR($B318="",I318=""),"",--(I318=$B318))</f>
        <v/>
      </c>
      <c r="AJ318" s="4">
        <f>IF(OR($B318="",I318=""),"",IF($B318=1,--(I318=1),""))</f>
        <v/>
      </c>
      <c r="AK318" s="4">
        <f>IF(OR($B318="",I318=""),"",IF($B318=0,--(I318=0),""))</f>
        <v/>
      </c>
      <c r="AL318" s="4">
        <f>IF(I318="","",--(I318=1))</f>
        <v/>
      </c>
      <c r="AM318" s="4">
        <f>IF(OR($B318="",J318=""),"",--(J318=$B318))</f>
        <v/>
      </c>
      <c r="AN318" s="4">
        <f>IF(OR($B318="",J318=""),"",IF($B318=1,--(J318=1),""))</f>
        <v/>
      </c>
      <c r="AO318" s="4">
        <f>IF(OR($B318="",J318=""),"",IF($B318=0,--(J318=0),""))</f>
        <v/>
      </c>
      <c r="AP318" s="4">
        <f>IF(J318="","",--(J318=1))</f>
        <v/>
      </c>
      <c r="AQ318" s="4">
        <f>IF(OR($B318="",K318=""),"",--(K318=$B318))</f>
        <v/>
      </c>
      <c r="AR318" s="4">
        <f>IF(OR($B318="",K318=""),"",IF($B318=1,--(K318=1),""))</f>
        <v/>
      </c>
      <c r="AS318" s="4">
        <f>IF(OR($B318="",K318=""),"",IF($B318=0,--(K318=0),""))</f>
        <v/>
      </c>
      <c r="AT318" s="4">
        <f>IF(K318="","",--(K318=1))</f>
        <v/>
      </c>
      <c r="AU318" s="4">
        <f>IF(OR($B318="",L318=""),"",--(L318=$B318))</f>
        <v/>
      </c>
      <c r="AV318" s="4">
        <f>IF(OR($B318="",L318=""),"",IF($B318=1,--(L318=1),""))</f>
        <v/>
      </c>
      <c r="AW318" s="4">
        <f>IF(OR($B318="",L318=""),"",IF($B318=0,--(L318=0),""))</f>
        <v/>
      </c>
      <c r="AX318" s="4">
        <f>IF(L318="","",--(L318=1))</f>
        <v/>
      </c>
      <c r="AY318" s="4">
        <f>IF(OR($B318="",M318=""),"",--(M318=$B318))</f>
        <v/>
      </c>
      <c r="AZ318" s="4">
        <f>IF(OR($B318="",M318=""),"",IF($B318=1,--(M318=1),""))</f>
        <v/>
      </c>
      <c r="BA318" s="4">
        <f>IF(OR($B318="",M318=""),"",IF($B318=0,--(M318=0),""))</f>
        <v/>
      </c>
      <c r="BB318" s="4">
        <f>IF(M318="","",--(M318=1))</f>
        <v/>
      </c>
      <c r="BC318" s="4">
        <f>IF(OR($B318="",N318=""),"",--(N318=$B318))</f>
        <v/>
      </c>
      <c r="BD318" s="4">
        <f>IF(OR($B318="",N318=""),"",IF($B318=1,--(N318=1),""))</f>
        <v/>
      </c>
      <c r="BE318" s="4">
        <f>IF(OR($B318="",N318=""),"",IF($B318=0,--(N318=0),""))</f>
        <v/>
      </c>
      <c r="BF318" s="4">
        <f>IF(N318="","",--(N318=1))</f>
        <v/>
      </c>
    </row>
    <row r="319">
      <c r="A319" s="3" t="inlineStr">
        <is>
          <t>202150018</t>
        </is>
      </c>
      <c r="B319" s="3" t="inlineStr">
        <is>
          <t>0</t>
        </is>
      </c>
      <c r="C319" s="3" t="inlineStr">
        <is>
          <t>Direct</t>
        </is>
      </c>
      <c r="D319" s="3" t="inlineStr">
        <is>
          <t>1</t>
        </is>
      </c>
      <c r="E319" s="3" t="inlineStr">
        <is>
          <t>1</t>
        </is>
      </c>
      <c r="F319" s="3" t="inlineStr">
        <is>
          <t>1</t>
        </is>
      </c>
      <c r="G319" s="3" t="inlineStr">
        <is>
          <t>0</t>
        </is>
      </c>
      <c r="H319" s="3" t="inlineStr">
        <is>
          <t>1</t>
        </is>
      </c>
      <c r="I319" s="3" t="inlineStr">
        <is>
          <t>1</t>
        </is>
      </c>
      <c r="J319" s="3" t="inlineStr">
        <is>
          <t>1</t>
        </is>
      </c>
      <c r="K319" s="3" t="inlineStr">
        <is>
          <t>0</t>
        </is>
      </c>
      <c r="L319" s="3" t="inlineStr">
        <is>
          <t>1</t>
        </is>
      </c>
      <c r="M319" s="3" t="inlineStr">
        <is>
          <t>1</t>
        </is>
      </c>
      <c r="N319" s="3" t="inlineStr">
        <is>
          <t>1</t>
        </is>
      </c>
      <c r="O319" s="4">
        <f>IF(OR($B319="",D319=""),"",--(D319=$B319))</f>
        <v/>
      </c>
      <c r="P319" s="4">
        <f>IF(OR($B319="",D319=""),"",IF($B319=1,--(D319=1),""))</f>
        <v/>
      </c>
      <c r="Q319" s="4">
        <f>IF(OR($B319="",D319=""),"",IF($B319=0,--(D319=0),""))</f>
        <v/>
      </c>
      <c r="R319" s="4">
        <f>IF(D319="","",--(D319=1))</f>
        <v/>
      </c>
      <c r="S319" s="4">
        <f>IF(OR($B319="",E319=""),"",--(E319=$B319))</f>
        <v/>
      </c>
      <c r="T319" s="4">
        <f>IF(OR($B319="",E319=""),"",IF($B319=1,--(E319=1),""))</f>
        <v/>
      </c>
      <c r="U319" s="4">
        <f>IF(OR($B319="",E319=""),"",IF($B319=0,--(E319=0),""))</f>
        <v/>
      </c>
      <c r="V319" s="4">
        <f>IF(E319="","",--(E319=1))</f>
        <v/>
      </c>
      <c r="W319" s="4">
        <f>IF(OR($B319="",F319=""),"",--(F319=$B319))</f>
        <v/>
      </c>
      <c r="X319" s="4">
        <f>IF(OR($B319="",F319=""),"",IF($B319=1,--(F319=1),""))</f>
        <v/>
      </c>
      <c r="Y319" s="4">
        <f>IF(OR($B319="",F319=""),"",IF($B319=0,--(F319=0),""))</f>
        <v/>
      </c>
      <c r="Z319" s="4">
        <f>IF(F319="","",--(F319=1))</f>
        <v/>
      </c>
      <c r="AA319" s="4">
        <f>IF(OR($B319="",G319=""),"",--(G319=$B319))</f>
        <v/>
      </c>
      <c r="AB319" s="4">
        <f>IF(OR($B319="",G319=""),"",IF($B319=1,--(G319=1),""))</f>
        <v/>
      </c>
      <c r="AC319" s="4">
        <f>IF(OR($B319="",G319=""),"",IF($B319=0,--(G319=0),""))</f>
        <v/>
      </c>
      <c r="AD319" s="4">
        <f>IF(G319="","",--(G319=1))</f>
        <v/>
      </c>
      <c r="AE319" s="4">
        <f>IF(OR($B319="",H319=""),"",--(H319=$B319))</f>
        <v/>
      </c>
      <c r="AF319" s="4">
        <f>IF(OR($B319="",H319=""),"",IF($B319=1,--(H319=1),""))</f>
        <v/>
      </c>
      <c r="AG319" s="4">
        <f>IF(OR($B319="",H319=""),"",IF($B319=0,--(H319=0),""))</f>
        <v/>
      </c>
      <c r="AH319" s="4">
        <f>IF(H319="","",--(H319=1))</f>
        <v/>
      </c>
      <c r="AI319" s="4">
        <f>IF(OR($B319="",I319=""),"",--(I319=$B319))</f>
        <v/>
      </c>
      <c r="AJ319" s="4">
        <f>IF(OR($B319="",I319=""),"",IF($B319=1,--(I319=1),""))</f>
        <v/>
      </c>
      <c r="AK319" s="4">
        <f>IF(OR($B319="",I319=""),"",IF($B319=0,--(I319=0),""))</f>
        <v/>
      </c>
      <c r="AL319" s="4">
        <f>IF(I319="","",--(I319=1))</f>
        <v/>
      </c>
      <c r="AM319" s="4">
        <f>IF(OR($B319="",J319=""),"",--(J319=$B319))</f>
        <v/>
      </c>
      <c r="AN319" s="4">
        <f>IF(OR($B319="",J319=""),"",IF($B319=1,--(J319=1),""))</f>
        <v/>
      </c>
      <c r="AO319" s="4">
        <f>IF(OR($B319="",J319=""),"",IF($B319=0,--(J319=0),""))</f>
        <v/>
      </c>
      <c r="AP319" s="4">
        <f>IF(J319="","",--(J319=1))</f>
        <v/>
      </c>
      <c r="AQ319" s="4">
        <f>IF(OR($B319="",K319=""),"",--(K319=$B319))</f>
        <v/>
      </c>
      <c r="AR319" s="4">
        <f>IF(OR($B319="",K319=""),"",IF($B319=1,--(K319=1),""))</f>
        <v/>
      </c>
      <c r="AS319" s="4">
        <f>IF(OR($B319="",K319=""),"",IF($B319=0,--(K319=0),""))</f>
        <v/>
      </c>
      <c r="AT319" s="4">
        <f>IF(K319="","",--(K319=1))</f>
        <v/>
      </c>
      <c r="AU319" s="4">
        <f>IF(OR($B319="",L319=""),"",--(L319=$B319))</f>
        <v/>
      </c>
      <c r="AV319" s="4">
        <f>IF(OR($B319="",L319=""),"",IF($B319=1,--(L319=1),""))</f>
        <v/>
      </c>
      <c r="AW319" s="4">
        <f>IF(OR($B319="",L319=""),"",IF($B319=0,--(L319=0),""))</f>
        <v/>
      </c>
      <c r="AX319" s="4">
        <f>IF(L319="","",--(L319=1))</f>
        <v/>
      </c>
      <c r="AY319" s="4">
        <f>IF(OR($B319="",M319=""),"",--(M319=$B319))</f>
        <v/>
      </c>
      <c r="AZ319" s="4">
        <f>IF(OR($B319="",M319=""),"",IF($B319=1,--(M319=1),""))</f>
        <v/>
      </c>
      <c r="BA319" s="4">
        <f>IF(OR($B319="",M319=""),"",IF($B319=0,--(M319=0),""))</f>
        <v/>
      </c>
      <c r="BB319" s="4">
        <f>IF(M319="","",--(M319=1))</f>
        <v/>
      </c>
      <c r="BC319" s="4">
        <f>IF(OR($B319="",N319=""),"",--(N319=$B319))</f>
        <v/>
      </c>
      <c r="BD319" s="4">
        <f>IF(OR($B319="",N319=""),"",IF($B319=1,--(N319=1),""))</f>
        <v/>
      </c>
      <c r="BE319" s="4">
        <f>IF(OR($B319="",N319=""),"",IF($B319=0,--(N319=0),""))</f>
        <v/>
      </c>
      <c r="BF319" s="4">
        <f>IF(N319="","",--(N319=1))</f>
        <v/>
      </c>
    </row>
    <row r="320">
      <c r="A320" s="3" t="inlineStr">
        <is>
          <t>202150155</t>
        </is>
      </c>
      <c r="B320" s="3" t="inlineStr">
        <is>
          <t>0</t>
        </is>
      </c>
      <c r="C320" s="3" t="inlineStr">
        <is>
          <t>Direct</t>
        </is>
      </c>
      <c r="D320" s="3" t="inlineStr">
        <is>
          <t>1</t>
        </is>
      </c>
      <c r="E320" s="3" t="inlineStr">
        <is>
          <t>1</t>
        </is>
      </c>
      <c r="F320" s="3" t="inlineStr">
        <is>
          <t>0</t>
        </is>
      </c>
      <c r="G320" s="3" t="inlineStr">
        <is>
          <t>0</t>
        </is>
      </c>
      <c r="H320" s="3" t="inlineStr">
        <is>
          <t>1</t>
        </is>
      </c>
      <c r="I320" s="3" t="inlineStr">
        <is>
          <t>0</t>
        </is>
      </c>
      <c r="J320" s="3" t="inlineStr">
        <is>
          <t>0</t>
        </is>
      </c>
      <c r="K320" s="3" t="inlineStr">
        <is>
          <t>0</t>
        </is>
      </c>
      <c r="L320" s="3" t="inlineStr">
        <is>
          <t>0</t>
        </is>
      </c>
      <c r="M320" s="3" t="inlineStr">
        <is>
          <t>0</t>
        </is>
      </c>
      <c r="N320" s="3" t="inlineStr">
        <is>
          <t>1</t>
        </is>
      </c>
      <c r="O320" s="4">
        <f>IF(OR($B320="",D320=""),"",--(D320=$B320))</f>
        <v/>
      </c>
      <c r="P320" s="4">
        <f>IF(OR($B320="",D320=""),"",IF($B320=1,--(D320=1),""))</f>
        <v/>
      </c>
      <c r="Q320" s="4">
        <f>IF(OR($B320="",D320=""),"",IF($B320=0,--(D320=0),""))</f>
        <v/>
      </c>
      <c r="R320" s="4">
        <f>IF(D320="","",--(D320=1))</f>
        <v/>
      </c>
      <c r="S320" s="4">
        <f>IF(OR($B320="",E320=""),"",--(E320=$B320))</f>
        <v/>
      </c>
      <c r="T320" s="4">
        <f>IF(OR($B320="",E320=""),"",IF($B320=1,--(E320=1),""))</f>
        <v/>
      </c>
      <c r="U320" s="4">
        <f>IF(OR($B320="",E320=""),"",IF($B320=0,--(E320=0),""))</f>
        <v/>
      </c>
      <c r="V320" s="4">
        <f>IF(E320="","",--(E320=1))</f>
        <v/>
      </c>
      <c r="W320" s="4">
        <f>IF(OR($B320="",F320=""),"",--(F320=$B320))</f>
        <v/>
      </c>
      <c r="X320" s="4">
        <f>IF(OR($B320="",F320=""),"",IF($B320=1,--(F320=1),""))</f>
        <v/>
      </c>
      <c r="Y320" s="4">
        <f>IF(OR($B320="",F320=""),"",IF($B320=0,--(F320=0),""))</f>
        <v/>
      </c>
      <c r="Z320" s="4">
        <f>IF(F320="","",--(F320=1))</f>
        <v/>
      </c>
      <c r="AA320" s="4">
        <f>IF(OR($B320="",G320=""),"",--(G320=$B320))</f>
        <v/>
      </c>
      <c r="AB320" s="4">
        <f>IF(OR($B320="",G320=""),"",IF($B320=1,--(G320=1),""))</f>
        <v/>
      </c>
      <c r="AC320" s="4">
        <f>IF(OR($B320="",G320=""),"",IF($B320=0,--(G320=0),""))</f>
        <v/>
      </c>
      <c r="AD320" s="4">
        <f>IF(G320="","",--(G320=1))</f>
        <v/>
      </c>
      <c r="AE320" s="4">
        <f>IF(OR($B320="",H320=""),"",--(H320=$B320))</f>
        <v/>
      </c>
      <c r="AF320" s="4">
        <f>IF(OR($B320="",H320=""),"",IF($B320=1,--(H320=1),""))</f>
        <v/>
      </c>
      <c r="AG320" s="4">
        <f>IF(OR($B320="",H320=""),"",IF($B320=0,--(H320=0),""))</f>
        <v/>
      </c>
      <c r="AH320" s="4">
        <f>IF(H320="","",--(H320=1))</f>
        <v/>
      </c>
      <c r="AI320" s="4">
        <f>IF(OR($B320="",I320=""),"",--(I320=$B320))</f>
        <v/>
      </c>
      <c r="AJ320" s="4">
        <f>IF(OR($B320="",I320=""),"",IF($B320=1,--(I320=1),""))</f>
        <v/>
      </c>
      <c r="AK320" s="4">
        <f>IF(OR($B320="",I320=""),"",IF($B320=0,--(I320=0),""))</f>
        <v/>
      </c>
      <c r="AL320" s="4">
        <f>IF(I320="","",--(I320=1))</f>
        <v/>
      </c>
      <c r="AM320" s="4">
        <f>IF(OR($B320="",J320=""),"",--(J320=$B320))</f>
        <v/>
      </c>
      <c r="AN320" s="4">
        <f>IF(OR($B320="",J320=""),"",IF($B320=1,--(J320=1),""))</f>
        <v/>
      </c>
      <c r="AO320" s="4">
        <f>IF(OR($B320="",J320=""),"",IF($B320=0,--(J320=0),""))</f>
        <v/>
      </c>
      <c r="AP320" s="4">
        <f>IF(J320="","",--(J320=1))</f>
        <v/>
      </c>
      <c r="AQ320" s="4">
        <f>IF(OR($B320="",K320=""),"",--(K320=$B320))</f>
        <v/>
      </c>
      <c r="AR320" s="4">
        <f>IF(OR($B320="",K320=""),"",IF($B320=1,--(K320=1),""))</f>
        <v/>
      </c>
      <c r="AS320" s="4">
        <f>IF(OR($B320="",K320=""),"",IF($B320=0,--(K320=0),""))</f>
        <v/>
      </c>
      <c r="AT320" s="4">
        <f>IF(K320="","",--(K320=1))</f>
        <v/>
      </c>
      <c r="AU320" s="4">
        <f>IF(OR($B320="",L320=""),"",--(L320=$B320))</f>
        <v/>
      </c>
      <c r="AV320" s="4">
        <f>IF(OR($B320="",L320=""),"",IF($B320=1,--(L320=1),""))</f>
        <v/>
      </c>
      <c r="AW320" s="4">
        <f>IF(OR($B320="",L320=""),"",IF($B320=0,--(L320=0),""))</f>
        <v/>
      </c>
      <c r="AX320" s="4">
        <f>IF(L320="","",--(L320=1))</f>
        <v/>
      </c>
      <c r="AY320" s="4">
        <f>IF(OR($B320="",M320=""),"",--(M320=$B320))</f>
        <v/>
      </c>
      <c r="AZ320" s="4">
        <f>IF(OR($B320="",M320=""),"",IF($B320=1,--(M320=1),""))</f>
        <v/>
      </c>
      <c r="BA320" s="4">
        <f>IF(OR($B320="",M320=""),"",IF($B320=0,--(M320=0),""))</f>
        <v/>
      </c>
      <c r="BB320" s="4">
        <f>IF(M320="","",--(M320=1))</f>
        <v/>
      </c>
      <c r="BC320" s="4">
        <f>IF(OR($B320="",N320=""),"",--(N320=$B320))</f>
        <v/>
      </c>
      <c r="BD320" s="4">
        <f>IF(OR($B320="",N320=""),"",IF($B320=1,--(N320=1),""))</f>
        <v/>
      </c>
      <c r="BE320" s="4">
        <f>IF(OR($B320="",N320=""),"",IF($B320=0,--(N320=0),""))</f>
        <v/>
      </c>
      <c r="BF320" s="4">
        <f>IF(N320="","",--(N320=1))</f>
        <v/>
      </c>
    </row>
    <row r="321">
      <c r="A321" s="3" t="inlineStr">
        <is>
          <t>202150390</t>
        </is>
      </c>
      <c r="B321" s="3" t="inlineStr">
        <is>
          <t>0</t>
        </is>
      </c>
      <c r="C321" s="3" t="inlineStr">
        <is>
          <t>Direct</t>
        </is>
      </c>
      <c r="D321" s="3" t="inlineStr">
        <is>
          <t>0</t>
        </is>
      </c>
      <c r="E321" s="3" t="inlineStr">
        <is>
          <t>0</t>
        </is>
      </c>
      <c r="F321" s="3" t="inlineStr">
        <is>
          <t>0</t>
        </is>
      </c>
      <c r="G321" s="3" t="inlineStr">
        <is>
          <t>1</t>
        </is>
      </c>
      <c r="H321" s="3" t="inlineStr">
        <is>
          <t>0</t>
        </is>
      </c>
      <c r="I321" s="3" t="inlineStr">
        <is>
          <t>1</t>
        </is>
      </c>
      <c r="J321" s="3" t="inlineStr">
        <is>
          <t>1</t>
        </is>
      </c>
      <c r="K321" s="3" t="inlineStr">
        <is>
          <t>1</t>
        </is>
      </c>
      <c r="L321" s="3" t="inlineStr">
        <is>
          <t>0</t>
        </is>
      </c>
      <c r="M321" s="3" t="inlineStr">
        <is>
          <t>0</t>
        </is>
      </c>
      <c r="N321" s="3" t="inlineStr">
        <is>
          <t>1</t>
        </is>
      </c>
      <c r="O321" s="4">
        <f>IF(OR($B321="",D321=""),"",--(D321=$B321))</f>
        <v/>
      </c>
      <c r="P321" s="4">
        <f>IF(OR($B321="",D321=""),"",IF($B321=1,--(D321=1),""))</f>
        <v/>
      </c>
      <c r="Q321" s="4">
        <f>IF(OR($B321="",D321=""),"",IF($B321=0,--(D321=0),""))</f>
        <v/>
      </c>
      <c r="R321" s="4">
        <f>IF(D321="","",--(D321=1))</f>
        <v/>
      </c>
      <c r="S321" s="4">
        <f>IF(OR($B321="",E321=""),"",--(E321=$B321))</f>
        <v/>
      </c>
      <c r="T321" s="4">
        <f>IF(OR($B321="",E321=""),"",IF($B321=1,--(E321=1),""))</f>
        <v/>
      </c>
      <c r="U321" s="4">
        <f>IF(OR($B321="",E321=""),"",IF($B321=0,--(E321=0),""))</f>
        <v/>
      </c>
      <c r="V321" s="4">
        <f>IF(E321="","",--(E321=1))</f>
        <v/>
      </c>
      <c r="W321" s="4">
        <f>IF(OR($B321="",F321=""),"",--(F321=$B321))</f>
        <v/>
      </c>
      <c r="X321" s="4">
        <f>IF(OR($B321="",F321=""),"",IF($B321=1,--(F321=1),""))</f>
        <v/>
      </c>
      <c r="Y321" s="4">
        <f>IF(OR($B321="",F321=""),"",IF($B321=0,--(F321=0),""))</f>
        <v/>
      </c>
      <c r="Z321" s="4">
        <f>IF(F321="","",--(F321=1))</f>
        <v/>
      </c>
      <c r="AA321" s="4">
        <f>IF(OR($B321="",G321=""),"",--(G321=$B321))</f>
        <v/>
      </c>
      <c r="AB321" s="4">
        <f>IF(OR($B321="",G321=""),"",IF($B321=1,--(G321=1),""))</f>
        <v/>
      </c>
      <c r="AC321" s="4">
        <f>IF(OR($B321="",G321=""),"",IF($B321=0,--(G321=0),""))</f>
        <v/>
      </c>
      <c r="AD321" s="4">
        <f>IF(G321="","",--(G321=1))</f>
        <v/>
      </c>
      <c r="AE321" s="4">
        <f>IF(OR($B321="",H321=""),"",--(H321=$B321))</f>
        <v/>
      </c>
      <c r="AF321" s="4">
        <f>IF(OR($B321="",H321=""),"",IF($B321=1,--(H321=1),""))</f>
        <v/>
      </c>
      <c r="AG321" s="4">
        <f>IF(OR($B321="",H321=""),"",IF($B321=0,--(H321=0),""))</f>
        <v/>
      </c>
      <c r="AH321" s="4">
        <f>IF(H321="","",--(H321=1))</f>
        <v/>
      </c>
      <c r="AI321" s="4">
        <f>IF(OR($B321="",I321=""),"",--(I321=$B321))</f>
        <v/>
      </c>
      <c r="AJ321" s="4">
        <f>IF(OR($B321="",I321=""),"",IF($B321=1,--(I321=1),""))</f>
        <v/>
      </c>
      <c r="AK321" s="4">
        <f>IF(OR($B321="",I321=""),"",IF($B321=0,--(I321=0),""))</f>
        <v/>
      </c>
      <c r="AL321" s="4">
        <f>IF(I321="","",--(I321=1))</f>
        <v/>
      </c>
      <c r="AM321" s="4">
        <f>IF(OR($B321="",J321=""),"",--(J321=$B321))</f>
        <v/>
      </c>
      <c r="AN321" s="4">
        <f>IF(OR($B321="",J321=""),"",IF($B321=1,--(J321=1),""))</f>
        <v/>
      </c>
      <c r="AO321" s="4">
        <f>IF(OR($B321="",J321=""),"",IF($B321=0,--(J321=0),""))</f>
        <v/>
      </c>
      <c r="AP321" s="4">
        <f>IF(J321="","",--(J321=1))</f>
        <v/>
      </c>
      <c r="AQ321" s="4">
        <f>IF(OR($B321="",K321=""),"",--(K321=$B321))</f>
        <v/>
      </c>
      <c r="AR321" s="4">
        <f>IF(OR($B321="",K321=""),"",IF($B321=1,--(K321=1),""))</f>
        <v/>
      </c>
      <c r="AS321" s="4">
        <f>IF(OR($B321="",K321=""),"",IF($B321=0,--(K321=0),""))</f>
        <v/>
      </c>
      <c r="AT321" s="4">
        <f>IF(K321="","",--(K321=1))</f>
        <v/>
      </c>
      <c r="AU321" s="4">
        <f>IF(OR($B321="",L321=""),"",--(L321=$B321))</f>
        <v/>
      </c>
      <c r="AV321" s="4">
        <f>IF(OR($B321="",L321=""),"",IF($B321=1,--(L321=1),""))</f>
        <v/>
      </c>
      <c r="AW321" s="4">
        <f>IF(OR($B321="",L321=""),"",IF($B321=0,--(L321=0),""))</f>
        <v/>
      </c>
      <c r="AX321" s="4">
        <f>IF(L321="","",--(L321=1))</f>
        <v/>
      </c>
      <c r="AY321" s="4">
        <f>IF(OR($B321="",M321=""),"",--(M321=$B321))</f>
        <v/>
      </c>
      <c r="AZ321" s="4">
        <f>IF(OR($B321="",M321=""),"",IF($B321=1,--(M321=1),""))</f>
        <v/>
      </c>
      <c r="BA321" s="4">
        <f>IF(OR($B321="",M321=""),"",IF($B321=0,--(M321=0),""))</f>
        <v/>
      </c>
      <c r="BB321" s="4">
        <f>IF(M321="","",--(M321=1))</f>
        <v/>
      </c>
      <c r="BC321" s="4">
        <f>IF(OR($B321="",N321=""),"",--(N321=$B321))</f>
        <v/>
      </c>
      <c r="BD321" s="4">
        <f>IF(OR($B321="",N321=""),"",IF($B321=1,--(N321=1),""))</f>
        <v/>
      </c>
      <c r="BE321" s="4">
        <f>IF(OR($B321="",N321=""),"",IF($B321=0,--(N321=0),""))</f>
        <v/>
      </c>
      <c r="BF321" s="4">
        <f>IF(N321="","",--(N321=1))</f>
        <v/>
      </c>
    </row>
    <row r="322">
      <c r="A322" s="3" t="inlineStr">
        <is>
          <t>202150889</t>
        </is>
      </c>
      <c r="B322" s="3" t="inlineStr">
        <is>
          <t>1</t>
        </is>
      </c>
      <c r="C322" s="3" t="inlineStr">
        <is>
          <t>Direct</t>
        </is>
      </c>
      <c r="D322" s="3" t="inlineStr">
        <is>
          <t>1</t>
        </is>
      </c>
      <c r="E322" s="3" t="inlineStr">
        <is>
          <t>1</t>
        </is>
      </c>
      <c r="F322" s="3" t="inlineStr">
        <is>
          <t>1</t>
        </is>
      </c>
      <c r="G322" s="3" t="inlineStr">
        <is>
          <t>1</t>
        </is>
      </c>
      <c r="H322" s="3" t="inlineStr">
        <is>
          <t>1</t>
        </is>
      </c>
      <c r="I322" s="3" t="inlineStr">
        <is>
          <t>1</t>
        </is>
      </c>
      <c r="J322" s="3" t="inlineStr">
        <is>
          <t>1</t>
        </is>
      </c>
      <c r="K322" s="3" t="inlineStr">
        <is>
          <t>1</t>
        </is>
      </c>
      <c r="L322" s="3" t="inlineStr">
        <is>
          <t>1</t>
        </is>
      </c>
      <c r="M322" s="3" t="inlineStr">
        <is>
          <t>1</t>
        </is>
      </c>
      <c r="N322" s="3" t="inlineStr">
        <is>
          <t>1</t>
        </is>
      </c>
      <c r="O322" s="4">
        <f>IF(OR($B322="",D322=""),"",--(D322=$B322))</f>
        <v/>
      </c>
      <c r="P322" s="4">
        <f>IF(OR($B322="",D322=""),"",IF($B322=1,--(D322=1),""))</f>
        <v/>
      </c>
      <c r="Q322" s="4">
        <f>IF(OR($B322="",D322=""),"",IF($B322=0,--(D322=0),""))</f>
        <v/>
      </c>
      <c r="R322" s="4">
        <f>IF(D322="","",--(D322=1))</f>
        <v/>
      </c>
      <c r="S322" s="4">
        <f>IF(OR($B322="",E322=""),"",--(E322=$B322))</f>
        <v/>
      </c>
      <c r="T322" s="4">
        <f>IF(OR($B322="",E322=""),"",IF($B322=1,--(E322=1),""))</f>
        <v/>
      </c>
      <c r="U322" s="4">
        <f>IF(OR($B322="",E322=""),"",IF($B322=0,--(E322=0),""))</f>
        <v/>
      </c>
      <c r="V322" s="4">
        <f>IF(E322="","",--(E322=1))</f>
        <v/>
      </c>
      <c r="W322" s="4">
        <f>IF(OR($B322="",F322=""),"",--(F322=$B322))</f>
        <v/>
      </c>
      <c r="X322" s="4">
        <f>IF(OR($B322="",F322=""),"",IF($B322=1,--(F322=1),""))</f>
        <v/>
      </c>
      <c r="Y322" s="4">
        <f>IF(OR($B322="",F322=""),"",IF($B322=0,--(F322=0),""))</f>
        <v/>
      </c>
      <c r="Z322" s="4">
        <f>IF(F322="","",--(F322=1))</f>
        <v/>
      </c>
      <c r="AA322" s="4">
        <f>IF(OR($B322="",G322=""),"",--(G322=$B322))</f>
        <v/>
      </c>
      <c r="AB322" s="4">
        <f>IF(OR($B322="",G322=""),"",IF($B322=1,--(G322=1),""))</f>
        <v/>
      </c>
      <c r="AC322" s="4">
        <f>IF(OR($B322="",G322=""),"",IF($B322=0,--(G322=0),""))</f>
        <v/>
      </c>
      <c r="AD322" s="4">
        <f>IF(G322="","",--(G322=1))</f>
        <v/>
      </c>
      <c r="AE322" s="4">
        <f>IF(OR($B322="",H322=""),"",--(H322=$B322))</f>
        <v/>
      </c>
      <c r="AF322" s="4">
        <f>IF(OR($B322="",H322=""),"",IF($B322=1,--(H322=1),""))</f>
        <v/>
      </c>
      <c r="AG322" s="4">
        <f>IF(OR($B322="",H322=""),"",IF($B322=0,--(H322=0),""))</f>
        <v/>
      </c>
      <c r="AH322" s="4">
        <f>IF(H322="","",--(H322=1))</f>
        <v/>
      </c>
      <c r="AI322" s="4">
        <f>IF(OR($B322="",I322=""),"",--(I322=$B322))</f>
        <v/>
      </c>
      <c r="AJ322" s="4">
        <f>IF(OR($B322="",I322=""),"",IF($B322=1,--(I322=1),""))</f>
        <v/>
      </c>
      <c r="AK322" s="4">
        <f>IF(OR($B322="",I322=""),"",IF($B322=0,--(I322=0),""))</f>
        <v/>
      </c>
      <c r="AL322" s="4">
        <f>IF(I322="","",--(I322=1))</f>
        <v/>
      </c>
      <c r="AM322" s="4">
        <f>IF(OR($B322="",J322=""),"",--(J322=$B322))</f>
        <v/>
      </c>
      <c r="AN322" s="4">
        <f>IF(OR($B322="",J322=""),"",IF($B322=1,--(J322=1),""))</f>
        <v/>
      </c>
      <c r="AO322" s="4">
        <f>IF(OR($B322="",J322=""),"",IF($B322=0,--(J322=0),""))</f>
        <v/>
      </c>
      <c r="AP322" s="4">
        <f>IF(J322="","",--(J322=1))</f>
        <v/>
      </c>
      <c r="AQ322" s="4">
        <f>IF(OR($B322="",K322=""),"",--(K322=$B322))</f>
        <v/>
      </c>
      <c r="AR322" s="4">
        <f>IF(OR($B322="",K322=""),"",IF($B322=1,--(K322=1),""))</f>
        <v/>
      </c>
      <c r="AS322" s="4">
        <f>IF(OR($B322="",K322=""),"",IF($B322=0,--(K322=0),""))</f>
        <v/>
      </c>
      <c r="AT322" s="4">
        <f>IF(K322="","",--(K322=1))</f>
        <v/>
      </c>
      <c r="AU322" s="4">
        <f>IF(OR($B322="",L322=""),"",--(L322=$B322))</f>
        <v/>
      </c>
      <c r="AV322" s="4">
        <f>IF(OR($B322="",L322=""),"",IF($B322=1,--(L322=1),""))</f>
        <v/>
      </c>
      <c r="AW322" s="4">
        <f>IF(OR($B322="",L322=""),"",IF($B322=0,--(L322=0),""))</f>
        <v/>
      </c>
      <c r="AX322" s="4">
        <f>IF(L322="","",--(L322=1))</f>
        <v/>
      </c>
      <c r="AY322" s="4">
        <f>IF(OR($B322="",M322=""),"",--(M322=$B322))</f>
        <v/>
      </c>
      <c r="AZ322" s="4">
        <f>IF(OR($B322="",M322=""),"",IF($B322=1,--(M322=1),""))</f>
        <v/>
      </c>
      <c r="BA322" s="4">
        <f>IF(OR($B322="",M322=""),"",IF($B322=0,--(M322=0),""))</f>
        <v/>
      </c>
      <c r="BB322" s="4">
        <f>IF(M322="","",--(M322=1))</f>
        <v/>
      </c>
      <c r="BC322" s="4">
        <f>IF(OR($B322="",N322=""),"",--(N322=$B322))</f>
        <v/>
      </c>
      <c r="BD322" s="4">
        <f>IF(OR($B322="",N322=""),"",IF($B322=1,--(N322=1),""))</f>
        <v/>
      </c>
      <c r="BE322" s="4">
        <f>IF(OR($B322="",N322=""),"",IF($B322=0,--(N322=0),""))</f>
        <v/>
      </c>
      <c r="BF322" s="4">
        <f>IF(N322="","",--(N322=1))</f>
        <v/>
      </c>
    </row>
    <row r="323">
      <c r="A323" s="3" t="inlineStr">
        <is>
          <t>20215129</t>
        </is>
      </c>
      <c r="B323" s="3" t="inlineStr">
        <is>
          <t>1</t>
        </is>
      </c>
      <c r="C323" s="3" t="inlineStr">
        <is>
          <t>Direct</t>
        </is>
      </c>
      <c r="D323" s="3" t="inlineStr">
        <is>
          <t>1</t>
        </is>
      </c>
      <c r="E323" s="3" t="inlineStr">
        <is>
          <t>1</t>
        </is>
      </c>
      <c r="F323" s="3" t="inlineStr">
        <is>
          <t>1</t>
        </is>
      </c>
      <c r="G323" s="3" t="inlineStr">
        <is>
          <t>1</t>
        </is>
      </c>
      <c r="H323" s="3" t="inlineStr">
        <is>
          <t>1</t>
        </is>
      </c>
      <c r="I323" s="3" t="inlineStr">
        <is>
          <t>1</t>
        </is>
      </c>
      <c r="J323" s="3" t="inlineStr">
        <is>
          <t>1</t>
        </is>
      </c>
      <c r="K323" s="3" t="inlineStr">
        <is>
          <t>1</t>
        </is>
      </c>
      <c r="L323" s="3" t="inlineStr">
        <is>
          <t>1</t>
        </is>
      </c>
      <c r="M323" s="3" t="inlineStr">
        <is>
          <t>1</t>
        </is>
      </c>
      <c r="N323" s="3" t="inlineStr">
        <is>
          <t>1</t>
        </is>
      </c>
      <c r="O323" s="4">
        <f>IF(OR($B323="",D323=""),"",--(D323=$B323))</f>
        <v/>
      </c>
      <c r="P323" s="4">
        <f>IF(OR($B323="",D323=""),"",IF($B323=1,--(D323=1),""))</f>
        <v/>
      </c>
      <c r="Q323" s="4">
        <f>IF(OR($B323="",D323=""),"",IF($B323=0,--(D323=0),""))</f>
        <v/>
      </c>
      <c r="R323" s="4">
        <f>IF(D323="","",--(D323=1))</f>
        <v/>
      </c>
      <c r="S323" s="4">
        <f>IF(OR($B323="",E323=""),"",--(E323=$B323))</f>
        <v/>
      </c>
      <c r="T323" s="4">
        <f>IF(OR($B323="",E323=""),"",IF($B323=1,--(E323=1),""))</f>
        <v/>
      </c>
      <c r="U323" s="4">
        <f>IF(OR($B323="",E323=""),"",IF($B323=0,--(E323=0),""))</f>
        <v/>
      </c>
      <c r="V323" s="4">
        <f>IF(E323="","",--(E323=1))</f>
        <v/>
      </c>
      <c r="W323" s="4">
        <f>IF(OR($B323="",F323=""),"",--(F323=$B323))</f>
        <v/>
      </c>
      <c r="X323" s="4">
        <f>IF(OR($B323="",F323=""),"",IF($B323=1,--(F323=1),""))</f>
        <v/>
      </c>
      <c r="Y323" s="4">
        <f>IF(OR($B323="",F323=""),"",IF($B323=0,--(F323=0),""))</f>
        <v/>
      </c>
      <c r="Z323" s="4">
        <f>IF(F323="","",--(F323=1))</f>
        <v/>
      </c>
      <c r="AA323" s="4">
        <f>IF(OR($B323="",G323=""),"",--(G323=$B323))</f>
        <v/>
      </c>
      <c r="AB323" s="4">
        <f>IF(OR($B323="",G323=""),"",IF($B323=1,--(G323=1),""))</f>
        <v/>
      </c>
      <c r="AC323" s="4">
        <f>IF(OR($B323="",G323=""),"",IF($B323=0,--(G323=0),""))</f>
        <v/>
      </c>
      <c r="AD323" s="4">
        <f>IF(G323="","",--(G323=1))</f>
        <v/>
      </c>
      <c r="AE323" s="4">
        <f>IF(OR($B323="",H323=""),"",--(H323=$B323))</f>
        <v/>
      </c>
      <c r="AF323" s="4">
        <f>IF(OR($B323="",H323=""),"",IF($B323=1,--(H323=1),""))</f>
        <v/>
      </c>
      <c r="AG323" s="4">
        <f>IF(OR($B323="",H323=""),"",IF($B323=0,--(H323=0),""))</f>
        <v/>
      </c>
      <c r="AH323" s="4">
        <f>IF(H323="","",--(H323=1))</f>
        <v/>
      </c>
      <c r="AI323" s="4">
        <f>IF(OR($B323="",I323=""),"",--(I323=$B323))</f>
        <v/>
      </c>
      <c r="AJ323" s="4">
        <f>IF(OR($B323="",I323=""),"",IF($B323=1,--(I323=1),""))</f>
        <v/>
      </c>
      <c r="AK323" s="4">
        <f>IF(OR($B323="",I323=""),"",IF($B323=0,--(I323=0),""))</f>
        <v/>
      </c>
      <c r="AL323" s="4">
        <f>IF(I323="","",--(I323=1))</f>
        <v/>
      </c>
      <c r="AM323" s="4">
        <f>IF(OR($B323="",J323=""),"",--(J323=$B323))</f>
        <v/>
      </c>
      <c r="AN323" s="4">
        <f>IF(OR($B323="",J323=""),"",IF($B323=1,--(J323=1),""))</f>
        <v/>
      </c>
      <c r="AO323" s="4">
        <f>IF(OR($B323="",J323=""),"",IF($B323=0,--(J323=0),""))</f>
        <v/>
      </c>
      <c r="AP323" s="4">
        <f>IF(J323="","",--(J323=1))</f>
        <v/>
      </c>
      <c r="AQ323" s="4">
        <f>IF(OR($B323="",K323=""),"",--(K323=$B323))</f>
        <v/>
      </c>
      <c r="AR323" s="4">
        <f>IF(OR($B323="",K323=""),"",IF($B323=1,--(K323=1),""))</f>
        <v/>
      </c>
      <c r="AS323" s="4">
        <f>IF(OR($B323="",K323=""),"",IF($B323=0,--(K323=0),""))</f>
        <v/>
      </c>
      <c r="AT323" s="4">
        <f>IF(K323="","",--(K323=1))</f>
        <v/>
      </c>
      <c r="AU323" s="4">
        <f>IF(OR($B323="",L323=""),"",--(L323=$B323))</f>
        <v/>
      </c>
      <c r="AV323" s="4">
        <f>IF(OR($B323="",L323=""),"",IF($B323=1,--(L323=1),""))</f>
        <v/>
      </c>
      <c r="AW323" s="4">
        <f>IF(OR($B323="",L323=""),"",IF($B323=0,--(L323=0),""))</f>
        <v/>
      </c>
      <c r="AX323" s="4">
        <f>IF(L323="","",--(L323=1))</f>
        <v/>
      </c>
      <c r="AY323" s="4">
        <f>IF(OR($B323="",M323=""),"",--(M323=$B323))</f>
        <v/>
      </c>
      <c r="AZ323" s="4">
        <f>IF(OR($B323="",M323=""),"",IF($B323=1,--(M323=1),""))</f>
        <v/>
      </c>
      <c r="BA323" s="4">
        <f>IF(OR($B323="",M323=""),"",IF($B323=0,--(M323=0),""))</f>
        <v/>
      </c>
      <c r="BB323" s="4">
        <f>IF(M323="","",--(M323=1))</f>
        <v/>
      </c>
      <c r="BC323" s="4">
        <f>IF(OR($B323="",N323=""),"",--(N323=$B323))</f>
        <v/>
      </c>
      <c r="BD323" s="4">
        <f>IF(OR($B323="",N323=""),"",IF($B323=1,--(N323=1),""))</f>
        <v/>
      </c>
      <c r="BE323" s="4">
        <f>IF(OR($B323="",N323=""),"",IF($B323=0,--(N323=0),""))</f>
        <v/>
      </c>
      <c r="BF323" s="4">
        <f>IF(N323="","",--(N323=1))</f>
        <v/>
      </c>
    </row>
    <row r="324">
      <c r="A324" s="3" t="inlineStr">
        <is>
          <t>202151436</t>
        </is>
      </c>
      <c r="B324" s="3" t="inlineStr">
        <is>
          <t>1</t>
        </is>
      </c>
      <c r="C324" s="3" t="inlineStr">
        <is>
          <t>Direct</t>
        </is>
      </c>
      <c r="D324" s="3" t="inlineStr">
        <is>
          <t>1</t>
        </is>
      </c>
      <c r="E324" s="3" t="inlineStr">
        <is>
          <t>1</t>
        </is>
      </c>
      <c r="F324" s="3" t="inlineStr">
        <is>
          <t>1</t>
        </is>
      </c>
      <c r="G324" s="3" t="inlineStr">
        <is>
          <t>1</t>
        </is>
      </c>
      <c r="H324" s="3" t="inlineStr">
        <is>
          <t>1</t>
        </is>
      </c>
      <c r="I324" s="3" t="inlineStr">
        <is>
          <t>1</t>
        </is>
      </c>
      <c r="J324" s="3" t="inlineStr">
        <is>
          <t>1</t>
        </is>
      </c>
      <c r="K324" s="3" t="inlineStr">
        <is>
          <t>1</t>
        </is>
      </c>
      <c r="L324" s="3" t="inlineStr">
        <is>
          <t>1</t>
        </is>
      </c>
      <c r="M324" s="3" t="inlineStr">
        <is>
          <t>1</t>
        </is>
      </c>
      <c r="N324" s="3" t="inlineStr">
        <is>
          <t>1</t>
        </is>
      </c>
      <c r="O324" s="4">
        <f>IF(OR($B324="",D324=""),"",--(D324=$B324))</f>
        <v/>
      </c>
      <c r="P324" s="4">
        <f>IF(OR($B324="",D324=""),"",IF($B324=1,--(D324=1),""))</f>
        <v/>
      </c>
      <c r="Q324" s="4">
        <f>IF(OR($B324="",D324=""),"",IF($B324=0,--(D324=0),""))</f>
        <v/>
      </c>
      <c r="R324" s="4">
        <f>IF(D324="","",--(D324=1))</f>
        <v/>
      </c>
      <c r="S324" s="4">
        <f>IF(OR($B324="",E324=""),"",--(E324=$B324))</f>
        <v/>
      </c>
      <c r="T324" s="4">
        <f>IF(OR($B324="",E324=""),"",IF($B324=1,--(E324=1),""))</f>
        <v/>
      </c>
      <c r="U324" s="4">
        <f>IF(OR($B324="",E324=""),"",IF($B324=0,--(E324=0),""))</f>
        <v/>
      </c>
      <c r="V324" s="4">
        <f>IF(E324="","",--(E324=1))</f>
        <v/>
      </c>
      <c r="W324" s="4">
        <f>IF(OR($B324="",F324=""),"",--(F324=$B324))</f>
        <v/>
      </c>
      <c r="X324" s="4">
        <f>IF(OR($B324="",F324=""),"",IF($B324=1,--(F324=1),""))</f>
        <v/>
      </c>
      <c r="Y324" s="4">
        <f>IF(OR($B324="",F324=""),"",IF($B324=0,--(F324=0),""))</f>
        <v/>
      </c>
      <c r="Z324" s="4">
        <f>IF(F324="","",--(F324=1))</f>
        <v/>
      </c>
      <c r="AA324" s="4">
        <f>IF(OR($B324="",G324=""),"",--(G324=$B324))</f>
        <v/>
      </c>
      <c r="AB324" s="4">
        <f>IF(OR($B324="",G324=""),"",IF($B324=1,--(G324=1),""))</f>
        <v/>
      </c>
      <c r="AC324" s="4">
        <f>IF(OR($B324="",G324=""),"",IF($B324=0,--(G324=0),""))</f>
        <v/>
      </c>
      <c r="AD324" s="4">
        <f>IF(G324="","",--(G324=1))</f>
        <v/>
      </c>
      <c r="AE324" s="4">
        <f>IF(OR($B324="",H324=""),"",--(H324=$B324))</f>
        <v/>
      </c>
      <c r="AF324" s="4">
        <f>IF(OR($B324="",H324=""),"",IF($B324=1,--(H324=1),""))</f>
        <v/>
      </c>
      <c r="AG324" s="4">
        <f>IF(OR($B324="",H324=""),"",IF($B324=0,--(H324=0),""))</f>
        <v/>
      </c>
      <c r="AH324" s="4">
        <f>IF(H324="","",--(H324=1))</f>
        <v/>
      </c>
      <c r="AI324" s="4">
        <f>IF(OR($B324="",I324=""),"",--(I324=$B324))</f>
        <v/>
      </c>
      <c r="AJ324" s="4">
        <f>IF(OR($B324="",I324=""),"",IF($B324=1,--(I324=1),""))</f>
        <v/>
      </c>
      <c r="AK324" s="4">
        <f>IF(OR($B324="",I324=""),"",IF($B324=0,--(I324=0),""))</f>
        <v/>
      </c>
      <c r="AL324" s="4">
        <f>IF(I324="","",--(I324=1))</f>
        <v/>
      </c>
      <c r="AM324" s="4">
        <f>IF(OR($B324="",J324=""),"",--(J324=$B324))</f>
        <v/>
      </c>
      <c r="AN324" s="4">
        <f>IF(OR($B324="",J324=""),"",IF($B324=1,--(J324=1),""))</f>
        <v/>
      </c>
      <c r="AO324" s="4">
        <f>IF(OR($B324="",J324=""),"",IF($B324=0,--(J324=0),""))</f>
        <v/>
      </c>
      <c r="AP324" s="4">
        <f>IF(J324="","",--(J324=1))</f>
        <v/>
      </c>
      <c r="AQ324" s="4">
        <f>IF(OR($B324="",K324=""),"",--(K324=$B324))</f>
        <v/>
      </c>
      <c r="AR324" s="4">
        <f>IF(OR($B324="",K324=""),"",IF($B324=1,--(K324=1),""))</f>
        <v/>
      </c>
      <c r="AS324" s="4">
        <f>IF(OR($B324="",K324=""),"",IF($B324=0,--(K324=0),""))</f>
        <v/>
      </c>
      <c r="AT324" s="4">
        <f>IF(K324="","",--(K324=1))</f>
        <v/>
      </c>
      <c r="AU324" s="4">
        <f>IF(OR($B324="",L324=""),"",--(L324=$B324))</f>
        <v/>
      </c>
      <c r="AV324" s="4">
        <f>IF(OR($B324="",L324=""),"",IF($B324=1,--(L324=1),""))</f>
        <v/>
      </c>
      <c r="AW324" s="4">
        <f>IF(OR($B324="",L324=""),"",IF($B324=0,--(L324=0),""))</f>
        <v/>
      </c>
      <c r="AX324" s="4">
        <f>IF(L324="","",--(L324=1))</f>
        <v/>
      </c>
      <c r="AY324" s="4">
        <f>IF(OR($B324="",M324=""),"",--(M324=$B324))</f>
        <v/>
      </c>
      <c r="AZ324" s="4">
        <f>IF(OR($B324="",M324=""),"",IF($B324=1,--(M324=1),""))</f>
        <v/>
      </c>
      <c r="BA324" s="4">
        <f>IF(OR($B324="",M324=""),"",IF($B324=0,--(M324=0),""))</f>
        <v/>
      </c>
      <c r="BB324" s="4">
        <f>IF(M324="","",--(M324=1))</f>
        <v/>
      </c>
      <c r="BC324" s="4">
        <f>IF(OR($B324="",N324=""),"",--(N324=$B324))</f>
        <v/>
      </c>
      <c r="BD324" s="4">
        <f>IF(OR($B324="",N324=""),"",IF($B324=1,--(N324=1),""))</f>
        <v/>
      </c>
      <c r="BE324" s="4">
        <f>IF(OR($B324="",N324=""),"",IF($B324=0,--(N324=0),""))</f>
        <v/>
      </c>
      <c r="BF324" s="4">
        <f>IF(N324="","",--(N324=1))</f>
        <v/>
      </c>
    </row>
    <row r="325">
      <c r="A325" s="3" t="inlineStr">
        <is>
          <t>20215149</t>
        </is>
      </c>
      <c r="B325" s="3" t="inlineStr">
        <is>
          <t>1</t>
        </is>
      </c>
      <c r="C325" s="3" t="inlineStr">
        <is>
          <t>Direct</t>
        </is>
      </c>
      <c r="D325" s="3" t="inlineStr">
        <is>
          <t>1</t>
        </is>
      </c>
      <c r="E325" s="3" t="inlineStr">
        <is>
          <t>1</t>
        </is>
      </c>
      <c r="F325" s="3" t="inlineStr">
        <is>
          <t>0</t>
        </is>
      </c>
      <c r="G325" s="3" t="inlineStr">
        <is>
          <t>0</t>
        </is>
      </c>
      <c r="H325" s="3" t="inlineStr">
        <is>
          <t>1</t>
        </is>
      </c>
      <c r="I325" s="3" t="inlineStr">
        <is>
          <t>1</t>
        </is>
      </c>
      <c r="J325" s="3" t="inlineStr">
        <is>
          <t>1</t>
        </is>
      </c>
      <c r="K325" s="3" t="inlineStr">
        <is>
          <t>1</t>
        </is>
      </c>
      <c r="L325" s="3" t="inlineStr">
        <is>
          <t>1</t>
        </is>
      </c>
      <c r="M325" s="3" t="inlineStr">
        <is>
          <t>1</t>
        </is>
      </c>
      <c r="N325" s="3" t="inlineStr">
        <is>
          <t>1</t>
        </is>
      </c>
      <c r="O325" s="4">
        <f>IF(OR($B325="",D325=""),"",--(D325=$B325))</f>
        <v/>
      </c>
      <c r="P325" s="4">
        <f>IF(OR($B325="",D325=""),"",IF($B325=1,--(D325=1),""))</f>
        <v/>
      </c>
      <c r="Q325" s="4">
        <f>IF(OR($B325="",D325=""),"",IF($B325=0,--(D325=0),""))</f>
        <v/>
      </c>
      <c r="R325" s="4">
        <f>IF(D325="","",--(D325=1))</f>
        <v/>
      </c>
      <c r="S325" s="4">
        <f>IF(OR($B325="",E325=""),"",--(E325=$B325))</f>
        <v/>
      </c>
      <c r="T325" s="4">
        <f>IF(OR($B325="",E325=""),"",IF($B325=1,--(E325=1),""))</f>
        <v/>
      </c>
      <c r="U325" s="4">
        <f>IF(OR($B325="",E325=""),"",IF($B325=0,--(E325=0),""))</f>
        <v/>
      </c>
      <c r="V325" s="4">
        <f>IF(E325="","",--(E325=1))</f>
        <v/>
      </c>
      <c r="W325" s="4">
        <f>IF(OR($B325="",F325=""),"",--(F325=$B325))</f>
        <v/>
      </c>
      <c r="X325" s="4">
        <f>IF(OR($B325="",F325=""),"",IF($B325=1,--(F325=1),""))</f>
        <v/>
      </c>
      <c r="Y325" s="4">
        <f>IF(OR($B325="",F325=""),"",IF($B325=0,--(F325=0),""))</f>
        <v/>
      </c>
      <c r="Z325" s="4">
        <f>IF(F325="","",--(F325=1))</f>
        <v/>
      </c>
      <c r="AA325" s="4">
        <f>IF(OR($B325="",G325=""),"",--(G325=$B325))</f>
        <v/>
      </c>
      <c r="AB325" s="4">
        <f>IF(OR($B325="",G325=""),"",IF($B325=1,--(G325=1),""))</f>
        <v/>
      </c>
      <c r="AC325" s="4">
        <f>IF(OR($B325="",G325=""),"",IF($B325=0,--(G325=0),""))</f>
        <v/>
      </c>
      <c r="AD325" s="4">
        <f>IF(G325="","",--(G325=1))</f>
        <v/>
      </c>
      <c r="AE325" s="4">
        <f>IF(OR($B325="",H325=""),"",--(H325=$B325))</f>
        <v/>
      </c>
      <c r="AF325" s="4">
        <f>IF(OR($B325="",H325=""),"",IF($B325=1,--(H325=1),""))</f>
        <v/>
      </c>
      <c r="AG325" s="4">
        <f>IF(OR($B325="",H325=""),"",IF($B325=0,--(H325=0),""))</f>
        <v/>
      </c>
      <c r="AH325" s="4">
        <f>IF(H325="","",--(H325=1))</f>
        <v/>
      </c>
      <c r="AI325" s="4">
        <f>IF(OR($B325="",I325=""),"",--(I325=$B325))</f>
        <v/>
      </c>
      <c r="AJ325" s="4">
        <f>IF(OR($B325="",I325=""),"",IF($B325=1,--(I325=1),""))</f>
        <v/>
      </c>
      <c r="AK325" s="4">
        <f>IF(OR($B325="",I325=""),"",IF($B325=0,--(I325=0),""))</f>
        <v/>
      </c>
      <c r="AL325" s="4">
        <f>IF(I325="","",--(I325=1))</f>
        <v/>
      </c>
      <c r="AM325" s="4">
        <f>IF(OR($B325="",J325=""),"",--(J325=$B325))</f>
        <v/>
      </c>
      <c r="AN325" s="4">
        <f>IF(OR($B325="",J325=""),"",IF($B325=1,--(J325=1),""))</f>
        <v/>
      </c>
      <c r="AO325" s="4">
        <f>IF(OR($B325="",J325=""),"",IF($B325=0,--(J325=0),""))</f>
        <v/>
      </c>
      <c r="AP325" s="4">
        <f>IF(J325="","",--(J325=1))</f>
        <v/>
      </c>
      <c r="AQ325" s="4">
        <f>IF(OR($B325="",K325=""),"",--(K325=$B325))</f>
        <v/>
      </c>
      <c r="AR325" s="4">
        <f>IF(OR($B325="",K325=""),"",IF($B325=1,--(K325=1),""))</f>
        <v/>
      </c>
      <c r="AS325" s="4">
        <f>IF(OR($B325="",K325=""),"",IF($B325=0,--(K325=0),""))</f>
        <v/>
      </c>
      <c r="AT325" s="4">
        <f>IF(K325="","",--(K325=1))</f>
        <v/>
      </c>
      <c r="AU325" s="4">
        <f>IF(OR($B325="",L325=""),"",--(L325=$B325))</f>
        <v/>
      </c>
      <c r="AV325" s="4">
        <f>IF(OR($B325="",L325=""),"",IF($B325=1,--(L325=1),""))</f>
        <v/>
      </c>
      <c r="AW325" s="4">
        <f>IF(OR($B325="",L325=""),"",IF($B325=0,--(L325=0),""))</f>
        <v/>
      </c>
      <c r="AX325" s="4">
        <f>IF(L325="","",--(L325=1))</f>
        <v/>
      </c>
      <c r="AY325" s="4">
        <f>IF(OR($B325="",M325=""),"",--(M325=$B325))</f>
        <v/>
      </c>
      <c r="AZ325" s="4">
        <f>IF(OR($B325="",M325=""),"",IF($B325=1,--(M325=1),""))</f>
        <v/>
      </c>
      <c r="BA325" s="4">
        <f>IF(OR($B325="",M325=""),"",IF($B325=0,--(M325=0),""))</f>
        <v/>
      </c>
      <c r="BB325" s="4">
        <f>IF(M325="","",--(M325=1))</f>
        <v/>
      </c>
      <c r="BC325" s="4">
        <f>IF(OR($B325="",N325=""),"",--(N325=$B325))</f>
        <v/>
      </c>
      <c r="BD325" s="4">
        <f>IF(OR($B325="",N325=""),"",IF($B325=1,--(N325=1),""))</f>
        <v/>
      </c>
      <c r="BE325" s="4">
        <f>IF(OR($B325="",N325=""),"",IF($B325=0,--(N325=0),""))</f>
        <v/>
      </c>
      <c r="BF325" s="4">
        <f>IF(N325="","",--(N325=1))</f>
        <v/>
      </c>
    </row>
    <row r="326">
      <c r="A326" s="3" t="inlineStr">
        <is>
          <t>202151504</t>
        </is>
      </c>
      <c r="B326" s="3" t="inlineStr">
        <is>
          <t>1</t>
        </is>
      </c>
      <c r="C326" s="3" t="inlineStr">
        <is>
          <t>Direct</t>
        </is>
      </c>
      <c r="D326" s="3" t="inlineStr">
        <is>
          <t>1</t>
        </is>
      </c>
      <c r="E326" s="3" t="inlineStr">
        <is>
          <t>0</t>
        </is>
      </c>
      <c r="F326" s="3" t="inlineStr">
        <is>
          <t>0</t>
        </is>
      </c>
      <c r="G326" s="3" t="inlineStr">
        <is>
          <t>1</t>
        </is>
      </c>
      <c r="H326" s="3" t="inlineStr">
        <is>
          <t>1</t>
        </is>
      </c>
      <c r="I326" s="3" t="inlineStr">
        <is>
          <t>1</t>
        </is>
      </c>
      <c r="J326" s="3" t="inlineStr">
        <is>
          <t>1</t>
        </is>
      </c>
      <c r="K326" s="3" t="inlineStr">
        <is>
          <t>1</t>
        </is>
      </c>
      <c r="L326" s="3" t="inlineStr">
        <is>
          <t>1</t>
        </is>
      </c>
      <c r="M326" s="3" t="inlineStr">
        <is>
          <t>1</t>
        </is>
      </c>
      <c r="N326" s="3" t="inlineStr">
        <is>
          <t>1</t>
        </is>
      </c>
      <c r="O326" s="4">
        <f>IF(OR($B326="",D326=""),"",--(D326=$B326))</f>
        <v/>
      </c>
      <c r="P326" s="4">
        <f>IF(OR($B326="",D326=""),"",IF($B326=1,--(D326=1),""))</f>
        <v/>
      </c>
      <c r="Q326" s="4">
        <f>IF(OR($B326="",D326=""),"",IF($B326=0,--(D326=0),""))</f>
        <v/>
      </c>
      <c r="R326" s="4">
        <f>IF(D326="","",--(D326=1))</f>
        <v/>
      </c>
      <c r="S326" s="4">
        <f>IF(OR($B326="",E326=""),"",--(E326=$B326))</f>
        <v/>
      </c>
      <c r="T326" s="4">
        <f>IF(OR($B326="",E326=""),"",IF($B326=1,--(E326=1),""))</f>
        <v/>
      </c>
      <c r="U326" s="4">
        <f>IF(OR($B326="",E326=""),"",IF($B326=0,--(E326=0),""))</f>
        <v/>
      </c>
      <c r="V326" s="4">
        <f>IF(E326="","",--(E326=1))</f>
        <v/>
      </c>
      <c r="W326" s="4">
        <f>IF(OR($B326="",F326=""),"",--(F326=$B326))</f>
        <v/>
      </c>
      <c r="X326" s="4">
        <f>IF(OR($B326="",F326=""),"",IF($B326=1,--(F326=1),""))</f>
        <v/>
      </c>
      <c r="Y326" s="4">
        <f>IF(OR($B326="",F326=""),"",IF($B326=0,--(F326=0),""))</f>
        <v/>
      </c>
      <c r="Z326" s="4">
        <f>IF(F326="","",--(F326=1))</f>
        <v/>
      </c>
      <c r="AA326" s="4">
        <f>IF(OR($B326="",G326=""),"",--(G326=$B326))</f>
        <v/>
      </c>
      <c r="AB326" s="4">
        <f>IF(OR($B326="",G326=""),"",IF($B326=1,--(G326=1),""))</f>
        <v/>
      </c>
      <c r="AC326" s="4">
        <f>IF(OR($B326="",G326=""),"",IF($B326=0,--(G326=0),""))</f>
        <v/>
      </c>
      <c r="AD326" s="4">
        <f>IF(G326="","",--(G326=1))</f>
        <v/>
      </c>
      <c r="AE326" s="4">
        <f>IF(OR($B326="",H326=""),"",--(H326=$B326))</f>
        <v/>
      </c>
      <c r="AF326" s="4">
        <f>IF(OR($B326="",H326=""),"",IF($B326=1,--(H326=1),""))</f>
        <v/>
      </c>
      <c r="AG326" s="4">
        <f>IF(OR($B326="",H326=""),"",IF($B326=0,--(H326=0),""))</f>
        <v/>
      </c>
      <c r="AH326" s="4">
        <f>IF(H326="","",--(H326=1))</f>
        <v/>
      </c>
      <c r="AI326" s="4">
        <f>IF(OR($B326="",I326=""),"",--(I326=$B326))</f>
        <v/>
      </c>
      <c r="AJ326" s="4">
        <f>IF(OR($B326="",I326=""),"",IF($B326=1,--(I326=1),""))</f>
        <v/>
      </c>
      <c r="AK326" s="4">
        <f>IF(OR($B326="",I326=""),"",IF($B326=0,--(I326=0),""))</f>
        <v/>
      </c>
      <c r="AL326" s="4">
        <f>IF(I326="","",--(I326=1))</f>
        <v/>
      </c>
      <c r="AM326" s="4">
        <f>IF(OR($B326="",J326=""),"",--(J326=$B326))</f>
        <v/>
      </c>
      <c r="AN326" s="4">
        <f>IF(OR($B326="",J326=""),"",IF($B326=1,--(J326=1),""))</f>
        <v/>
      </c>
      <c r="AO326" s="4">
        <f>IF(OR($B326="",J326=""),"",IF($B326=0,--(J326=0),""))</f>
        <v/>
      </c>
      <c r="AP326" s="4">
        <f>IF(J326="","",--(J326=1))</f>
        <v/>
      </c>
      <c r="AQ326" s="4">
        <f>IF(OR($B326="",K326=""),"",--(K326=$B326))</f>
        <v/>
      </c>
      <c r="AR326" s="4">
        <f>IF(OR($B326="",K326=""),"",IF($B326=1,--(K326=1),""))</f>
        <v/>
      </c>
      <c r="AS326" s="4">
        <f>IF(OR($B326="",K326=""),"",IF($B326=0,--(K326=0),""))</f>
        <v/>
      </c>
      <c r="AT326" s="4">
        <f>IF(K326="","",--(K326=1))</f>
        <v/>
      </c>
      <c r="AU326" s="4">
        <f>IF(OR($B326="",L326=""),"",--(L326=$B326))</f>
        <v/>
      </c>
      <c r="AV326" s="4">
        <f>IF(OR($B326="",L326=""),"",IF($B326=1,--(L326=1),""))</f>
        <v/>
      </c>
      <c r="AW326" s="4">
        <f>IF(OR($B326="",L326=""),"",IF($B326=0,--(L326=0),""))</f>
        <v/>
      </c>
      <c r="AX326" s="4">
        <f>IF(L326="","",--(L326=1))</f>
        <v/>
      </c>
      <c r="AY326" s="4">
        <f>IF(OR($B326="",M326=""),"",--(M326=$B326))</f>
        <v/>
      </c>
      <c r="AZ326" s="4">
        <f>IF(OR($B326="",M326=""),"",IF($B326=1,--(M326=1),""))</f>
        <v/>
      </c>
      <c r="BA326" s="4">
        <f>IF(OR($B326="",M326=""),"",IF($B326=0,--(M326=0),""))</f>
        <v/>
      </c>
      <c r="BB326" s="4">
        <f>IF(M326="","",--(M326=1))</f>
        <v/>
      </c>
      <c r="BC326" s="4">
        <f>IF(OR($B326="",N326=""),"",--(N326=$B326))</f>
        <v/>
      </c>
      <c r="BD326" s="4">
        <f>IF(OR($B326="",N326=""),"",IF($B326=1,--(N326=1),""))</f>
        <v/>
      </c>
      <c r="BE326" s="4">
        <f>IF(OR($B326="",N326=""),"",IF($B326=0,--(N326=0),""))</f>
        <v/>
      </c>
      <c r="BF326" s="4">
        <f>IF(N326="","",--(N326=1))</f>
        <v/>
      </c>
    </row>
    <row r="327">
      <c r="A327" s="3" t="inlineStr">
        <is>
          <t>202151560</t>
        </is>
      </c>
      <c r="B327" s="3" t="inlineStr">
        <is>
          <t>0</t>
        </is>
      </c>
      <c r="C327" s="3" t="inlineStr">
        <is>
          <t>Direct</t>
        </is>
      </c>
      <c r="D327" s="3" t="inlineStr">
        <is>
          <t>0</t>
        </is>
      </c>
      <c r="E327" s="3" t="inlineStr">
        <is>
          <t>0</t>
        </is>
      </c>
      <c r="F327" s="3" t="inlineStr">
        <is>
          <t>0</t>
        </is>
      </c>
      <c r="G327" s="3" t="inlineStr">
        <is>
          <t>0</t>
        </is>
      </c>
      <c r="H327" s="3" t="inlineStr">
        <is>
          <t>0</t>
        </is>
      </c>
      <c r="I327" s="3" t="inlineStr">
        <is>
          <t>0</t>
        </is>
      </c>
      <c r="J327" s="3" t="inlineStr">
        <is>
          <t>0</t>
        </is>
      </c>
      <c r="K327" s="3" t="inlineStr">
        <is>
          <t>0</t>
        </is>
      </c>
      <c r="L327" s="3" t="inlineStr">
        <is>
          <t>0</t>
        </is>
      </c>
      <c r="M327" s="3" t="inlineStr">
        <is>
          <t>0</t>
        </is>
      </c>
      <c r="N327" s="3" t="inlineStr">
        <is>
          <t>0</t>
        </is>
      </c>
      <c r="O327" s="4">
        <f>IF(OR($B327="",D327=""),"",--(D327=$B327))</f>
        <v/>
      </c>
      <c r="P327" s="4">
        <f>IF(OR($B327="",D327=""),"",IF($B327=1,--(D327=1),""))</f>
        <v/>
      </c>
      <c r="Q327" s="4">
        <f>IF(OR($B327="",D327=""),"",IF($B327=0,--(D327=0),""))</f>
        <v/>
      </c>
      <c r="R327" s="4">
        <f>IF(D327="","",--(D327=1))</f>
        <v/>
      </c>
      <c r="S327" s="4">
        <f>IF(OR($B327="",E327=""),"",--(E327=$B327))</f>
        <v/>
      </c>
      <c r="T327" s="4">
        <f>IF(OR($B327="",E327=""),"",IF($B327=1,--(E327=1),""))</f>
        <v/>
      </c>
      <c r="U327" s="4">
        <f>IF(OR($B327="",E327=""),"",IF($B327=0,--(E327=0),""))</f>
        <v/>
      </c>
      <c r="V327" s="4">
        <f>IF(E327="","",--(E327=1))</f>
        <v/>
      </c>
      <c r="W327" s="4">
        <f>IF(OR($B327="",F327=""),"",--(F327=$B327))</f>
        <v/>
      </c>
      <c r="X327" s="4">
        <f>IF(OR($B327="",F327=""),"",IF($B327=1,--(F327=1),""))</f>
        <v/>
      </c>
      <c r="Y327" s="4">
        <f>IF(OR($B327="",F327=""),"",IF($B327=0,--(F327=0),""))</f>
        <v/>
      </c>
      <c r="Z327" s="4">
        <f>IF(F327="","",--(F327=1))</f>
        <v/>
      </c>
      <c r="AA327" s="4">
        <f>IF(OR($B327="",G327=""),"",--(G327=$B327))</f>
        <v/>
      </c>
      <c r="AB327" s="4">
        <f>IF(OR($B327="",G327=""),"",IF($B327=1,--(G327=1),""))</f>
        <v/>
      </c>
      <c r="AC327" s="4">
        <f>IF(OR($B327="",G327=""),"",IF($B327=0,--(G327=0),""))</f>
        <v/>
      </c>
      <c r="AD327" s="4">
        <f>IF(G327="","",--(G327=1))</f>
        <v/>
      </c>
      <c r="AE327" s="4">
        <f>IF(OR($B327="",H327=""),"",--(H327=$B327))</f>
        <v/>
      </c>
      <c r="AF327" s="4">
        <f>IF(OR($B327="",H327=""),"",IF($B327=1,--(H327=1),""))</f>
        <v/>
      </c>
      <c r="AG327" s="4">
        <f>IF(OR($B327="",H327=""),"",IF($B327=0,--(H327=0),""))</f>
        <v/>
      </c>
      <c r="AH327" s="4">
        <f>IF(H327="","",--(H327=1))</f>
        <v/>
      </c>
      <c r="AI327" s="4">
        <f>IF(OR($B327="",I327=""),"",--(I327=$B327))</f>
        <v/>
      </c>
      <c r="AJ327" s="4">
        <f>IF(OR($B327="",I327=""),"",IF($B327=1,--(I327=1),""))</f>
        <v/>
      </c>
      <c r="AK327" s="4">
        <f>IF(OR($B327="",I327=""),"",IF($B327=0,--(I327=0),""))</f>
        <v/>
      </c>
      <c r="AL327" s="4">
        <f>IF(I327="","",--(I327=1))</f>
        <v/>
      </c>
      <c r="AM327" s="4">
        <f>IF(OR($B327="",J327=""),"",--(J327=$B327))</f>
        <v/>
      </c>
      <c r="AN327" s="4">
        <f>IF(OR($B327="",J327=""),"",IF($B327=1,--(J327=1),""))</f>
        <v/>
      </c>
      <c r="AO327" s="4">
        <f>IF(OR($B327="",J327=""),"",IF($B327=0,--(J327=0),""))</f>
        <v/>
      </c>
      <c r="AP327" s="4">
        <f>IF(J327="","",--(J327=1))</f>
        <v/>
      </c>
      <c r="AQ327" s="4">
        <f>IF(OR($B327="",K327=""),"",--(K327=$B327))</f>
        <v/>
      </c>
      <c r="AR327" s="4">
        <f>IF(OR($B327="",K327=""),"",IF($B327=1,--(K327=1),""))</f>
        <v/>
      </c>
      <c r="AS327" s="4">
        <f>IF(OR($B327="",K327=""),"",IF($B327=0,--(K327=0),""))</f>
        <v/>
      </c>
      <c r="AT327" s="4">
        <f>IF(K327="","",--(K327=1))</f>
        <v/>
      </c>
      <c r="AU327" s="4">
        <f>IF(OR($B327="",L327=""),"",--(L327=$B327))</f>
        <v/>
      </c>
      <c r="AV327" s="4">
        <f>IF(OR($B327="",L327=""),"",IF($B327=1,--(L327=1),""))</f>
        <v/>
      </c>
      <c r="AW327" s="4">
        <f>IF(OR($B327="",L327=""),"",IF($B327=0,--(L327=0),""))</f>
        <v/>
      </c>
      <c r="AX327" s="4">
        <f>IF(L327="","",--(L327=1))</f>
        <v/>
      </c>
      <c r="AY327" s="4">
        <f>IF(OR($B327="",M327=""),"",--(M327=$B327))</f>
        <v/>
      </c>
      <c r="AZ327" s="4">
        <f>IF(OR($B327="",M327=""),"",IF($B327=1,--(M327=1),""))</f>
        <v/>
      </c>
      <c r="BA327" s="4">
        <f>IF(OR($B327="",M327=""),"",IF($B327=0,--(M327=0),""))</f>
        <v/>
      </c>
      <c r="BB327" s="4">
        <f>IF(M327="","",--(M327=1))</f>
        <v/>
      </c>
      <c r="BC327" s="4">
        <f>IF(OR($B327="",N327=""),"",--(N327=$B327))</f>
        <v/>
      </c>
      <c r="BD327" s="4">
        <f>IF(OR($B327="",N327=""),"",IF($B327=1,--(N327=1),""))</f>
        <v/>
      </c>
      <c r="BE327" s="4">
        <f>IF(OR($B327="",N327=""),"",IF($B327=0,--(N327=0),""))</f>
        <v/>
      </c>
      <c r="BF327" s="4">
        <f>IF(N327="","",--(N327=1))</f>
        <v/>
      </c>
    </row>
    <row r="328">
      <c r="A328" s="3" t="inlineStr">
        <is>
          <t>202151671</t>
        </is>
      </c>
      <c r="B328" s="3" t="inlineStr">
        <is>
          <t>1</t>
        </is>
      </c>
      <c r="C328" s="3" t="inlineStr">
        <is>
          <t>Direct</t>
        </is>
      </c>
      <c r="D328" s="3" t="inlineStr">
        <is>
          <t>1</t>
        </is>
      </c>
      <c r="E328" s="3" t="inlineStr">
        <is>
          <t>1</t>
        </is>
      </c>
      <c r="F328" s="3" t="inlineStr">
        <is>
          <t>1</t>
        </is>
      </c>
      <c r="G328" s="3" t="inlineStr">
        <is>
          <t>1</t>
        </is>
      </c>
      <c r="H328" s="3" t="inlineStr">
        <is>
          <t>1</t>
        </is>
      </c>
      <c r="I328" s="3" t="inlineStr">
        <is>
          <t>1</t>
        </is>
      </c>
      <c r="J328" s="3" t="inlineStr">
        <is>
          <t>1</t>
        </is>
      </c>
      <c r="K328" s="3" t="inlineStr">
        <is>
          <t>1</t>
        </is>
      </c>
      <c r="L328" s="3" t="inlineStr">
        <is>
          <t>1</t>
        </is>
      </c>
      <c r="M328" s="3" t="inlineStr">
        <is>
          <t>1</t>
        </is>
      </c>
      <c r="N328" s="3" t="inlineStr">
        <is>
          <t>1</t>
        </is>
      </c>
      <c r="O328" s="4">
        <f>IF(OR($B328="",D328=""),"",--(D328=$B328))</f>
        <v/>
      </c>
      <c r="P328" s="4">
        <f>IF(OR($B328="",D328=""),"",IF($B328=1,--(D328=1),""))</f>
        <v/>
      </c>
      <c r="Q328" s="4">
        <f>IF(OR($B328="",D328=""),"",IF($B328=0,--(D328=0),""))</f>
        <v/>
      </c>
      <c r="R328" s="4">
        <f>IF(D328="","",--(D328=1))</f>
        <v/>
      </c>
      <c r="S328" s="4">
        <f>IF(OR($B328="",E328=""),"",--(E328=$B328))</f>
        <v/>
      </c>
      <c r="T328" s="4">
        <f>IF(OR($B328="",E328=""),"",IF($B328=1,--(E328=1),""))</f>
        <v/>
      </c>
      <c r="U328" s="4">
        <f>IF(OR($B328="",E328=""),"",IF($B328=0,--(E328=0),""))</f>
        <v/>
      </c>
      <c r="V328" s="4">
        <f>IF(E328="","",--(E328=1))</f>
        <v/>
      </c>
      <c r="W328" s="4">
        <f>IF(OR($B328="",F328=""),"",--(F328=$B328))</f>
        <v/>
      </c>
      <c r="X328" s="4">
        <f>IF(OR($B328="",F328=""),"",IF($B328=1,--(F328=1),""))</f>
        <v/>
      </c>
      <c r="Y328" s="4">
        <f>IF(OR($B328="",F328=""),"",IF($B328=0,--(F328=0),""))</f>
        <v/>
      </c>
      <c r="Z328" s="4">
        <f>IF(F328="","",--(F328=1))</f>
        <v/>
      </c>
      <c r="AA328" s="4">
        <f>IF(OR($B328="",G328=""),"",--(G328=$B328))</f>
        <v/>
      </c>
      <c r="AB328" s="4">
        <f>IF(OR($B328="",G328=""),"",IF($B328=1,--(G328=1),""))</f>
        <v/>
      </c>
      <c r="AC328" s="4">
        <f>IF(OR($B328="",G328=""),"",IF($B328=0,--(G328=0),""))</f>
        <v/>
      </c>
      <c r="AD328" s="4">
        <f>IF(G328="","",--(G328=1))</f>
        <v/>
      </c>
      <c r="AE328" s="4">
        <f>IF(OR($B328="",H328=""),"",--(H328=$B328))</f>
        <v/>
      </c>
      <c r="AF328" s="4">
        <f>IF(OR($B328="",H328=""),"",IF($B328=1,--(H328=1),""))</f>
        <v/>
      </c>
      <c r="AG328" s="4">
        <f>IF(OR($B328="",H328=""),"",IF($B328=0,--(H328=0),""))</f>
        <v/>
      </c>
      <c r="AH328" s="4">
        <f>IF(H328="","",--(H328=1))</f>
        <v/>
      </c>
      <c r="AI328" s="4">
        <f>IF(OR($B328="",I328=""),"",--(I328=$B328))</f>
        <v/>
      </c>
      <c r="AJ328" s="4">
        <f>IF(OR($B328="",I328=""),"",IF($B328=1,--(I328=1),""))</f>
        <v/>
      </c>
      <c r="AK328" s="4">
        <f>IF(OR($B328="",I328=""),"",IF($B328=0,--(I328=0),""))</f>
        <v/>
      </c>
      <c r="AL328" s="4">
        <f>IF(I328="","",--(I328=1))</f>
        <v/>
      </c>
      <c r="AM328" s="4">
        <f>IF(OR($B328="",J328=""),"",--(J328=$B328))</f>
        <v/>
      </c>
      <c r="AN328" s="4">
        <f>IF(OR($B328="",J328=""),"",IF($B328=1,--(J328=1),""))</f>
        <v/>
      </c>
      <c r="AO328" s="4">
        <f>IF(OR($B328="",J328=""),"",IF($B328=0,--(J328=0),""))</f>
        <v/>
      </c>
      <c r="AP328" s="4">
        <f>IF(J328="","",--(J328=1))</f>
        <v/>
      </c>
      <c r="AQ328" s="4">
        <f>IF(OR($B328="",K328=""),"",--(K328=$B328))</f>
        <v/>
      </c>
      <c r="AR328" s="4">
        <f>IF(OR($B328="",K328=""),"",IF($B328=1,--(K328=1),""))</f>
        <v/>
      </c>
      <c r="AS328" s="4">
        <f>IF(OR($B328="",K328=""),"",IF($B328=0,--(K328=0),""))</f>
        <v/>
      </c>
      <c r="AT328" s="4">
        <f>IF(K328="","",--(K328=1))</f>
        <v/>
      </c>
      <c r="AU328" s="4">
        <f>IF(OR($B328="",L328=""),"",--(L328=$B328))</f>
        <v/>
      </c>
      <c r="AV328" s="4">
        <f>IF(OR($B328="",L328=""),"",IF($B328=1,--(L328=1),""))</f>
        <v/>
      </c>
      <c r="AW328" s="4">
        <f>IF(OR($B328="",L328=""),"",IF($B328=0,--(L328=0),""))</f>
        <v/>
      </c>
      <c r="AX328" s="4">
        <f>IF(L328="","",--(L328=1))</f>
        <v/>
      </c>
      <c r="AY328" s="4">
        <f>IF(OR($B328="",M328=""),"",--(M328=$B328))</f>
        <v/>
      </c>
      <c r="AZ328" s="4">
        <f>IF(OR($B328="",M328=""),"",IF($B328=1,--(M328=1),""))</f>
        <v/>
      </c>
      <c r="BA328" s="4">
        <f>IF(OR($B328="",M328=""),"",IF($B328=0,--(M328=0),""))</f>
        <v/>
      </c>
      <c r="BB328" s="4">
        <f>IF(M328="","",--(M328=1))</f>
        <v/>
      </c>
      <c r="BC328" s="4">
        <f>IF(OR($B328="",N328=""),"",--(N328=$B328))</f>
        <v/>
      </c>
      <c r="BD328" s="4">
        <f>IF(OR($B328="",N328=""),"",IF($B328=1,--(N328=1),""))</f>
        <v/>
      </c>
      <c r="BE328" s="4">
        <f>IF(OR($B328="",N328=""),"",IF($B328=0,--(N328=0),""))</f>
        <v/>
      </c>
      <c r="BF328" s="4">
        <f>IF(N328="","",--(N328=1))</f>
        <v/>
      </c>
    </row>
    <row r="329">
      <c r="A329" s="3" t="inlineStr">
        <is>
          <t>20215203</t>
        </is>
      </c>
      <c r="B329" s="3" t="inlineStr">
        <is>
          <t>0</t>
        </is>
      </c>
      <c r="C329" s="3" t="inlineStr">
        <is>
          <t>Direct</t>
        </is>
      </c>
      <c r="D329" s="3" t="inlineStr">
        <is>
          <t>1</t>
        </is>
      </c>
      <c r="E329" s="3" t="inlineStr">
        <is>
          <t>0</t>
        </is>
      </c>
      <c r="F329" s="3" t="inlineStr">
        <is>
          <t>0</t>
        </is>
      </c>
      <c r="G329" s="3" t="inlineStr">
        <is>
          <t>0</t>
        </is>
      </c>
      <c r="H329" s="3" t="inlineStr">
        <is>
          <t>0</t>
        </is>
      </c>
      <c r="I329" s="3" t="inlineStr">
        <is>
          <t>0</t>
        </is>
      </c>
      <c r="J329" s="3" t="inlineStr">
        <is>
          <t>0</t>
        </is>
      </c>
      <c r="K329" s="3" t="inlineStr">
        <is>
          <t>0</t>
        </is>
      </c>
      <c r="L329" s="3" t="inlineStr">
        <is>
          <t>0</t>
        </is>
      </c>
      <c r="M329" s="3" t="inlineStr">
        <is>
          <t>0</t>
        </is>
      </c>
      <c r="N329" s="3" t="inlineStr">
        <is>
          <t>0</t>
        </is>
      </c>
      <c r="O329" s="4">
        <f>IF(OR($B329="",D329=""),"",--(D329=$B329))</f>
        <v/>
      </c>
      <c r="P329" s="4">
        <f>IF(OR($B329="",D329=""),"",IF($B329=1,--(D329=1),""))</f>
        <v/>
      </c>
      <c r="Q329" s="4">
        <f>IF(OR($B329="",D329=""),"",IF($B329=0,--(D329=0),""))</f>
        <v/>
      </c>
      <c r="R329" s="4">
        <f>IF(D329="","",--(D329=1))</f>
        <v/>
      </c>
      <c r="S329" s="4">
        <f>IF(OR($B329="",E329=""),"",--(E329=$B329))</f>
        <v/>
      </c>
      <c r="T329" s="4">
        <f>IF(OR($B329="",E329=""),"",IF($B329=1,--(E329=1),""))</f>
        <v/>
      </c>
      <c r="U329" s="4">
        <f>IF(OR($B329="",E329=""),"",IF($B329=0,--(E329=0),""))</f>
        <v/>
      </c>
      <c r="V329" s="4">
        <f>IF(E329="","",--(E329=1))</f>
        <v/>
      </c>
      <c r="W329" s="4">
        <f>IF(OR($B329="",F329=""),"",--(F329=$B329))</f>
        <v/>
      </c>
      <c r="X329" s="4">
        <f>IF(OR($B329="",F329=""),"",IF($B329=1,--(F329=1),""))</f>
        <v/>
      </c>
      <c r="Y329" s="4">
        <f>IF(OR($B329="",F329=""),"",IF($B329=0,--(F329=0),""))</f>
        <v/>
      </c>
      <c r="Z329" s="4">
        <f>IF(F329="","",--(F329=1))</f>
        <v/>
      </c>
      <c r="AA329" s="4">
        <f>IF(OR($B329="",G329=""),"",--(G329=$B329))</f>
        <v/>
      </c>
      <c r="AB329" s="4">
        <f>IF(OR($B329="",G329=""),"",IF($B329=1,--(G329=1),""))</f>
        <v/>
      </c>
      <c r="AC329" s="4">
        <f>IF(OR($B329="",G329=""),"",IF($B329=0,--(G329=0),""))</f>
        <v/>
      </c>
      <c r="AD329" s="4">
        <f>IF(G329="","",--(G329=1))</f>
        <v/>
      </c>
      <c r="AE329" s="4">
        <f>IF(OR($B329="",H329=""),"",--(H329=$B329))</f>
        <v/>
      </c>
      <c r="AF329" s="4">
        <f>IF(OR($B329="",H329=""),"",IF($B329=1,--(H329=1),""))</f>
        <v/>
      </c>
      <c r="AG329" s="4">
        <f>IF(OR($B329="",H329=""),"",IF($B329=0,--(H329=0),""))</f>
        <v/>
      </c>
      <c r="AH329" s="4">
        <f>IF(H329="","",--(H329=1))</f>
        <v/>
      </c>
      <c r="AI329" s="4">
        <f>IF(OR($B329="",I329=""),"",--(I329=$B329))</f>
        <v/>
      </c>
      <c r="AJ329" s="4">
        <f>IF(OR($B329="",I329=""),"",IF($B329=1,--(I329=1),""))</f>
        <v/>
      </c>
      <c r="AK329" s="4">
        <f>IF(OR($B329="",I329=""),"",IF($B329=0,--(I329=0),""))</f>
        <v/>
      </c>
      <c r="AL329" s="4">
        <f>IF(I329="","",--(I329=1))</f>
        <v/>
      </c>
      <c r="AM329" s="4">
        <f>IF(OR($B329="",J329=""),"",--(J329=$B329))</f>
        <v/>
      </c>
      <c r="AN329" s="4">
        <f>IF(OR($B329="",J329=""),"",IF($B329=1,--(J329=1),""))</f>
        <v/>
      </c>
      <c r="AO329" s="4">
        <f>IF(OR($B329="",J329=""),"",IF($B329=0,--(J329=0),""))</f>
        <v/>
      </c>
      <c r="AP329" s="4">
        <f>IF(J329="","",--(J329=1))</f>
        <v/>
      </c>
      <c r="AQ329" s="4">
        <f>IF(OR($B329="",K329=""),"",--(K329=$B329))</f>
        <v/>
      </c>
      <c r="AR329" s="4">
        <f>IF(OR($B329="",K329=""),"",IF($B329=1,--(K329=1),""))</f>
        <v/>
      </c>
      <c r="AS329" s="4">
        <f>IF(OR($B329="",K329=""),"",IF($B329=0,--(K329=0),""))</f>
        <v/>
      </c>
      <c r="AT329" s="4">
        <f>IF(K329="","",--(K329=1))</f>
        <v/>
      </c>
      <c r="AU329" s="4">
        <f>IF(OR($B329="",L329=""),"",--(L329=$B329))</f>
        <v/>
      </c>
      <c r="AV329" s="4">
        <f>IF(OR($B329="",L329=""),"",IF($B329=1,--(L329=1),""))</f>
        <v/>
      </c>
      <c r="AW329" s="4">
        <f>IF(OR($B329="",L329=""),"",IF($B329=0,--(L329=0),""))</f>
        <v/>
      </c>
      <c r="AX329" s="4">
        <f>IF(L329="","",--(L329=1))</f>
        <v/>
      </c>
      <c r="AY329" s="4">
        <f>IF(OR($B329="",M329=""),"",--(M329=$B329))</f>
        <v/>
      </c>
      <c r="AZ329" s="4">
        <f>IF(OR($B329="",M329=""),"",IF($B329=1,--(M329=1),""))</f>
        <v/>
      </c>
      <c r="BA329" s="4">
        <f>IF(OR($B329="",M329=""),"",IF($B329=0,--(M329=0),""))</f>
        <v/>
      </c>
      <c r="BB329" s="4">
        <f>IF(M329="","",--(M329=1))</f>
        <v/>
      </c>
      <c r="BC329" s="4">
        <f>IF(OR($B329="",N329=""),"",--(N329=$B329))</f>
        <v/>
      </c>
      <c r="BD329" s="4">
        <f>IF(OR($B329="",N329=""),"",IF($B329=1,--(N329=1),""))</f>
        <v/>
      </c>
      <c r="BE329" s="4">
        <f>IF(OR($B329="",N329=""),"",IF($B329=0,--(N329=0),""))</f>
        <v/>
      </c>
      <c r="BF329" s="4">
        <f>IF(N329="","",--(N329=1))</f>
        <v/>
      </c>
    </row>
    <row r="330">
      <c r="A330" s="3" t="inlineStr">
        <is>
          <t>202152240</t>
        </is>
      </c>
      <c r="B330" s="3" t="inlineStr">
        <is>
          <t>1</t>
        </is>
      </c>
      <c r="C330" s="3" t="inlineStr">
        <is>
          <t>Direct</t>
        </is>
      </c>
      <c r="D330" s="3" t="inlineStr">
        <is>
          <t>1</t>
        </is>
      </c>
      <c r="E330" s="3" t="inlineStr">
        <is>
          <t>1</t>
        </is>
      </c>
      <c r="F330" s="3" t="inlineStr">
        <is>
          <t>1</t>
        </is>
      </c>
      <c r="G330" s="3" t="inlineStr">
        <is>
          <t>1</t>
        </is>
      </c>
      <c r="H330" s="3" t="inlineStr">
        <is>
          <t>1</t>
        </is>
      </c>
      <c r="I330" s="3" t="inlineStr">
        <is>
          <t>1</t>
        </is>
      </c>
      <c r="J330" s="3" t="inlineStr">
        <is>
          <t>1</t>
        </is>
      </c>
      <c r="K330" s="3" t="inlineStr">
        <is>
          <t>1</t>
        </is>
      </c>
      <c r="L330" s="3" t="inlineStr">
        <is>
          <t>1</t>
        </is>
      </c>
      <c r="M330" s="3" t="inlineStr">
        <is>
          <t>1</t>
        </is>
      </c>
      <c r="N330" s="3" t="inlineStr">
        <is>
          <t>1</t>
        </is>
      </c>
      <c r="O330" s="4">
        <f>IF(OR($B330="",D330=""),"",--(D330=$B330))</f>
        <v/>
      </c>
      <c r="P330" s="4">
        <f>IF(OR($B330="",D330=""),"",IF($B330=1,--(D330=1),""))</f>
        <v/>
      </c>
      <c r="Q330" s="4">
        <f>IF(OR($B330="",D330=""),"",IF($B330=0,--(D330=0),""))</f>
        <v/>
      </c>
      <c r="R330" s="4">
        <f>IF(D330="","",--(D330=1))</f>
        <v/>
      </c>
      <c r="S330" s="4">
        <f>IF(OR($B330="",E330=""),"",--(E330=$B330))</f>
        <v/>
      </c>
      <c r="T330" s="4">
        <f>IF(OR($B330="",E330=""),"",IF($B330=1,--(E330=1),""))</f>
        <v/>
      </c>
      <c r="U330" s="4">
        <f>IF(OR($B330="",E330=""),"",IF($B330=0,--(E330=0),""))</f>
        <v/>
      </c>
      <c r="V330" s="4">
        <f>IF(E330="","",--(E330=1))</f>
        <v/>
      </c>
      <c r="W330" s="4">
        <f>IF(OR($B330="",F330=""),"",--(F330=$B330))</f>
        <v/>
      </c>
      <c r="X330" s="4">
        <f>IF(OR($B330="",F330=""),"",IF($B330=1,--(F330=1),""))</f>
        <v/>
      </c>
      <c r="Y330" s="4">
        <f>IF(OR($B330="",F330=""),"",IF($B330=0,--(F330=0),""))</f>
        <v/>
      </c>
      <c r="Z330" s="4">
        <f>IF(F330="","",--(F330=1))</f>
        <v/>
      </c>
      <c r="AA330" s="4">
        <f>IF(OR($B330="",G330=""),"",--(G330=$B330))</f>
        <v/>
      </c>
      <c r="AB330" s="4">
        <f>IF(OR($B330="",G330=""),"",IF($B330=1,--(G330=1),""))</f>
        <v/>
      </c>
      <c r="AC330" s="4">
        <f>IF(OR($B330="",G330=""),"",IF($B330=0,--(G330=0),""))</f>
        <v/>
      </c>
      <c r="AD330" s="4">
        <f>IF(G330="","",--(G330=1))</f>
        <v/>
      </c>
      <c r="AE330" s="4">
        <f>IF(OR($B330="",H330=""),"",--(H330=$B330))</f>
        <v/>
      </c>
      <c r="AF330" s="4">
        <f>IF(OR($B330="",H330=""),"",IF($B330=1,--(H330=1),""))</f>
        <v/>
      </c>
      <c r="AG330" s="4">
        <f>IF(OR($B330="",H330=""),"",IF($B330=0,--(H330=0),""))</f>
        <v/>
      </c>
      <c r="AH330" s="4">
        <f>IF(H330="","",--(H330=1))</f>
        <v/>
      </c>
      <c r="AI330" s="4">
        <f>IF(OR($B330="",I330=""),"",--(I330=$B330))</f>
        <v/>
      </c>
      <c r="AJ330" s="4">
        <f>IF(OR($B330="",I330=""),"",IF($B330=1,--(I330=1),""))</f>
        <v/>
      </c>
      <c r="AK330" s="4">
        <f>IF(OR($B330="",I330=""),"",IF($B330=0,--(I330=0),""))</f>
        <v/>
      </c>
      <c r="AL330" s="4">
        <f>IF(I330="","",--(I330=1))</f>
        <v/>
      </c>
      <c r="AM330" s="4">
        <f>IF(OR($B330="",J330=""),"",--(J330=$B330))</f>
        <v/>
      </c>
      <c r="AN330" s="4">
        <f>IF(OR($B330="",J330=""),"",IF($B330=1,--(J330=1),""))</f>
        <v/>
      </c>
      <c r="AO330" s="4">
        <f>IF(OR($B330="",J330=""),"",IF($B330=0,--(J330=0),""))</f>
        <v/>
      </c>
      <c r="AP330" s="4">
        <f>IF(J330="","",--(J330=1))</f>
        <v/>
      </c>
      <c r="AQ330" s="4">
        <f>IF(OR($B330="",K330=""),"",--(K330=$B330))</f>
        <v/>
      </c>
      <c r="AR330" s="4">
        <f>IF(OR($B330="",K330=""),"",IF($B330=1,--(K330=1),""))</f>
        <v/>
      </c>
      <c r="AS330" s="4">
        <f>IF(OR($B330="",K330=""),"",IF($B330=0,--(K330=0),""))</f>
        <v/>
      </c>
      <c r="AT330" s="4">
        <f>IF(K330="","",--(K330=1))</f>
        <v/>
      </c>
      <c r="AU330" s="4">
        <f>IF(OR($B330="",L330=""),"",--(L330=$B330))</f>
        <v/>
      </c>
      <c r="AV330" s="4">
        <f>IF(OR($B330="",L330=""),"",IF($B330=1,--(L330=1),""))</f>
        <v/>
      </c>
      <c r="AW330" s="4">
        <f>IF(OR($B330="",L330=""),"",IF($B330=0,--(L330=0),""))</f>
        <v/>
      </c>
      <c r="AX330" s="4">
        <f>IF(L330="","",--(L330=1))</f>
        <v/>
      </c>
      <c r="AY330" s="4">
        <f>IF(OR($B330="",M330=""),"",--(M330=$B330))</f>
        <v/>
      </c>
      <c r="AZ330" s="4">
        <f>IF(OR($B330="",M330=""),"",IF($B330=1,--(M330=1),""))</f>
        <v/>
      </c>
      <c r="BA330" s="4">
        <f>IF(OR($B330="",M330=""),"",IF($B330=0,--(M330=0),""))</f>
        <v/>
      </c>
      <c r="BB330" s="4">
        <f>IF(M330="","",--(M330=1))</f>
        <v/>
      </c>
      <c r="BC330" s="4">
        <f>IF(OR($B330="",N330=""),"",--(N330=$B330))</f>
        <v/>
      </c>
      <c r="BD330" s="4">
        <f>IF(OR($B330="",N330=""),"",IF($B330=1,--(N330=1),""))</f>
        <v/>
      </c>
      <c r="BE330" s="4">
        <f>IF(OR($B330="",N330=""),"",IF($B330=0,--(N330=0),""))</f>
        <v/>
      </c>
      <c r="BF330" s="4">
        <f>IF(N330="","",--(N330=1))</f>
        <v/>
      </c>
    </row>
    <row r="331">
      <c r="A331" s="3" t="inlineStr">
        <is>
          <t>20215245</t>
        </is>
      </c>
      <c r="B331" s="3" t="inlineStr">
        <is>
          <t>0</t>
        </is>
      </c>
      <c r="C331" s="3" t="inlineStr">
        <is>
          <t>Direct</t>
        </is>
      </c>
      <c r="D331" s="3" t="inlineStr">
        <is>
          <t>1</t>
        </is>
      </c>
      <c r="E331" s="3" t="inlineStr">
        <is>
          <t>1</t>
        </is>
      </c>
      <c r="F331" s="3" t="inlineStr">
        <is>
          <t>1</t>
        </is>
      </c>
      <c r="G331" s="3" t="inlineStr">
        <is>
          <t>1</t>
        </is>
      </c>
      <c r="H331" s="3" t="inlineStr">
        <is>
          <t>1</t>
        </is>
      </c>
      <c r="I331" s="3" t="inlineStr">
        <is>
          <t>1</t>
        </is>
      </c>
      <c r="J331" s="3" t="inlineStr">
        <is>
          <t>1</t>
        </is>
      </c>
      <c r="K331" s="3" t="inlineStr">
        <is>
          <t>1</t>
        </is>
      </c>
      <c r="L331" s="3" t="inlineStr">
        <is>
          <t>1</t>
        </is>
      </c>
      <c r="M331" s="3" t="inlineStr">
        <is>
          <t>1</t>
        </is>
      </c>
      <c r="N331" s="3" t="inlineStr">
        <is>
          <t>1</t>
        </is>
      </c>
      <c r="O331" s="4">
        <f>IF(OR($B331="",D331=""),"",--(D331=$B331))</f>
        <v/>
      </c>
      <c r="P331" s="4">
        <f>IF(OR($B331="",D331=""),"",IF($B331=1,--(D331=1),""))</f>
        <v/>
      </c>
      <c r="Q331" s="4">
        <f>IF(OR($B331="",D331=""),"",IF($B331=0,--(D331=0),""))</f>
        <v/>
      </c>
      <c r="R331" s="4">
        <f>IF(D331="","",--(D331=1))</f>
        <v/>
      </c>
      <c r="S331" s="4">
        <f>IF(OR($B331="",E331=""),"",--(E331=$B331))</f>
        <v/>
      </c>
      <c r="T331" s="4">
        <f>IF(OR($B331="",E331=""),"",IF($B331=1,--(E331=1),""))</f>
        <v/>
      </c>
      <c r="U331" s="4">
        <f>IF(OR($B331="",E331=""),"",IF($B331=0,--(E331=0),""))</f>
        <v/>
      </c>
      <c r="V331" s="4">
        <f>IF(E331="","",--(E331=1))</f>
        <v/>
      </c>
      <c r="W331" s="4">
        <f>IF(OR($B331="",F331=""),"",--(F331=$B331))</f>
        <v/>
      </c>
      <c r="X331" s="4">
        <f>IF(OR($B331="",F331=""),"",IF($B331=1,--(F331=1),""))</f>
        <v/>
      </c>
      <c r="Y331" s="4">
        <f>IF(OR($B331="",F331=""),"",IF($B331=0,--(F331=0),""))</f>
        <v/>
      </c>
      <c r="Z331" s="4">
        <f>IF(F331="","",--(F331=1))</f>
        <v/>
      </c>
      <c r="AA331" s="4">
        <f>IF(OR($B331="",G331=""),"",--(G331=$B331))</f>
        <v/>
      </c>
      <c r="AB331" s="4">
        <f>IF(OR($B331="",G331=""),"",IF($B331=1,--(G331=1),""))</f>
        <v/>
      </c>
      <c r="AC331" s="4">
        <f>IF(OR($B331="",G331=""),"",IF($B331=0,--(G331=0),""))</f>
        <v/>
      </c>
      <c r="AD331" s="4">
        <f>IF(G331="","",--(G331=1))</f>
        <v/>
      </c>
      <c r="AE331" s="4">
        <f>IF(OR($B331="",H331=""),"",--(H331=$B331))</f>
        <v/>
      </c>
      <c r="AF331" s="4">
        <f>IF(OR($B331="",H331=""),"",IF($B331=1,--(H331=1),""))</f>
        <v/>
      </c>
      <c r="AG331" s="4">
        <f>IF(OR($B331="",H331=""),"",IF($B331=0,--(H331=0),""))</f>
        <v/>
      </c>
      <c r="AH331" s="4">
        <f>IF(H331="","",--(H331=1))</f>
        <v/>
      </c>
      <c r="AI331" s="4">
        <f>IF(OR($B331="",I331=""),"",--(I331=$B331))</f>
        <v/>
      </c>
      <c r="AJ331" s="4">
        <f>IF(OR($B331="",I331=""),"",IF($B331=1,--(I331=1),""))</f>
        <v/>
      </c>
      <c r="AK331" s="4">
        <f>IF(OR($B331="",I331=""),"",IF($B331=0,--(I331=0),""))</f>
        <v/>
      </c>
      <c r="AL331" s="4">
        <f>IF(I331="","",--(I331=1))</f>
        <v/>
      </c>
      <c r="AM331" s="4">
        <f>IF(OR($B331="",J331=""),"",--(J331=$B331))</f>
        <v/>
      </c>
      <c r="AN331" s="4">
        <f>IF(OR($B331="",J331=""),"",IF($B331=1,--(J331=1),""))</f>
        <v/>
      </c>
      <c r="AO331" s="4">
        <f>IF(OR($B331="",J331=""),"",IF($B331=0,--(J331=0),""))</f>
        <v/>
      </c>
      <c r="AP331" s="4">
        <f>IF(J331="","",--(J331=1))</f>
        <v/>
      </c>
      <c r="AQ331" s="4">
        <f>IF(OR($B331="",K331=""),"",--(K331=$B331))</f>
        <v/>
      </c>
      <c r="AR331" s="4">
        <f>IF(OR($B331="",K331=""),"",IF($B331=1,--(K331=1),""))</f>
        <v/>
      </c>
      <c r="AS331" s="4">
        <f>IF(OR($B331="",K331=""),"",IF($B331=0,--(K331=0),""))</f>
        <v/>
      </c>
      <c r="AT331" s="4">
        <f>IF(K331="","",--(K331=1))</f>
        <v/>
      </c>
      <c r="AU331" s="4">
        <f>IF(OR($B331="",L331=""),"",--(L331=$B331))</f>
        <v/>
      </c>
      <c r="AV331" s="4">
        <f>IF(OR($B331="",L331=""),"",IF($B331=1,--(L331=1),""))</f>
        <v/>
      </c>
      <c r="AW331" s="4">
        <f>IF(OR($B331="",L331=""),"",IF($B331=0,--(L331=0),""))</f>
        <v/>
      </c>
      <c r="AX331" s="4">
        <f>IF(L331="","",--(L331=1))</f>
        <v/>
      </c>
      <c r="AY331" s="4">
        <f>IF(OR($B331="",M331=""),"",--(M331=$B331))</f>
        <v/>
      </c>
      <c r="AZ331" s="4">
        <f>IF(OR($B331="",M331=""),"",IF($B331=1,--(M331=1),""))</f>
        <v/>
      </c>
      <c r="BA331" s="4">
        <f>IF(OR($B331="",M331=""),"",IF($B331=0,--(M331=0),""))</f>
        <v/>
      </c>
      <c r="BB331" s="4">
        <f>IF(M331="","",--(M331=1))</f>
        <v/>
      </c>
      <c r="BC331" s="4">
        <f>IF(OR($B331="",N331=""),"",--(N331=$B331))</f>
        <v/>
      </c>
      <c r="BD331" s="4">
        <f>IF(OR($B331="",N331=""),"",IF($B331=1,--(N331=1),""))</f>
        <v/>
      </c>
      <c r="BE331" s="4">
        <f>IF(OR($B331="",N331=""),"",IF($B331=0,--(N331=0),""))</f>
        <v/>
      </c>
      <c r="BF331" s="4">
        <f>IF(N331="","",--(N331=1))</f>
        <v/>
      </c>
    </row>
    <row r="332">
      <c r="A332" s="3" t="inlineStr">
        <is>
          <t>202152618</t>
        </is>
      </c>
      <c r="B332" s="3" t="inlineStr">
        <is>
          <t>0</t>
        </is>
      </c>
      <c r="C332" s="3" t="inlineStr">
        <is>
          <t>Direct</t>
        </is>
      </c>
      <c r="D332" s="3" t="inlineStr">
        <is>
          <t>0</t>
        </is>
      </c>
      <c r="E332" s="3" t="inlineStr">
        <is>
          <t>1</t>
        </is>
      </c>
      <c r="F332" s="3" t="inlineStr">
        <is>
          <t>1</t>
        </is>
      </c>
      <c r="G332" s="3" t="inlineStr">
        <is>
          <t>0</t>
        </is>
      </c>
      <c r="H332" s="3" t="inlineStr">
        <is>
          <t>0</t>
        </is>
      </c>
      <c r="I332" s="3" t="inlineStr">
        <is>
          <t>1</t>
        </is>
      </c>
      <c r="J332" s="3" t="inlineStr">
        <is>
          <t>1</t>
        </is>
      </c>
      <c r="K332" s="3" t="inlineStr">
        <is>
          <t>1</t>
        </is>
      </c>
      <c r="L332" s="3" t="inlineStr">
        <is>
          <t>1</t>
        </is>
      </c>
      <c r="M332" s="3" t="inlineStr">
        <is>
          <t>1</t>
        </is>
      </c>
      <c r="N332" s="3" t="inlineStr">
        <is>
          <t>1</t>
        </is>
      </c>
      <c r="O332" s="4">
        <f>IF(OR($B332="",D332=""),"",--(D332=$B332))</f>
        <v/>
      </c>
      <c r="P332" s="4">
        <f>IF(OR($B332="",D332=""),"",IF($B332=1,--(D332=1),""))</f>
        <v/>
      </c>
      <c r="Q332" s="4">
        <f>IF(OR($B332="",D332=""),"",IF($B332=0,--(D332=0),""))</f>
        <v/>
      </c>
      <c r="R332" s="4">
        <f>IF(D332="","",--(D332=1))</f>
        <v/>
      </c>
      <c r="S332" s="4">
        <f>IF(OR($B332="",E332=""),"",--(E332=$B332))</f>
        <v/>
      </c>
      <c r="T332" s="4">
        <f>IF(OR($B332="",E332=""),"",IF($B332=1,--(E332=1),""))</f>
        <v/>
      </c>
      <c r="U332" s="4">
        <f>IF(OR($B332="",E332=""),"",IF($B332=0,--(E332=0),""))</f>
        <v/>
      </c>
      <c r="V332" s="4">
        <f>IF(E332="","",--(E332=1))</f>
        <v/>
      </c>
      <c r="W332" s="4">
        <f>IF(OR($B332="",F332=""),"",--(F332=$B332))</f>
        <v/>
      </c>
      <c r="X332" s="4">
        <f>IF(OR($B332="",F332=""),"",IF($B332=1,--(F332=1),""))</f>
        <v/>
      </c>
      <c r="Y332" s="4">
        <f>IF(OR($B332="",F332=""),"",IF($B332=0,--(F332=0),""))</f>
        <v/>
      </c>
      <c r="Z332" s="4">
        <f>IF(F332="","",--(F332=1))</f>
        <v/>
      </c>
      <c r="AA332" s="4">
        <f>IF(OR($B332="",G332=""),"",--(G332=$B332))</f>
        <v/>
      </c>
      <c r="AB332" s="4">
        <f>IF(OR($B332="",G332=""),"",IF($B332=1,--(G332=1),""))</f>
        <v/>
      </c>
      <c r="AC332" s="4">
        <f>IF(OR($B332="",G332=""),"",IF($B332=0,--(G332=0),""))</f>
        <v/>
      </c>
      <c r="AD332" s="4">
        <f>IF(G332="","",--(G332=1))</f>
        <v/>
      </c>
      <c r="AE332" s="4">
        <f>IF(OR($B332="",H332=""),"",--(H332=$B332))</f>
        <v/>
      </c>
      <c r="AF332" s="4">
        <f>IF(OR($B332="",H332=""),"",IF($B332=1,--(H332=1),""))</f>
        <v/>
      </c>
      <c r="AG332" s="4">
        <f>IF(OR($B332="",H332=""),"",IF($B332=0,--(H332=0),""))</f>
        <v/>
      </c>
      <c r="AH332" s="4">
        <f>IF(H332="","",--(H332=1))</f>
        <v/>
      </c>
      <c r="AI332" s="4">
        <f>IF(OR($B332="",I332=""),"",--(I332=$B332))</f>
        <v/>
      </c>
      <c r="AJ332" s="4">
        <f>IF(OR($B332="",I332=""),"",IF($B332=1,--(I332=1),""))</f>
        <v/>
      </c>
      <c r="AK332" s="4">
        <f>IF(OR($B332="",I332=""),"",IF($B332=0,--(I332=0),""))</f>
        <v/>
      </c>
      <c r="AL332" s="4">
        <f>IF(I332="","",--(I332=1))</f>
        <v/>
      </c>
      <c r="AM332" s="4">
        <f>IF(OR($B332="",J332=""),"",--(J332=$B332))</f>
        <v/>
      </c>
      <c r="AN332" s="4">
        <f>IF(OR($B332="",J332=""),"",IF($B332=1,--(J332=1),""))</f>
        <v/>
      </c>
      <c r="AO332" s="4">
        <f>IF(OR($B332="",J332=""),"",IF($B332=0,--(J332=0),""))</f>
        <v/>
      </c>
      <c r="AP332" s="4">
        <f>IF(J332="","",--(J332=1))</f>
        <v/>
      </c>
      <c r="AQ332" s="4">
        <f>IF(OR($B332="",K332=""),"",--(K332=$B332))</f>
        <v/>
      </c>
      <c r="AR332" s="4">
        <f>IF(OR($B332="",K332=""),"",IF($B332=1,--(K332=1),""))</f>
        <v/>
      </c>
      <c r="AS332" s="4">
        <f>IF(OR($B332="",K332=""),"",IF($B332=0,--(K332=0),""))</f>
        <v/>
      </c>
      <c r="AT332" s="4">
        <f>IF(K332="","",--(K332=1))</f>
        <v/>
      </c>
      <c r="AU332" s="4">
        <f>IF(OR($B332="",L332=""),"",--(L332=$B332))</f>
        <v/>
      </c>
      <c r="AV332" s="4">
        <f>IF(OR($B332="",L332=""),"",IF($B332=1,--(L332=1),""))</f>
        <v/>
      </c>
      <c r="AW332" s="4">
        <f>IF(OR($B332="",L332=""),"",IF($B332=0,--(L332=0),""))</f>
        <v/>
      </c>
      <c r="AX332" s="4">
        <f>IF(L332="","",--(L332=1))</f>
        <v/>
      </c>
      <c r="AY332" s="4">
        <f>IF(OR($B332="",M332=""),"",--(M332=$B332))</f>
        <v/>
      </c>
      <c r="AZ332" s="4">
        <f>IF(OR($B332="",M332=""),"",IF($B332=1,--(M332=1),""))</f>
        <v/>
      </c>
      <c r="BA332" s="4">
        <f>IF(OR($B332="",M332=""),"",IF($B332=0,--(M332=0),""))</f>
        <v/>
      </c>
      <c r="BB332" s="4">
        <f>IF(M332="","",--(M332=1))</f>
        <v/>
      </c>
      <c r="BC332" s="4">
        <f>IF(OR($B332="",N332=""),"",--(N332=$B332))</f>
        <v/>
      </c>
      <c r="BD332" s="4">
        <f>IF(OR($B332="",N332=""),"",IF($B332=1,--(N332=1),""))</f>
        <v/>
      </c>
      <c r="BE332" s="4">
        <f>IF(OR($B332="",N332=""),"",IF($B332=0,--(N332=0),""))</f>
        <v/>
      </c>
      <c r="BF332" s="4">
        <f>IF(N332="","",--(N332=1))</f>
        <v/>
      </c>
    </row>
    <row r="333">
      <c r="A333" s="3" t="inlineStr">
        <is>
          <t>202152881</t>
        </is>
      </c>
      <c r="B333" s="3" t="inlineStr">
        <is>
          <t>0</t>
        </is>
      </c>
      <c r="C333" s="3" t="inlineStr">
        <is>
          <t>Direct</t>
        </is>
      </c>
      <c r="D333" s="3" t="inlineStr">
        <is>
          <t>1</t>
        </is>
      </c>
      <c r="E333" s="3" t="inlineStr">
        <is>
          <t>0</t>
        </is>
      </c>
      <c r="F333" s="3" t="inlineStr">
        <is>
          <t>0</t>
        </is>
      </c>
      <c r="G333" s="3" t="inlineStr">
        <is>
          <t>1</t>
        </is>
      </c>
      <c r="H333" s="3" t="inlineStr">
        <is>
          <t>0</t>
        </is>
      </c>
      <c r="I333" s="3" t="inlineStr">
        <is>
          <t>0</t>
        </is>
      </c>
      <c r="J333" s="3" t="inlineStr">
        <is>
          <t>0</t>
        </is>
      </c>
      <c r="K333" s="3" t="inlineStr">
        <is>
          <t>0</t>
        </is>
      </c>
      <c r="L333" s="3" t="inlineStr">
        <is>
          <t>0</t>
        </is>
      </c>
      <c r="M333" s="3" t="inlineStr">
        <is>
          <t>1</t>
        </is>
      </c>
      <c r="N333" s="3" t="inlineStr">
        <is>
          <t>1</t>
        </is>
      </c>
      <c r="O333" s="4">
        <f>IF(OR($B333="",D333=""),"",--(D333=$B333))</f>
        <v/>
      </c>
      <c r="P333" s="4">
        <f>IF(OR($B333="",D333=""),"",IF($B333=1,--(D333=1),""))</f>
        <v/>
      </c>
      <c r="Q333" s="4">
        <f>IF(OR($B333="",D333=""),"",IF($B333=0,--(D333=0),""))</f>
        <v/>
      </c>
      <c r="R333" s="4">
        <f>IF(D333="","",--(D333=1))</f>
        <v/>
      </c>
      <c r="S333" s="4">
        <f>IF(OR($B333="",E333=""),"",--(E333=$B333))</f>
        <v/>
      </c>
      <c r="T333" s="4">
        <f>IF(OR($B333="",E333=""),"",IF($B333=1,--(E333=1),""))</f>
        <v/>
      </c>
      <c r="U333" s="4">
        <f>IF(OR($B333="",E333=""),"",IF($B333=0,--(E333=0),""))</f>
        <v/>
      </c>
      <c r="V333" s="4">
        <f>IF(E333="","",--(E333=1))</f>
        <v/>
      </c>
      <c r="W333" s="4">
        <f>IF(OR($B333="",F333=""),"",--(F333=$B333))</f>
        <v/>
      </c>
      <c r="X333" s="4">
        <f>IF(OR($B333="",F333=""),"",IF($B333=1,--(F333=1),""))</f>
        <v/>
      </c>
      <c r="Y333" s="4">
        <f>IF(OR($B333="",F333=""),"",IF($B333=0,--(F333=0),""))</f>
        <v/>
      </c>
      <c r="Z333" s="4">
        <f>IF(F333="","",--(F333=1))</f>
        <v/>
      </c>
      <c r="AA333" s="4">
        <f>IF(OR($B333="",G333=""),"",--(G333=$B333))</f>
        <v/>
      </c>
      <c r="AB333" s="4">
        <f>IF(OR($B333="",G333=""),"",IF($B333=1,--(G333=1),""))</f>
        <v/>
      </c>
      <c r="AC333" s="4">
        <f>IF(OR($B333="",G333=""),"",IF($B333=0,--(G333=0),""))</f>
        <v/>
      </c>
      <c r="AD333" s="4">
        <f>IF(G333="","",--(G333=1))</f>
        <v/>
      </c>
      <c r="AE333" s="4">
        <f>IF(OR($B333="",H333=""),"",--(H333=$B333))</f>
        <v/>
      </c>
      <c r="AF333" s="4">
        <f>IF(OR($B333="",H333=""),"",IF($B333=1,--(H333=1),""))</f>
        <v/>
      </c>
      <c r="AG333" s="4">
        <f>IF(OR($B333="",H333=""),"",IF($B333=0,--(H333=0),""))</f>
        <v/>
      </c>
      <c r="AH333" s="4">
        <f>IF(H333="","",--(H333=1))</f>
        <v/>
      </c>
      <c r="AI333" s="4">
        <f>IF(OR($B333="",I333=""),"",--(I333=$B333))</f>
        <v/>
      </c>
      <c r="AJ333" s="4">
        <f>IF(OR($B333="",I333=""),"",IF($B333=1,--(I333=1),""))</f>
        <v/>
      </c>
      <c r="AK333" s="4">
        <f>IF(OR($B333="",I333=""),"",IF($B333=0,--(I333=0),""))</f>
        <v/>
      </c>
      <c r="AL333" s="4">
        <f>IF(I333="","",--(I333=1))</f>
        <v/>
      </c>
      <c r="AM333" s="4">
        <f>IF(OR($B333="",J333=""),"",--(J333=$B333))</f>
        <v/>
      </c>
      <c r="AN333" s="4">
        <f>IF(OR($B333="",J333=""),"",IF($B333=1,--(J333=1),""))</f>
        <v/>
      </c>
      <c r="AO333" s="4">
        <f>IF(OR($B333="",J333=""),"",IF($B333=0,--(J333=0),""))</f>
        <v/>
      </c>
      <c r="AP333" s="4">
        <f>IF(J333="","",--(J333=1))</f>
        <v/>
      </c>
      <c r="AQ333" s="4">
        <f>IF(OR($B333="",K333=""),"",--(K333=$B333))</f>
        <v/>
      </c>
      <c r="AR333" s="4">
        <f>IF(OR($B333="",K333=""),"",IF($B333=1,--(K333=1),""))</f>
        <v/>
      </c>
      <c r="AS333" s="4">
        <f>IF(OR($B333="",K333=""),"",IF($B333=0,--(K333=0),""))</f>
        <v/>
      </c>
      <c r="AT333" s="4">
        <f>IF(K333="","",--(K333=1))</f>
        <v/>
      </c>
      <c r="AU333" s="4">
        <f>IF(OR($B333="",L333=""),"",--(L333=$B333))</f>
        <v/>
      </c>
      <c r="AV333" s="4">
        <f>IF(OR($B333="",L333=""),"",IF($B333=1,--(L333=1),""))</f>
        <v/>
      </c>
      <c r="AW333" s="4">
        <f>IF(OR($B333="",L333=""),"",IF($B333=0,--(L333=0),""))</f>
        <v/>
      </c>
      <c r="AX333" s="4">
        <f>IF(L333="","",--(L333=1))</f>
        <v/>
      </c>
      <c r="AY333" s="4">
        <f>IF(OR($B333="",M333=""),"",--(M333=$B333))</f>
        <v/>
      </c>
      <c r="AZ333" s="4">
        <f>IF(OR($B333="",M333=""),"",IF($B333=1,--(M333=1),""))</f>
        <v/>
      </c>
      <c r="BA333" s="4">
        <f>IF(OR($B333="",M333=""),"",IF($B333=0,--(M333=0),""))</f>
        <v/>
      </c>
      <c r="BB333" s="4">
        <f>IF(M333="","",--(M333=1))</f>
        <v/>
      </c>
      <c r="BC333" s="4">
        <f>IF(OR($B333="",N333=""),"",--(N333=$B333))</f>
        <v/>
      </c>
      <c r="BD333" s="4">
        <f>IF(OR($B333="",N333=""),"",IF($B333=1,--(N333=1),""))</f>
        <v/>
      </c>
      <c r="BE333" s="4">
        <f>IF(OR($B333="",N333=""),"",IF($B333=0,--(N333=0),""))</f>
        <v/>
      </c>
      <c r="BF333" s="4">
        <f>IF(N333="","",--(N333=1))</f>
        <v/>
      </c>
    </row>
    <row r="334">
      <c r="A334" s="3" t="inlineStr">
        <is>
          <t>202153409</t>
        </is>
      </c>
      <c r="B334" s="3" t="inlineStr">
        <is>
          <t>1</t>
        </is>
      </c>
      <c r="C334" s="3" t="inlineStr">
        <is>
          <t>Direct</t>
        </is>
      </c>
      <c r="D334" s="3" t="inlineStr">
        <is>
          <t>1</t>
        </is>
      </c>
      <c r="E334" s="3" t="inlineStr">
        <is>
          <t>0</t>
        </is>
      </c>
      <c r="F334" s="3" t="inlineStr">
        <is>
          <t>0</t>
        </is>
      </c>
      <c r="G334" s="3" t="inlineStr">
        <is>
          <t>0</t>
        </is>
      </c>
      <c r="H334" s="3" t="inlineStr">
        <is>
          <t>0</t>
        </is>
      </c>
      <c r="I334" s="3" t="inlineStr">
        <is>
          <t>1</t>
        </is>
      </c>
      <c r="J334" s="3" t="inlineStr">
        <is>
          <t>1</t>
        </is>
      </c>
      <c r="K334" s="3" t="inlineStr">
        <is>
          <t>1</t>
        </is>
      </c>
      <c r="L334" s="3" t="inlineStr">
        <is>
          <t>1</t>
        </is>
      </c>
      <c r="M334" s="3" t="inlineStr">
        <is>
          <t>1</t>
        </is>
      </c>
      <c r="N334" s="3" t="inlineStr">
        <is>
          <t>1</t>
        </is>
      </c>
      <c r="O334" s="4">
        <f>IF(OR($B334="",D334=""),"",--(D334=$B334))</f>
        <v/>
      </c>
      <c r="P334" s="4">
        <f>IF(OR($B334="",D334=""),"",IF($B334=1,--(D334=1),""))</f>
        <v/>
      </c>
      <c r="Q334" s="4">
        <f>IF(OR($B334="",D334=""),"",IF($B334=0,--(D334=0),""))</f>
        <v/>
      </c>
      <c r="R334" s="4">
        <f>IF(D334="","",--(D334=1))</f>
        <v/>
      </c>
      <c r="S334" s="4">
        <f>IF(OR($B334="",E334=""),"",--(E334=$B334))</f>
        <v/>
      </c>
      <c r="T334" s="4">
        <f>IF(OR($B334="",E334=""),"",IF($B334=1,--(E334=1),""))</f>
        <v/>
      </c>
      <c r="U334" s="4">
        <f>IF(OR($B334="",E334=""),"",IF($B334=0,--(E334=0),""))</f>
        <v/>
      </c>
      <c r="V334" s="4">
        <f>IF(E334="","",--(E334=1))</f>
        <v/>
      </c>
      <c r="W334" s="4">
        <f>IF(OR($B334="",F334=""),"",--(F334=$B334))</f>
        <v/>
      </c>
      <c r="X334" s="4">
        <f>IF(OR($B334="",F334=""),"",IF($B334=1,--(F334=1),""))</f>
        <v/>
      </c>
      <c r="Y334" s="4">
        <f>IF(OR($B334="",F334=""),"",IF($B334=0,--(F334=0),""))</f>
        <v/>
      </c>
      <c r="Z334" s="4">
        <f>IF(F334="","",--(F334=1))</f>
        <v/>
      </c>
      <c r="AA334" s="4">
        <f>IF(OR($B334="",G334=""),"",--(G334=$B334))</f>
        <v/>
      </c>
      <c r="AB334" s="4">
        <f>IF(OR($B334="",G334=""),"",IF($B334=1,--(G334=1),""))</f>
        <v/>
      </c>
      <c r="AC334" s="4">
        <f>IF(OR($B334="",G334=""),"",IF($B334=0,--(G334=0),""))</f>
        <v/>
      </c>
      <c r="AD334" s="4">
        <f>IF(G334="","",--(G334=1))</f>
        <v/>
      </c>
      <c r="AE334" s="4">
        <f>IF(OR($B334="",H334=""),"",--(H334=$B334))</f>
        <v/>
      </c>
      <c r="AF334" s="4">
        <f>IF(OR($B334="",H334=""),"",IF($B334=1,--(H334=1),""))</f>
        <v/>
      </c>
      <c r="AG334" s="4">
        <f>IF(OR($B334="",H334=""),"",IF($B334=0,--(H334=0),""))</f>
        <v/>
      </c>
      <c r="AH334" s="4">
        <f>IF(H334="","",--(H334=1))</f>
        <v/>
      </c>
      <c r="AI334" s="4">
        <f>IF(OR($B334="",I334=""),"",--(I334=$B334))</f>
        <v/>
      </c>
      <c r="AJ334" s="4">
        <f>IF(OR($B334="",I334=""),"",IF($B334=1,--(I334=1),""))</f>
        <v/>
      </c>
      <c r="AK334" s="4">
        <f>IF(OR($B334="",I334=""),"",IF($B334=0,--(I334=0),""))</f>
        <v/>
      </c>
      <c r="AL334" s="4">
        <f>IF(I334="","",--(I334=1))</f>
        <v/>
      </c>
      <c r="AM334" s="4">
        <f>IF(OR($B334="",J334=""),"",--(J334=$B334))</f>
        <v/>
      </c>
      <c r="AN334" s="4">
        <f>IF(OR($B334="",J334=""),"",IF($B334=1,--(J334=1),""))</f>
        <v/>
      </c>
      <c r="AO334" s="4">
        <f>IF(OR($B334="",J334=""),"",IF($B334=0,--(J334=0),""))</f>
        <v/>
      </c>
      <c r="AP334" s="4">
        <f>IF(J334="","",--(J334=1))</f>
        <v/>
      </c>
      <c r="AQ334" s="4">
        <f>IF(OR($B334="",K334=""),"",--(K334=$B334))</f>
        <v/>
      </c>
      <c r="AR334" s="4">
        <f>IF(OR($B334="",K334=""),"",IF($B334=1,--(K334=1),""))</f>
        <v/>
      </c>
      <c r="AS334" s="4">
        <f>IF(OR($B334="",K334=""),"",IF($B334=0,--(K334=0),""))</f>
        <v/>
      </c>
      <c r="AT334" s="4">
        <f>IF(K334="","",--(K334=1))</f>
        <v/>
      </c>
      <c r="AU334" s="4">
        <f>IF(OR($B334="",L334=""),"",--(L334=$B334))</f>
        <v/>
      </c>
      <c r="AV334" s="4">
        <f>IF(OR($B334="",L334=""),"",IF($B334=1,--(L334=1),""))</f>
        <v/>
      </c>
      <c r="AW334" s="4">
        <f>IF(OR($B334="",L334=""),"",IF($B334=0,--(L334=0),""))</f>
        <v/>
      </c>
      <c r="AX334" s="4">
        <f>IF(L334="","",--(L334=1))</f>
        <v/>
      </c>
      <c r="AY334" s="4">
        <f>IF(OR($B334="",M334=""),"",--(M334=$B334))</f>
        <v/>
      </c>
      <c r="AZ334" s="4">
        <f>IF(OR($B334="",M334=""),"",IF($B334=1,--(M334=1),""))</f>
        <v/>
      </c>
      <c r="BA334" s="4">
        <f>IF(OR($B334="",M334=""),"",IF($B334=0,--(M334=0),""))</f>
        <v/>
      </c>
      <c r="BB334" s="4">
        <f>IF(M334="","",--(M334=1))</f>
        <v/>
      </c>
      <c r="BC334" s="4">
        <f>IF(OR($B334="",N334=""),"",--(N334=$B334))</f>
        <v/>
      </c>
      <c r="BD334" s="4">
        <f>IF(OR($B334="",N334=""),"",IF($B334=1,--(N334=1),""))</f>
        <v/>
      </c>
      <c r="BE334" s="4">
        <f>IF(OR($B334="",N334=""),"",IF($B334=0,--(N334=0),""))</f>
        <v/>
      </c>
      <c r="BF334" s="4">
        <f>IF(N334="","",--(N334=1))</f>
        <v/>
      </c>
    </row>
    <row r="335">
      <c r="A335" s="3" t="inlineStr">
        <is>
          <t>202153503</t>
        </is>
      </c>
      <c r="B335" s="3" t="inlineStr">
        <is>
          <t>0</t>
        </is>
      </c>
      <c r="C335" s="3" t="inlineStr">
        <is>
          <t>Direct</t>
        </is>
      </c>
      <c r="D335" s="3" t="inlineStr">
        <is>
          <t>1</t>
        </is>
      </c>
      <c r="E335" s="3" t="inlineStr">
        <is>
          <t>1</t>
        </is>
      </c>
      <c r="F335" s="3" t="inlineStr">
        <is>
          <t>0</t>
        </is>
      </c>
      <c r="G335" s="3" t="inlineStr">
        <is>
          <t>1</t>
        </is>
      </c>
      <c r="H335" s="3" t="inlineStr">
        <is>
          <t>1</t>
        </is>
      </c>
      <c r="I335" s="3" t="inlineStr">
        <is>
          <t>1</t>
        </is>
      </c>
      <c r="J335" s="3" t="inlineStr">
        <is>
          <t>1</t>
        </is>
      </c>
      <c r="K335" s="3" t="inlineStr">
        <is>
          <t>1</t>
        </is>
      </c>
      <c r="L335" s="3" t="inlineStr">
        <is>
          <t>1</t>
        </is>
      </c>
      <c r="M335" s="3" t="inlineStr">
        <is>
          <t>1</t>
        </is>
      </c>
      <c r="N335" s="3" t="inlineStr">
        <is>
          <t>1</t>
        </is>
      </c>
      <c r="O335" s="4">
        <f>IF(OR($B335="",D335=""),"",--(D335=$B335))</f>
        <v/>
      </c>
      <c r="P335" s="4">
        <f>IF(OR($B335="",D335=""),"",IF($B335=1,--(D335=1),""))</f>
        <v/>
      </c>
      <c r="Q335" s="4">
        <f>IF(OR($B335="",D335=""),"",IF($B335=0,--(D335=0),""))</f>
        <v/>
      </c>
      <c r="R335" s="4">
        <f>IF(D335="","",--(D335=1))</f>
        <v/>
      </c>
      <c r="S335" s="4">
        <f>IF(OR($B335="",E335=""),"",--(E335=$B335))</f>
        <v/>
      </c>
      <c r="T335" s="4">
        <f>IF(OR($B335="",E335=""),"",IF($B335=1,--(E335=1),""))</f>
        <v/>
      </c>
      <c r="U335" s="4">
        <f>IF(OR($B335="",E335=""),"",IF($B335=0,--(E335=0),""))</f>
        <v/>
      </c>
      <c r="V335" s="4">
        <f>IF(E335="","",--(E335=1))</f>
        <v/>
      </c>
      <c r="W335" s="4">
        <f>IF(OR($B335="",F335=""),"",--(F335=$B335))</f>
        <v/>
      </c>
      <c r="X335" s="4">
        <f>IF(OR($B335="",F335=""),"",IF($B335=1,--(F335=1),""))</f>
        <v/>
      </c>
      <c r="Y335" s="4">
        <f>IF(OR($B335="",F335=""),"",IF($B335=0,--(F335=0),""))</f>
        <v/>
      </c>
      <c r="Z335" s="4">
        <f>IF(F335="","",--(F335=1))</f>
        <v/>
      </c>
      <c r="AA335" s="4">
        <f>IF(OR($B335="",G335=""),"",--(G335=$B335))</f>
        <v/>
      </c>
      <c r="AB335" s="4">
        <f>IF(OR($B335="",G335=""),"",IF($B335=1,--(G335=1),""))</f>
        <v/>
      </c>
      <c r="AC335" s="4">
        <f>IF(OR($B335="",G335=""),"",IF($B335=0,--(G335=0),""))</f>
        <v/>
      </c>
      <c r="AD335" s="4">
        <f>IF(G335="","",--(G335=1))</f>
        <v/>
      </c>
      <c r="AE335" s="4">
        <f>IF(OR($B335="",H335=""),"",--(H335=$B335))</f>
        <v/>
      </c>
      <c r="AF335" s="4">
        <f>IF(OR($B335="",H335=""),"",IF($B335=1,--(H335=1),""))</f>
        <v/>
      </c>
      <c r="AG335" s="4">
        <f>IF(OR($B335="",H335=""),"",IF($B335=0,--(H335=0),""))</f>
        <v/>
      </c>
      <c r="AH335" s="4">
        <f>IF(H335="","",--(H335=1))</f>
        <v/>
      </c>
      <c r="AI335" s="4">
        <f>IF(OR($B335="",I335=""),"",--(I335=$B335))</f>
        <v/>
      </c>
      <c r="AJ335" s="4">
        <f>IF(OR($B335="",I335=""),"",IF($B335=1,--(I335=1),""))</f>
        <v/>
      </c>
      <c r="AK335" s="4">
        <f>IF(OR($B335="",I335=""),"",IF($B335=0,--(I335=0),""))</f>
        <v/>
      </c>
      <c r="AL335" s="4">
        <f>IF(I335="","",--(I335=1))</f>
        <v/>
      </c>
      <c r="AM335" s="4">
        <f>IF(OR($B335="",J335=""),"",--(J335=$B335))</f>
        <v/>
      </c>
      <c r="AN335" s="4">
        <f>IF(OR($B335="",J335=""),"",IF($B335=1,--(J335=1),""))</f>
        <v/>
      </c>
      <c r="AO335" s="4">
        <f>IF(OR($B335="",J335=""),"",IF($B335=0,--(J335=0),""))</f>
        <v/>
      </c>
      <c r="AP335" s="4">
        <f>IF(J335="","",--(J335=1))</f>
        <v/>
      </c>
      <c r="AQ335" s="4">
        <f>IF(OR($B335="",K335=""),"",--(K335=$B335))</f>
        <v/>
      </c>
      <c r="AR335" s="4">
        <f>IF(OR($B335="",K335=""),"",IF($B335=1,--(K335=1),""))</f>
        <v/>
      </c>
      <c r="AS335" s="4">
        <f>IF(OR($B335="",K335=""),"",IF($B335=0,--(K335=0),""))</f>
        <v/>
      </c>
      <c r="AT335" s="4">
        <f>IF(K335="","",--(K335=1))</f>
        <v/>
      </c>
      <c r="AU335" s="4">
        <f>IF(OR($B335="",L335=""),"",--(L335=$B335))</f>
        <v/>
      </c>
      <c r="AV335" s="4">
        <f>IF(OR($B335="",L335=""),"",IF($B335=1,--(L335=1),""))</f>
        <v/>
      </c>
      <c r="AW335" s="4">
        <f>IF(OR($B335="",L335=""),"",IF($B335=0,--(L335=0),""))</f>
        <v/>
      </c>
      <c r="AX335" s="4">
        <f>IF(L335="","",--(L335=1))</f>
        <v/>
      </c>
      <c r="AY335" s="4">
        <f>IF(OR($B335="",M335=""),"",--(M335=$B335))</f>
        <v/>
      </c>
      <c r="AZ335" s="4">
        <f>IF(OR($B335="",M335=""),"",IF($B335=1,--(M335=1),""))</f>
        <v/>
      </c>
      <c r="BA335" s="4">
        <f>IF(OR($B335="",M335=""),"",IF($B335=0,--(M335=0),""))</f>
        <v/>
      </c>
      <c r="BB335" s="4">
        <f>IF(M335="","",--(M335=1))</f>
        <v/>
      </c>
      <c r="BC335" s="4">
        <f>IF(OR($B335="",N335=""),"",--(N335=$B335))</f>
        <v/>
      </c>
      <c r="BD335" s="4">
        <f>IF(OR($B335="",N335=""),"",IF($B335=1,--(N335=1),""))</f>
        <v/>
      </c>
      <c r="BE335" s="4">
        <f>IF(OR($B335="",N335=""),"",IF($B335=0,--(N335=0),""))</f>
        <v/>
      </c>
      <c r="BF335" s="4">
        <f>IF(N335="","",--(N335=1))</f>
        <v/>
      </c>
    </row>
    <row r="336">
      <c r="A336" s="3" t="inlineStr">
        <is>
          <t>202153945</t>
        </is>
      </c>
      <c r="B336" s="3" t="inlineStr">
        <is>
          <t>0</t>
        </is>
      </c>
      <c r="C336" s="3" t="inlineStr">
        <is>
          <t>Direct</t>
        </is>
      </c>
      <c r="D336" s="3" t="inlineStr">
        <is>
          <t>1</t>
        </is>
      </c>
      <c r="E336" s="3" t="inlineStr">
        <is>
          <t>1</t>
        </is>
      </c>
      <c r="F336" s="3" t="inlineStr">
        <is>
          <t>0</t>
        </is>
      </c>
      <c r="G336" s="3" t="inlineStr">
        <is>
          <t>0</t>
        </is>
      </c>
      <c r="H336" s="3" t="inlineStr">
        <is>
          <t>1</t>
        </is>
      </c>
      <c r="I336" s="3" t="inlineStr">
        <is>
          <t>0</t>
        </is>
      </c>
      <c r="J336" s="3" t="inlineStr">
        <is>
          <t>1</t>
        </is>
      </c>
      <c r="K336" s="3" t="inlineStr">
        <is>
          <t>1</t>
        </is>
      </c>
      <c r="L336" s="3" t="inlineStr">
        <is>
          <t>1</t>
        </is>
      </c>
      <c r="M336" s="3" t="inlineStr">
        <is>
          <t>1</t>
        </is>
      </c>
      <c r="N336" s="3" t="inlineStr">
        <is>
          <t>1</t>
        </is>
      </c>
      <c r="O336" s="4">
        <f>IF(OR($B336="",D336=""),"",--(D336=$B336))</f>
        <v/>
      </c>
      <c r="P336" s="4">
        <f>IF(OR($B336="",D336=""),"",IF($B336=1,--(D336=1),""))</f>
        <v/>
      </c>
      <c r="Q336" s="4">
        <f>IF(OR($B336="",D336=""),"",IF($B336=0,--(D336=0),""))</f>
        <v/>
      </c>
      <c r="R336" s="4">
        <f>IF(D336="","",--(D336=1))</f>
        <v/>
      </c>
      <c r="S336" s="4">
        <f>IF(OR($B336="",E336=""),"",--(E336=$B336))</f>
        <v/>
      </c>
      <c r="T336" s="4">
        <f>IF(OR($B336="",E336=""),"",IF($B336=1,--(E336=1),""))</f>
        <v/>
      </c>
      <c r="U336" s="4">
        <f>IF(OR($B336="",E336=""),"",IF($B336=0,--(E336=0),""))</f>
        <v/>
      </c>
      <c r="V336" s="4">
        <f>IF(E336="","",--(E336=1))</f>
        <v/>
      </c>
      <c r="W336" s="4">
        <f>IF(OR($B336="",F336=""),"",--(F336=$B336))</f>
        <v/>
      </c>
      <c r="X336" s="4">
        <f>IF(OR($B336="",F336=""),"",IF($B336=1,--(F336=1),""))</f>
        <v/>
      </c>
      <c r="Y336" s="4">
        <f>IF(OR($B336="",F336=""),"",IF($B336=0,--(F336=0),""))</f>
        <v/>
      </c>
      <c r="Z336" s="4">
        <f>IF(F336="","",--(F336=1))</f>
        <v/>
      </c>
      <c r="AA336" s="4">
        <f>IF(OR($B336="",G336=""),"",--(G336=$B336))</f>
        <v/>
      </c>
      <c r="AB336" s="4">
        <f>IF(OR($B336="",G336=""),"",IF($B336=1,--(G336=1),""))</f>
        <v/>
      </c>
      <c r="AC336" s="4">
        <f>IF(OR($B336="",G336=""),"",IF($B336=0,--(G336=0),""))</f>
        <v/>
      </c>
      <c r="AD336" s="4">
        <f>IF(G336="","",--(G336=1))</f>
        <v/>
      </c>
      <c r="AE336" s="4">
        <f>IF(OR($B336="",H336=""),"",--(H336=$B336))</f>
        <v/>
      </c>
      <c r="AF336" s="4">
        <f>IF(OR($B336="",H336=""),"",IF($B336=1,--(H336=1),""))</f>
        <v/>
      </c>
      <c r="AG336" s="4">
        <f>IF(OR($B336="",H336=""),"",IF($B336=0,--(H336=0),""))</f>
        <v/>
      </c>
      <c r="AH336" s="4">
        <f>IF(H336="","",--(H336=1))</f>
        <v/>
      </c>
      <c r="AI336" s="4">
        <f>IF(OR($B336="",I336=""),"",--(I336=$B336))</f>
        <v/>
      </c>
      <c r="AJ336" s="4">
        <f>IF(OR($B336="",I336=""),"",IF($B336=1,--(I336=1),""))</f>
        <v/>
      </c>
      <c r="AK336" s="4">
        <f>IF(OR($B336="",I336=""),"",IF($B336=0,--(I336=0),""))</f>
        <v/>
      </c>
      <c r="AL336" s="4">
        <f>IF(I336="","",--(I336=1))</f>
        <v/>
      </c>
      <c r="AM336" s="4">
        <f>IF(OR($B336="",J336=""),"",--(J336=$B336))</f>
        <v/>
      </c>
      <c r="AN336" s="4">
        <f>IF(OR($B336="",J336=""),"",IF($B336=1,--(J336=1),""))</f>
        <v/>
      </c>
      <c r="AO336" s="4">
        <f>IF(OR($B336="",J336=""),"",IF($B336=0,--(J336=0),""))</f>
        <v/>
      </c>
      <c r="AP336" s="4">
        <f>IF(J336="","",--(J336=1))</f>
        <v/>
      </c>
      <c r="AQ336" s="4">
        <f>IF(OR($B336="",K336=""),"",--(K336=$B336))</f>
        <v/>
      </c>
      <c r="AR336" s="4">
        <f>IF(OR($B336="",K336=""),"",IF($B336=1,--(K336=1),""))</f>
        <v/>
      </c>
      <c r="AS336" s="4">
        <f>IF(OR($B336="",K336=""),"",IF($B336=0,--(K336=0),""))</f>
        <v/>
      </c>
      <c r="AT336" s="4">
        <f>IF(K336="","",--(K336=1))</f>
        <v/>
      </c>
      <c r="AU336" s="4">
        <f>IF(OR($B336="",L336=""),"",--(L336=$B336))</f>
        <v/>
      </c>
      <c r="AV336" s="4">
        <f>IF(OR($B336="",L336=""),"",IF($B336=1,--(L336=1),""))</f>
        <v/>
      </c>
      <c r="AW336" s="4">
        <f>IF(OR($B336="",L336=""),"",IF($B336=0,--(L336=0),""))</f>
        <v/>
      </c>
      <c r="AX336" s="4">
        <f>IF(L336="","",--(L336=1))</f>
        <v/>
      </c>
      <c r="AY336" s="4">
        <f>IF(OR($B336="",M336=""),"",--(M336=$B336))</f>
        <v/>
      </c>
      <c r="AZ336" s="4">
        <f>IF(OR($B336="",M336=""),"",IF($B336=1,--(M336=1),""))</f>
        <v/>
      </c>
      <c r="BA336" s="4">
        <f>IF(OR($B336="",M336=""),"",IF($B336=0,--(M336=0),""))</f>
        <v/>
      </c>
      <c r="BB336" s="4">
        <f>IF(M336="","",--(M336=1))</f>
        <v/>
      </c>
      <c r="BC336" s="4">
        <f>IF(OR($B336="",N336=""),"",--(N336=$B336))</f>
        <v/>
      </c>
      <c r="BD336" s="4">
        <f>IF(OR($B336="",N336=""),"",IF($B336=1,--(N336=1),""))</f>
        <v/>
      </c>
      <c r="BE336" s="4">
        <f>IF(OR($B336="",N336=""),"",IF($B336=0,--(N336=0),""))</f>
        <v/>
      </c>
      <c r="BF336" s="4">
        <f>IF(N336="","",--(N336=1))</f>
        <v/>
      </c>
    </row>
    <row r="337">
      <c r="A337" s="3" t="inlineStr">
        <is>
          <t>202154105</t>
        </is>
      </c>
      <c r="B337" s="3" t="inlineStr">
        <is>
          <t>0</t>
        </is>
      </c>
      <c r="C337" s="3" t="inlineStr">
        <is>
          <t>Direct</t>
        </is>
      </c>
      <c r="D337" s="3" t="inlineStr">
        <is>
          <t>1</t>
        </is>
      </c>
      <c r="E337" s="3" t="inlineStr">
        <is>
          <t>1</t>
        </is>
      </c>
      <c r="F337" s="3" t="inlineStr">
        <is>
          <t>0</t>
        </is>
      </c>
      <c r="G337" s="3" t="inlineStr">
        <is>
          <t>0</t>
        </is>
      </c>
      <c r="H337" s="3" t="inlineStr">
        <is>
          <t>1</t>
        </is>
      </c>
      <c r="I337" s="3" t="inlineStr">
        <is>
          <t>0</t>
        </is>
      </c>
      <c r="J337" s="3" t="inlineStr">
        <is>
          <t>0</t>
        </is>
      </c>
      <c r="K337" s="3" t="inlineStr">
        <is>
          <t>0</t>
        </is>
      </c>
      <c r="L337" s="3" t="inlineStr">
        <is>
          <t>1</t>
        </is>
      </c>
      <c r="M337" s="3" t="inlineStr">
        <is>
          <t>1</t>
        </is>
      </c>
      <c r="N337" s="3" t="inlineStr">
        <is>
          <t>1</t>
        </is>
      </c>
      <c r="O337" s="4">
        <f>IF(OR($B337="",D337=""),"",--(D337=$B337))</f>
        <v/>
      </c>
      <c r="P337" s="4">
        <f>IF(OR($B337="",D337=""),"",IF($B337=1,--(D337=1),""))</f>
        <v/>
      </c>
      <c r="Q337" s="4">
        <f>IF(OR($B337="",D337=""),"",IF($B337=0,--(D337=0),""))</f>
        <v/>
      </c>
      <c r="R337" s="4">
        <f>IF(D337="","",--(D337=1))</f>
        <v/>
      </c>
      <c r="S337" s="4">
        <f>IF(OR($B337="",E337=""),"",--(E337=$B337))</f>
        <v/>
      </c>
      <c r="T337" s="4">
        <f>IF(OR($B337="",E337=""),"",IF($B337=1,--(E337=1),""))</f>
        <v/>
      </c>
      <c r="U337" s="4">
        <f>IF(OR($B337="",E337=""),"",IF($B337=0,--(E337=0),""))</f>
        <v/>
      </c>
      <c r="V337" s="4">
        <f>IF(E337="","",--(E337=1))</f>
        <v/>
      </c>
      <c r="W337" s="4">
        <f>IF(OR($B337="",F337=""),"",--(F337=$B337))</f>
        <v/>
      </c>
      <c r="X337" s="4">
        <f>IF(OR($B337="",F337=""),"",IF($B337=1,--(F337=1),""))</f>
        <v/>
      </c>
      <c r="Y337" s="4">
        <f>IF(OR($B337="",F337=""),"",IF($B337=0,--(F337=0),""))</f>
        <v/>
      </c>
      <c r="Z337" s="4">
        <f>IF(F337="","",--(F337=1))</f>
        <v/>
      </c>
      <c r="AA337" s="4">
        <f>IF(OR($B337="",G337=""),"",--(G337=$B337))</f>
        <v/>
      </c>
      <c r="AB337" s="4">
        <f>IF(OR($B337="",G337=""),"",IF($B337=1,--(G337=1),""))</f>
        <v/>
      </c>
      <c r="AC337" s="4">
        <f>IF(OR($B337="",G337=""),"",IF($B337=0,--(G337=0),""))</f>
        <v/>
      </c>
      <c r="AD337" s="4">
        <f>IF(G337="","",--(G337=1))</f>
        <v/>
      </c>
      <c r="AE337" s="4">
        <f>IF(OR($B337="",H337=""),"",--(H337=$B337))</f>
        <v/>
      </c>
      <c r="AF337" s="4">
        <f>IF(OR($B337="",H337=""),"",IF($B337=1,--(H337=1),""))</f>
        <v/>
      </c>
      <c r="AG337" s="4">
        <f>IF(OR($B337="",H337=""),"",IF($B337=0,--(H337=0),""))</f>
        <v/>
      </c>
      <c r="AH337" s="4">
        <f>IF(H337="","",--(H337=1))</f>
        <v/>
      </c>
      <c r="AI337" s="4">
        <f>IF(OR($B337="",I337=""),"",--(I337=$B337))</f>
        <v/>
      </c>
      <c r="AJ337" s="4">
        <f>IF(OR($B337="",I337=""),"",IF($B337=1,--(I337=1),""))</f>
        <v/>
      </c>
      <c r="AK337" s="4">
        <f>IF(OR($B337="",I337=""),"",IF($B337=0,--(I337=0),""))</f>
        <v/>
      </c>
      <c r="AL337" s="4">
        <f>IF(I337="","",--(I337=1))</f>
        <v/>
      </c>
      <c r="AM337" s="4">
        <f>IF(OR($B337="",J337=""),"",--(J337=$B337))</f>
        <v/>
      </c>
      <c r="AN337" s="4">
        <f>IF(OR($B337="",J337=""),"",IF($B337=1,--(J337=1),""))</f>
        <v/>
      </c>
      <c r="AO337" s="4">
        <f>IF(OR($B337="",J337=""),"",IF($B337=0,--(J337=0),""))</f>
        <v/>
      </c>
      <c r="AP337" s="4">
        <f>IF(J337="","",--(J337=1))</f>
        <v/>
      </c>
      <c r="AQ337" s="4">
        <f>IF(OR($B337="",K337=""),"",--(K337=$B337))</f>
        <v/>
      </c>
      <c r="AR337" s="4">
        <f>IF(OR($B337="",K337=""),"",IF($B337=1,--(K337=1),""))</f>
        <v/>
      </c>
      <c r="AS337" s="4">
        <f>IF(OR($B337="",K337=""),"",IF($B337=0,--(K337=0),""))</f>
        <v/>
      </c>
      <c r="AT337" s="4">
        <f>IF(K337="","",--(K337=1))</f>
        <v/>
      </c>
      <c r="AU337" s="4">
        <f>IF(OR($B337="",L337=""),"",--(L337=$B337))</f>
        <v/>
      </c>
      <c r="AV337" s="4">
        <f>IF(OR($B337="",L337=""),"",IF($B337=1,--(L337=1),""))</f>
        <v/>
      </c>
      <c r="AW337" s="4">
        <f>IF(OR($B337="",L337=""),"",IF($B337=0,--(L337=0),""))</f>
        <v/>
      </c>
      <c r="AX337" s="4">
        <f>IF(L337="","",--(L337=1))</f>
        <v/>
      </c>
      <c r="AY337" s="4">
        <f>IF(OR($B337="",M337=""),"",--(M337=$B337))</f>
        <v/>
      </c>
      <c r="AZ337" s="4">
        <f>IF(OR($B337="",M337=""),"",IF($B337=1,--(M337=1),""))</f>
        <v/>
      </c>
      <c r="BA337" s="4">
        <f>IF(OR($B337="",M337=""),"",IF($B337=0,--(M337=0),""))</f>
        <v/>
      </c>
      <c r="BB337" s="4">
        <f>IF(M337="","",--(M337=1))</f>
        <v/>
      </c>
      <c r="BC337" s="4">
        <f>IF(OR($B337="",N337=""),"",--(N337=$B337))</f>
        <v/>
      </c>
      <c r="BD337" s="4">
        <f>IF(OR($B337="",N337=""),"",IF($B337=1,--(N337=1),""))</f>
        <v/>
      </c>
      <c r="BE337" s="4">
        <f>IF(OR($B337="",N337=""),"",IF($B337=0,--(N337=0),""))</f>
        <v/>
      </c>
      <c r="BF337" s="4">
        <f>IF(N337="","",--(N337=1))</f>
        <v/>
      </c>
    </row>
    <row r="338">
      <c r="A338" s="3" t="inlineStr">
        <is>
          <t>202154679</t>
        </is>
      </c>
      <c r="B338" s="3" t="inlineStr">
        <is>
          <t>1</t>
        </is>
      </c>
      <c r="C338" s="3" t="inlineStr">
        <is>
          <t>Direct</t>
        </is>
      </c>
      <c r="D338" s="3" t="inlineStr">
        <is>
          <t>1</t>
        </is>
      </c>
      <c r="E338" s="3" t="inlineStr">
        <is>
          <t>1</t>
        </is>
      </c>
      <c r="F338" s="3" t="inlineStr">
        <is>
          <t>1</t>
        </is>
      </c>
      <c r="G338" s="3" t="inlineStr">
        <is>
          <t>0</t>
        </is>
      </c>
      <c r="H338" s="3" t="inlineStr">
        <is>
          <t>1</t>
        </is>
      </c>
      <c r="I338" s="3" t="inlineStr">
        <is>
          <t>0</t>
        </is>
      </c>
      <c r="J338" s="3" t="inlineStr">
        <is>
          <t>0</t>
        </is>
      </c>
      <c r="K338" s="3" t="inlineStr">
        <is>
          <t>0</t>
        </is>
      </c>
      <c r="L338" s="3" t="inlineStr">
        <is>
          <t>1</t>
        </is>
      </c>
      <c r="M338" s="3" t="inlineStr">
        <is>
          <t>1</t>
        </is>
      </c>
      <c r="N338" s="3" t="inlineStr">
        <is>
          <t>1</t>
        </is>
      </c>
      <c r="O338" s="4">
        <f>IF(OR($B338="",D338=""),"",--(D338=$B338))</f>
        <v/>
      </c>
      <c r="P338" s="4">
        <f>IF(OR($B338="",D338=""),"",IF($B338=1,--(D338=1),""))</f>
        <v/>
      </c>
      <c r="Q338" s="4">
        <f>IF(OR($B338="",D338=""),"",IF($B338=0,--(D338=0),""))</f>
        <v/>
      </c>
      <c r="R338" s="4">
        <f>IF(D338="","",--(D338=1))</f>
        <v/>
      </c>
      <c r="S338" s="4">
        <f>IF(OR($B338="",E338=""),"",--(E338=$B338))</f>
        <v/>
      </c>
      <c r="T338" s="4">
        <f>IF(OR($B338="",E338=""),"",IF($B338=1,--(E338=1),""))</f>
        <v/>
      </c>
      <c r="U338" s="4">
        <f>IF(OR($B338="",E338=""),"",IF($B338=0,--(E338=0),""))</f>
        <v/>
      </c>
      <c r="V338" s="4">
        <f>IF(E338="","",--(E338=1))</f>
        <v/>
      </c>
      <c r="W338" s="4">
        <f>IF(OR($B338="",F338=""),"",--(F338=$B338))</f>
        <v/>
      </c>
      <c r="X338" s="4">
        <f>IF(OR($B338="",F338=""),"",IF($B338=1,--(F338=1),""))</f>
        <v/>
      </c>
      <c r="Y338" s="4">
        <f>IF(OR($B338="",F338=""),"",IF($B338=0,--(F338=0),""))</f>
        <v/>
      </c>
      <c r="Z338" s="4">
        <f>IF(F338="","",--(F338=1))</f>
        <v/>
      </c>
      <c r="AA338" s="4">
        <f>IF(OR($B338="",G338=""),"",--(G338=$B338))</f>
        <v/>
      </c>
      <c r="AB338" s="4">
        <f>IF(OR($B338="",G338=""),"",IF($B338=1,--(G338=1),""))</f>
        <v/>
      </c>
      <c r="AC338" s="4">
        <f>IF(OR($B338="",G338=""),"",IF($B338=0,--(G338=0),""))</f>
        <v/>
      </c>
      <c r="AD338" s="4">
        <f>IF(G338="","",--(G338=1))</f>
        <v/>
      </c>
      <c r="AE338" s="4">
        <f>IF(OR($B338="",H338=""),"",--(H338=$B338))</f>
        <v/>
      </c>
      <c r="AF338" s="4">
        <f>IF(OR($B338="",H338=""),"",IF($B338=1,--(H338=1),""))</f>
        <v/>
      </c>
      <c r="AG338" s="4">
        <f>IF(OR($B338="",H338=""),"",IF($B338=0,--(H338=0),""))</f>
        <v/>
      </c>
      <c r="AH338" s="4">
        <f>IF(H338="","",--(H338=1))</f>
        <v/>
      </c>
      <c r="AI338" s="4">
        <f>IF(OR($B338="",I338=""),"",--(I338=$B338))</f>
        <v/>
      </c>
      <c r="AJ338" s="4">
        <f>IF(OR($B338="",I338=""),"",IF($B338=1,--(I338=1),""))</f>
        <v/>
      </c>
      <c r="AK338" s="4">
        <f>IF(OR($B338="",I338=""),"",IF($B338=0,--(I338=0),""))</f>
        <v/>
      </c>
      <c r="AL338" s="4">
        <f>IF(I338="","",--(I338=1))</f>
        <v/>
      </c>
      <c r="AM338" s="4">
        <f>IF(OR($B338="",J338=""),"",--(J338=$B338))</f>
        <v/>
      </c>
      <c r="AN338" s="4">
        <f>IF(OR($B338="",J338=""),"",IF($B338=1,--(J338=1),""))</f>
        <v/>
      </c>
      <c r="AO338" s="4">
        <f>IF(OR($B338="",J338=""),"",IF($B338=0,--(J338=0),""))</f>
        <v/>
      </c>
      <c r="AP338" s="4">
        <f>IF(J338="","",--(J338=1))</f>
        <v/>
      </c>
      <c r="AQ338" s="4">
        <f>IF(OR($B338="",K338=""),"",--(K338=$B338))</f>
        <v/>
      </c>
      <c r="AR338" s="4">
        <f>IF(OR($B338="",K338=""),"",IF($B338=1,--(K338=1),""))</f>
        <v/>
      </c>
      <c r="AS338" s="4">
        <f>IF(OR($B338="",K338=""),"",IF($B338=0,--(K338=0),""))</f>
        <v/>
      </c>
      <c r="AT338" s="4">
        <f>IF(K338="","",--(K338=1))</f>
        <v/>
      </c>
      <c r="AU338" s="4">
        <f>IF(OR($B338="",L338=""),"",--(L338=$B338))</f>
        <v/>
      </c>
      <c r="AV338" s="4">
        <f>IF(OR($B338="",L338=""),"",IF($B338=1,--(L338=1),""))</f>
        <v/>
      </c>
      <c r="AW338" s="4">
        <f>IF(OR($B338="",L338=""),"",IF($B338=0,--(L338=0),""))</f>
        <v/>
      </c>
      <c r="AX338" s="4">
        <f>IF(L338="","",--(L338=1))</f>
        <v/>
      </c>
      <c r="AY338" s="4">
        <f>IF(OR($B338="",M338=""),"",--(M338=$B338))</f>
        <v/>
      </c>
      <c r="AZ338" s="4">
        <f>IF(OR($B338="",M338=""),"",IF($B338=1,--(M338=1),""))</f>
        <v/>
      </c>
      <c r="BA338" s="4">
        <f>IF(OR($B338="",M338=""),"",IF($B338=0,--(M338=0),""))</f>
        <v/>
      </c>
      <c r="BB338" s="4">
        <f>IF(M338="","",--(M338=1))</f>
        <v/>
      </c>
      <c r="BC338" s="4">
        <f>IF(OR($B338="",N338=""),"",--(N338=$B338))</f>
        <v/>
      </c>
      <c r="BD338" s="4">
        <f>IF(OR($B338="",N338=""),"",IF($B338=1,--(N338=1),""))</f>
        <v/>
      </c>
      <c r="BE338" s="4">
        <f>IF(OR($B338="",N338=""),"",IF($B338=0,--(N338=0),""))</f>
        <v/>
      </c>
      <c r="BF338" s="4">
        <f>IF(N338="","",--(N338=1))</f>
        <v/>
      </c>
    </row>
    <row r="339">
      <c r="A339" s="3" t="inlineStr">
        <is>
          <t>20215469</t>
        </is>
      </c>
      <c r="B339" s="3" t="inlineStr">
        <is>
          <t>0</t>
        </is>
      </c>
      <c r="C339" s="3" t="inlineStr">
        <is>
          <t>Direct</t>
        </is>
      </c>
      <c r="D339" s="3" t="inlineStr">
        <is>
          <t>1</t>
        </is>
      </c>
      <c r="E339" s="3" t="inlineStr">
        <is>
          <t>0</t>
        </is>
      </c>
      <c r="F339" s="3" t="inlineStr">
        <is>
          <t>0</t>
        </is>
      </c>
      <c r="G339" s="3" t="inlineStr">
        <is>
          <t>0</t>
        </is>
      </c>
      <c r="H339" s="3" t="inlineStr">
        <is>
          <t>0</t>
        </is>
      </c>
      <c r="I339" s="3" t="inlineStr">
        <is>
          <t>0</t>
        </is>
      </c>
      <c r="J339" s="3" t="inlineStr">
        <is>
          <t>0</t>
        </is>
      </c>
      <c r="K339" s="3" t="inlineStr">
        <is>
          <t>1</t>
        </is>
      </c>
      <c r="L339" s="3" t="inlineStr">
        <is>
          <t>0</t>
        </is>
      </c>
      <c r="M339" s="3" t="inlineStr">
        <is>
          <t>1</t>
        </is>
      </c>
      <c r="N339" s="3" t="inlineStr">
        <is>
          <t>1</t>
        </is>
      </c>
      <c r="O339" s="4">
        <f>IF(OR($B339="",D339=""),"",--(D339=$B339))</f>
        <v/>
      </c>
      <c r="P339" s="4">
        <f>IF(OR($B339="",D339=""),"",IF($B339=1,--(D339=1),""))</f>
        <v/>
      </c>
      <c r="Q339" s="4">
        <f>IF(OR($B339="",D339=""),"",IF($B339=0,--(D339=0),""))</f>
        <v/>
      </c>
      <c r="R339" s="4">
        <f>IF(D339="","",--(D339=1))</f>
        <v/>
      </c>
      <c r="S339" s="4">
        <f>IF(OR($B339="",E339=""),"",--(E339=$B339))</f>
        <v/>
      </c>
      <c r="T339" s="4">
        <f>IF(OR($B339="",E339=""),"",IF($B339=1,--(E339=1),""))</f>
        <v/>
      </c>
      <c r="U339" s="4">
        <f>IF(OR($B339="",E339=""),"",IF($B339=0,--(E339=0),""))</f>
        <v/>
      </c>
      <c r="V339" s="4">
        <f>IF(E339="","",--(E339=1))</f>
        <v/>
      </c>
      <c r="W339" s="4">
        <f>IF(OR($B339="",F339=""),"",--(F339=$B339))</f>
        <v/>
      </c>
      <c r="X339" s="4">
        <f>IF(OR($B339="",F339=""),"",IF($B339=1,--(F339=1),""))</f>
        <v/>
      </c>
      <c r="Y339" s="4">
        <f>IF(OR($B339="",F339=""),"",IF($B339=0,--(F339=0),""))</f>
        <v/>
      </c>
      <c r="Z339" s="4">
        <f>IF(F339="","",--(F339=1))</f>
        <v/>
      </c>
      <c r="AA339" s="4">
        <f>IF(OR($B339="",G339=""),"",--(G339=$B339))</f>
        <v/>
      </c>
      <c r="AB339" s="4">
        <f>IF(OR($B339="",G339=""),"",IF($B339=1,--(G339=1),""))</f>
        <v/>
      </c>
      <c r="AC339" s="4">
        <f>IF(OR($B339="",G339=""),"",IF($B339=0,--(G339=0),""))</f>
        <v/>
      </c>
      <c r="AD339" s="4">
        <f>IF(G339="","",--(G339=1))</f>
        <v/>
      </c>
      <c r="AE339" s="4">
        <f>IF(OR($B339="",H339=""),"",--(H339=$B339))</f>
        <v/>
      </c>
      <c r="AF339" s="4">
        <f>IF(OR($B339="",H339=""),"",IF($B339=1,--(H339=1),""))</f>
        <v/>
      </c>
      <c r="AG339" s="4">
        <f>IF(OR($B339="",H339=""),"",IF($B339=0,--(H339=0),""))</f>
        <v/>
      </c>
      <c r="AH339" s="4">
        <f>IF(H339="","",--(H339=1))</f>
        <v/>
      </c>
      <c r="AI339" s="4">
        <f>IF(OR($B339="",I339=""),"",--(I339=$B339))</f>
        <v/>
      </c>
      <c r="AJ339" s="4">
        <f>IF(OR($B339="",I339=""),"",IF($B339=1,--(I339=1),""))</f>
        <v/>
      </c>
      <c r="AK339" s="4">
        <f>IF(OR($B339="",I339=""),"",IF($B339=0,--(I339=0),""))</f>
        <v/>
      </c>
      <c r="AL339" s="4">
        <f>IF(I339="","",--(I339=1))</f>
        <v/>
      </c>
      <c r="AM339" s="4">
        <f>IF(OR($B339="",J339=""),"",--(J339=$B339))</f>
        <v/>
      </c>
      <c r="AN339" s="4">
        <f>IF(OR($B339="",J339=""),"",IF($B339=1,--(J339=1),""))</f>
        <v/>
      </c>
      <c r="AO339" s="4">
        <f>IF(OR($B339="",J339=""),"",IF($B339=0,--(J339=0),""))</f>
        <v/>
      </c>
      <c r="AP339" s="4">
        <f>IF(J339="","",--(J339=1))</f>
        <v/>
      </c>
      <c r="AQ339" s="4">
        <f>IF(OR($B339="",K339=""),"",--(K339=$B339))</f>
        <v/>
      </c>
      <c r="AR339" s="4">
        <f>IF(OR($B339="",K339=""),"",IF($B339=1,--(K339=1),""))</f>
        <v/>
      </c>
      <c r="AS339" s="4">
        <f>IF(OR($B339="",K339=""),"",IF($B339=0,--(K339=0),""))</f>
        <v/>
      </c>
      <c r="AT339" s="4">
        <f>IF(K339="","",--(K339=1))</f>
        <v/>
      </c>
      <c r="AU339" s="4">
        <f>IF(OR($B339="",L339=""),"",--(L339=$B339))</f>
        <v/>
      </c>
      <c r="AV339" s="4">
        <f>IF(OR($B339="",L339=""),"",IF($B339=1,--(L339=1),""))</f>
        <v/>
      </c>
      <c r="AW339" s="4">
        <f>IF(OR($B339="",L339=""),"",IF($B339=0,--(L339=0),""))</f>
        <v/>
      </c>
      <c r="AX339" s="4">
        <f>IF(L339="","",--(L339=1))</f>
        <v/>
      </c>
      <c r="AY339" s="4">
        <f>IF(OR($B339="",M339=""),"",--(M339=$B339))</f>
        <v/>
      </c>
      <c r="AZ339" s="4">
        <f>IF(OR($B339="",M339=""),"",IF($B339=1,--(M339=1),""))</f>
        <v/>
      </c>
      <c r="BA339" s="4">
        <f>IF(OR($B339="",M339=""),"",IF($B339=0,--(M339=0),""))</f>
        <v/>
      </c>
      <c r="BB339" s="4">
        <f>IF(M339="","",--(M339=1))</f>
        <v/>
      </c>
      <c r="BC339" s="4">
        <f>IF(OR($B339="",N339=""),"",--(N339=$B339))</f>
        <v/>
      </c>
      <c r="BD339" s="4">
        <f>IF(OR($B339="",N339=""),"",IF($B339=1,--(N339=1),""))</f>
        <v/>
      </c>
      <c r="BE339" s="4">
        <f>IF(OR($B339="",N339=""),"",IF($B339=0,--(N339=0),""))</f>
        <v/>
      </c>
      <c r="BF339" s="4">
        <f>IF(N339="","",--(N339=1))</f>
        <v/>
      </c>
    </row>
    <row r="340">
      <c r="A340" s="3" t="inlineStr">
        <is>
          <t>202155075</t>
        </is>
      </c>
      <c r="B340" s="3" t="inlineStr">
        <is>
          <t>1</t>
        </is>
      </c>
      <c r="C340" s="3" t="inlineStr">
        <is>
          <t>Direct</t>
        </is>
      </c>
      <c r="D340" s="3" t="inlineStr">
        <is>
          <t>1</t>
        </is>
      </c>
      <c r="E340" s="3" t="inlineStr">
        <is>
          <t>0</t>
        </is>
      </c>
      <c r="F340" s="3" t="inlineStr">
        <is>
          <t>1</t>
        </is>
      </c>
      <c r="G340" s="3" t="inlineStr">
        <is>
          <t>1</t>
        </is>
      </c>
      <c r="H340" s="3" t="inlineStr">
        <is>
          <t>1</t>
        </is>
      </c>
      <c r="I340" s="3" t="inlineStr">
        <is>
          <t>1</t>
        </is>
      </c>
      <c r="J340" s="3" t="inlineStr">
        <is>
          <t>1</t>
        </is>
      </c>
      <c r="K340" s="3" t="inlineStr">
        <is>
          <t>1</t>
        </is>
      </c>
      <c r="L340" s="3" t="inlineStr">
        <is>
          <t>1</t>
        </is>
      </c>
      <c r="M340" s="3" t="inlineStr">
        <is>
          <t>1</t>
        </is>
      </c>
      <c r="N340" s="3" t="inlineStr">
        <is>
          <t>1</t>
        </is>
      </c>
      <c r="O340" s="4">
        <f>IF(OR($B340="",D340=""),"",--(D340=$B340))</f>
        <v/>
      </c>
      <c r="P340" s="4">
        <f>IF(OR($B340="",D340=""),"",IF($B340=1,--(D340=1),""))</f>
        <v/>
      </c>
      <c r="Q340" s="4">
        <f>IF(OR($B340="",D340=""),"",IF($B340=0,--(D340=0),""))</f>
        <v/>
      </c>
      <c r="R340" s="4">
        <f>IF(D340="","",--(D340=1))</f>
        <v/>
      </c>
      <c r="S340" s="4">
        <f>IF(OR($B340="",E340=""),"",--(E340=$B340))</f>
        <v/>
      </c>
      <c r="T340" s="4">
        <f>IF(OR($B340="",E340=""),"",IF($B340=1,--(E340=1),""))</f>
        <v/>
      </c>
      <c r="U340" s="4">
        <f>IF(OR($B340="",E340=""),"",IF($B340=0,--(E340=0),""))</f>
        <v/>
      </c>
      <c r="V340" s="4">
        <f>IF(E340="","",--(E340=1))</f>
        <v/>
      </c>
      <c r="W340" s="4">
        <f>IF(OR($B340="",F340=""),"",--(F340=$B340))</f>
        <v/>
      </c>
      <c r="X340" s="4">
        <f>IF(OR($B340="",F340=""),"",IF($B340=1,--(F340=1),""))</f>
        <v/>
      </c>
      <c r="Y340" s="4">
        <f>IF(OR($B340="",F340=""),"",IF($B340=0,--(F340=0),""))</f>
        <v/>
      </c>
      <c r="Z340" s="4">
        <f>IF(F340="","",--(F340=1))</f>
        <v/>
      </c>
      <c r="AA340" s="4">
        <f>IF(OR($B340="",G340=""),"",--(G340=$B340))</f>
        <v/>
      </c>
      <c r="AB340" s="4">
        <f>IF(OR($B340="",G340=""),"",IF($B340=1,--(G340=1),""))</f>
        <v/>
      </c>
      <c r="AC340" s="4">
        <f>IF(OR($B340="",G340=""),"",IF($B340=0,--(G340=0),""))</f>
        <v/>
      </c>
      <c r="AD340" s="4">
        <f>IF(G340="","",--(G340=1))</f>
        <v/>
      </c>
      <c r="AE340" s="4">
        <f>IF(OR($B340="",H340=""),"",--(H340=$B340))</f>
        <v/>
      </c>
      <c r="AF340" s="4">
        <f>IF(OR($B340="",H340=""),"",IF($B340=1,--(H340=1),""))</f>
        <v/>
      </c>
      <c r="AG340" s="4">
        <f>IF(OR($B340="",H340=""),"",IF($B340=0,--(H340=0),""))</f>
        <v/>
      </c>
      <c r="AH340" s="4">
        <f>IF(H340="","",--(H340=1))</f>
        <v/>
      </c>
      <c r="AI340" s="4">
        <f>IF(OR($B340="",I340=""),"",--(I340=$B340))</f>
        <v/>
      </c>
      <c r="AJ340" s="4">
        <f>IF(OR($B340="",I340=""),"",IF($B340=1,--(I340=1),""))</f>
        <v/>
      </c>
      <c r="AK340" s="4">
        <f>IF(OR($B340="",I340=""),"",IF($B340=0,--(I340=0),""))</f>
        <v/>
      </c>
      <c r="AL340" s="4">
        <f>IF(I340="","",--(I340=1))</f>
        <v/>
      </c>
      <c r="AM340" s="4">
        <f>IF(OR($B340="",J340=""),"",--(J340=$B340))</f>
        <v/>
      </c>
      <c r="AN340" s="4">
        <f>IF(OR($B340="",J340=""),"",IF($B340=1,--(J340=1),""))</f>
        <v/>
      </c>
      <c r="AO340" s="4">
        <f>IF(OR($B340="",J340=""),"",IF($B340=0,--(J340=0),""))</f>
        <v/>
      </c>
      <c r="AP340" s="4">
        <f>IF(J340="","",--(J340=1))</f>
        <v/>
      </c>
      <c r="AQ340" s="4">
        <f>IF(OR($B340="",K340=""),"",--(K340=$B340))</f>
        <v/>
      </c>
      <c r="AR340" s="4">
        <f>IF(OR($B340="",K340=""),"",IF($B340=1,--(K340=1),""))</f>
        <v/>
      </c>
      <c r="AS340" s="4">
        <f>IF(OR($B340="",K340=""),"",IF($B340=0,--(K340=0),""))</f>
        <v/>
      </c>
      <c r="AT340" s="4">
        <f>IF(K340="","",--(K340=1))</f>
        <v/>
      </c>
      <c r="AU340" s="4">
        <f>IF(OR($B340="",L340=""),"",--(L340=$B340))</f>
        <v/>
      </c>
      <c r="AV340" s="4">
        <f>IF(OR($B340="",L340=""),"",IF($B340=1,--(L340=1),""))</f>
        <v/>
      </c>
      <c r="AW340" s="4">
        <f>IF(OR($B340="",L340=""),"",IF($B340=0,--(L340=0),""))</f>
        <v/>
      </c>
      <c r="AX340" s="4">
        <f>IF(L340="","",--(L340=1))</f>
        <v/>
      </c>
      <c r="AY340" s="4">
        <f>IF(OR($B340="",M340=""),"",--(M340=$B340))</f>
        <v/>
      </c>
      <c r="AZ340" s="4">
        <f>IF(OR($B340="",M340=""),"",IF($B340=1,--(M340=1),""))</f>
        <v/>
      </c>
      <c r="BA340" s="4">
        <f>IF(OR($B340="",M340=""),"",IF($B340=0,--(M340=0),""))</f>
        <v/>
      </c>
      <c r="BB340" s="4">
        <f>IF(M340="","",--(M340=1))</f>
        <v/>
      </c>
      <c r="BC340" s="4">
        <f>IF(OR($B340="",N340=""),"",--(N340=$B340))</f>
        <v/>
      </c>
      <c r="BD340" s="4">
        <f>IF(OR($B340="",N340=""),"",IF($B340=1,--(N340=1),""))</f>
        <v/>
      </c>
      <c r="BE340" s="4">
        <f>IF(OR($B340="",N340=""),"",IF($B340=0,--(N340=0),""))</f>
        <v/>
      </c>
      <c r="BF340" s="4">
        <f>IF(N340="","",--(N340=1))</f>
        <v/>
      </c>
    </row>
    <row r="341">
      <c r="A341" s="3" t="inlineStr">
        <is>
          <t>202155423</t>
        </is>
      </c>
      <c r="B341" s="3" t="inlineStr">
        <is>
          <t>0</t>
        </is>
      </c>
      <c r="C341" s="3" t="inlineStr">
        <is>
          <t>Direct</t>
        </is>
      </c>
      <c r="D341" s="3" t="inlineStr">
        <is>
          <t>0</t>
        </is>
      </c>
      <c r="E341" s="3" t="inlineStr">
        <is>
          <t>0</t>
        </is>
      </c>
      <c r="F341" s="3" t="inlineStr">
        <is>
          <t>0</t>
        </is>
      </c>
      <c r="G341" s="3" t="inlineStr">
        <is>
          <t>0</t>
        </is>
      </c>
      <c r="H341" s="3" t="inlineStr">
        <is>
          <t>0</t>
        </is>
      </c>
      <c r="I341" s="3" t="inlineStr">
        <is>
          <t>1</t>
        </is>
      </c>
      <c r="J341" s="3" t="inlineStr">
        <is>
          <t>0</t>
        </is>
      </c>
      <c r="K341" s="3" t="inlineStr">
        <is>
          <t>1</t>
        </is>
      </c>
      <c r="L341" s="3" t="inlineStr">
        <is>
          <t>1</t>
        </is>
      </c>
      <c r="M341" s="3" t="inlineStr">
        <is>
          <t>0</t>
        </is>
      </c>
      <c r="N341" s="3" t="inlineStr">
        <is>
          <t>1</t>
        </is>
      </c>
      <c r="O341" s="4">
        <f>IF(OR($B341="",D341=""),"",--(D341=$B341))</f>
        <v/>
      </c>
      <c r="P341" s="4">
        <f>IF(OR($B341="",D341=""),"",IF($B341=1,--(D341=1),""))</f>
        <v/>
      </c>
      <c r="Q341" s="4">
        <f>IF(OR($B341="",D341=""),"",IF($B341=0,--(D341=0),""))</f>
        <v/>
      </c>
      <c r="R341" s="4">
        <f>IF(D341="","",--(D341=1))</f>
        <v/>
      </c>
      <c r="S341" s="4">
        <f>IF(OR($B341="",E341=""),"",--(E341=$B341))</f>
        <v/>
      </c>
      <c r="T341" s="4">
        <f>IF(OR($B341="",E341=""),"",IF($B341=1,--(E341=1),""))</f>
        <v/>
      </c>
      <c r="U341" s="4">
        <f>IF(OR($B341="",E341=""),"",IF($B341=0,--(E341=0),""))</f>
        <v/>
      </c>
      <c r="V341" s="4">
        <f>IF(E341="","",--(E341=1))</f>
        <v/>
      </c>
      <c r="W341" s="4">
        <f>IF(OR($B341="",F341=""),"",--(F341=$B341))</f>
        <v/>
      </c>
      <c r="X341" s="4">
        <f>IF(OR($B341="",F341=""),"",IF($B341=1,--(F341=1),""))</f>
        <v/>
      </c>
      <c r="Y341" s="4">
        <f>IF(OR($B341="",F341=""),"",IF($B341=0,--(F341=0),""))</f>
        <v/>
      </c>
      <c r="Z341" s="4">
        <f>IF(F341="","",--(F341=1))</f>
        <v/>
      </c>
      <c r="AA341" s="4">
        <f>IF(OR($B341="",G341=""),"",--(G341=$B341))</f>
        <v/>
      </c>
      <c r="AB341" s="4">
        <f>IF(OR($B341="",G341=""),"",IF($B341=1,--(G341=1),""))</f>
        <v/>
      </c>
      <c r="AC341" s="4">
        <f>IF(OR($B341="",G341=""),"",IF($B341=0,--(G341=0),""))</f>
        <v/>
      </c>
      <c r="AD341" s="4">
        <f>IF(G341="","",--(G341=1))</f>
        <v/>
      </c>
      <c r="AE341" s="4">
        <f>IF(OR($B341="",H341=""),"",--(H341=$B341))</f>
        <v/>
      </c>
      <c r="AF341" s="4">
        <f>IF(OR($B341="",H341=""),"",IF($B341=1,--(H341=1),""))</f>
        <v/>
      </c>
      <c r="AG341" s="4">
        <f>IF(OR($B341="",H341=""),"",IF($B341=0,--(H341=0),""))</f>
        <v/>
      </c>
      <c r="AH341" s="4">
        <f>IF(H341="","",--(H341=1))</f>
        <v/>
      </c>
      <c r="AI341" s="4">
        <f>IF(OR($B341="",I341=""),"",--(I341=$B341))</f>
        <v/>
      </c>
      <c r="AJ341" s="4">
        <f>IF(OR($B341="",I341=""),"",IF($B341=1,--(I341=1),""))</f>
        <v/>
      </c>
      <c r="AK341" s="4">
        <f>IF(OR($B341="",I341=""),"",IF($B341=0,--(I341=0),""))</f>
        <v/>
      </c>
      <c r="AL341" s="4">
        <f>IF(I341="","",--(I341=1))</f>
        <v/>
      </c>
      <c r="AM341" s="4">
        <f>IF(OR($B341="",J341=""),"",--(J341=$B341))</f>
        <v/>
      </c>
      <c r="AN341" s="4">
        <f>IF(OR($B341="",J341=""),"",IF($B341=1,--(J341=1),""))</f>
        <v/>
      </c>
      <c r="AO341" s="4">
        <f>IF(OR($B341="",J341=""),"",IF($B341=0,--(J341=0),""))</f>
        <v/>
      </c>
      <c r="AP341" s="4">
        <f>IF(J341="","",--(J341=1))</f>
        <v/>
      </c>
      <c r="AQ341" s="4">
        <f>IF(OR($B341="",K341=""),"",--(K341=$B341))</f>
        <v/>
      </c>
      <c r="AR341" s="4">
        <f>IF(OR($B341="",K341=""),"",IF($B341=1,--(K341=1),""))</f>
        <v/>
      </c>
      <c r="AS341" s="4">
        <f>IF(OR($B341="",K341=""),"",IF($B341=0,--(K341=0),""))</f>
        <v/>
      </c>
      <c r="AT341" s="4">
        <f>IF(K341="","",--(K341=1))</f>
        <v/>
      </c>
      <c r="AU341" s="4">
        <f>IF(OR($B341="",L341=""),"",--(L341=$B341))</f>
        <v/>
      </c>
      <c r="AV341" s="4">
        <f>IF(OR($B341="",L341=""),"",IF($B341=1,--(L341=1),""))</f>
        <v/>
      </c>
      <c r="AW341" s="4">
        <f>IF(OR($B341="",L341=""),"",IF($B341=0,--(L341=0),""))</f>
        <v/>
      </c>
      <c r="AX341" s="4">
        <f>IF(L341="","",--(L341=1))</f>
        <v/>
      </c>
      <c r="AY341" s="4">
        <f>IF(OR($B341="",M341=""),"",--(M341=$B341))</f>
        <v/>
      </c>
      <c r="AZ341" s="4">
        <f>IF(OR($B341="",M341=""),"",IF($B341=1,--(M341=1),""))</f>
        <v/>
      </c>
      <c r="BA341" s="4">
        <f>IF(OR($B341="",M341=""),"",IF($B341=0,--(M341=0),""))</f>
        <v/>
      </c>
      <c r="BB341" s="4">
        <f>IF(M341="","",--(M341=1))</f>
        <v/>
      </c>
      <c r="BC341" s="4">
        <f>IF(OR($B341="",N341=""),"",--(N341=$B341))</f>
        <v/>
      </c>
      <c r="BD341" s="4">
        <f>IF(OR($B341="",N341=""),"",IF($B341=1,--(N341=1),""))</f>
        <v/>
      </c>
      <c r="BE341" s="4">
        <f>IF(OR($B341="",N341=""),"",IF($B341=0,--(N341=0),""))</f>
        <v/>
      </c>
      <c r="BF341" s="4">
        <f>IF(N341="","",--(N341=1))</f>
        <v/>
      </c>
    </row>
    <row r="342">
      <c r="A342" s="3" t="inlineStr">
        <is>
          <t>202155919</t>
        </is>
      </c>
      <c r="B342" s="3" t="inlineStr">
        <is>
          <t>0</t>
        </is>
      </c>
      <c r="C342" s="3" t="inlineStr">
        <is>
          <t>Direct</t>
        </is>
      </c>
      <c r="D342" s="3" t="inlineStr">
        <is>
          <t>1</t>
        </is>
      </c>
      <c r="E342" s="3" t="inlineStr">
        <is>
          <t>0</t>
        </is>
      </c>
      <c r="F342" s="3" t="inlineStr">
        <is>
          <t>1</t>
        </is>
      </c>
      <c r="G342" s="3" t="inlineStr">
        <is>
          <t>1</t>
        </is>
      </c>
      <c r="H342" s="3" t="inlineStr">
        <is>
          <t>1</t>
        </is>
      </c>
      <c r="I342" s="3" t="inlineStr">
        <is>
          <t>1</t>
        </is>
      </c>
      <c r="J342" s="3" t="inlineStr">
        <is>
          <t>1</t>
        </is>
      </c>
      <c r="K342" s="3" t="inlineStr">
        <is>
          <t>1</t>
        </is>
      </c>
      <c r="L342" s="3" t="inlineStr">
        <is>
          <t>1</t>
        </is>
      </c>
      <c r="M342" s="3" t="inlineStr">
        <is>
          <t>1</t>
        </is>
      </c>
      <c r="N342" s="3" t="inlineStr">
        <is>
          <t>1</t>
        </is>
      </c>
      <c r="O342" s="4">
        <f>IF(OR($B342="",D342=""),"",--(D342=$B342))</f>
        <v/>
      </c>
      <c r="P342" s="4">
        <f>IF(OR($B342="",D342=""),"",IF($B342=1,--(D342=1),""))</f>
        <v/>
      </c>
      <c r="Q342" s="4">
        <f>IF(OR($B342="",D342=""),"",IF($B342=0,--(D342=0),""))</f>
        <v/>
      </c>
      <c r="R342" s="4">
        <f>IF(D342="","",--(D342=1))</f>
        <v/>
      </c>
      <c r="S342" s="4">
        <f>IF(OR($B342="",E342=""),"",--(E342=$B342))</f>
        <v/>
      </c>
      <c r="T342" s="4">
        <f>IF(OR($B342="",E342=""),"",IF($B342=1,--(E342=1),""))</f>
        <v/>
      </c>
      <c r="U342" s="4">
        <f>IF(OR($B342="",E342=""),"",IF($B342=0,--(E342=0),""))</f>
        <v/>
      </c>
      <c r="V342" s="4">
        <f>IF(E342="","",--(E342=1))</f>
        <v/>
      </c>
      <c r="W342" s="4">
        <f>IF(OR($B342="",F342=""),"",--(F342=$B342))</f>
        <v/>
      </c>
      <c r="X342" s="4">
        <f>IF(OR($B342="",F342=""),"",IF($B342=1,--(F342=1),""))</f>
        <v/>
      </c>
      <c r="Y342" s="4">
        <f>IF(OR($B342="",F342=""),"",IF($B342=0,--(F342=0),""))</f>
        <v/>
      </c>
      <c r="Z342" s="4">
        <f>IF(F342="","",--(F342=1))</f>
        <v/>
      </c>
      <c r="AA342" s="4">
        <f>IF(OR($B342="",G342=""),"",--(G342=$B342))</f>
        <v/>
      </c>
      <c r="AB342" s="4">
        <f>IF(OR($B342="",G342=""),"",IF($B342=1,--(G342=1),""))</f>
        <v/>
      </c>
      <c r="AC342" s="4">
        <f>IF(OR($B342="",G342=""),"",IF($B342=0,--(G342=0),""))</f>
        <v/>
      </c>
      <c r="AD342" s="4">
        <f>IF(G342="","",--(G342=1))</f>
        <v/>
      </c>
      <c r="AE342" s="4">
        <f>IF(OR($B342="",H342=""),"",--(H342=$B342))</f>
        <v/>
      </c>
      <c r="AF342" s="4">
        <f>IF(OR($B342="",H342=""),"",IF($B342=1,--(H342=1),""))</f>
        <v/>
      </c>
      <c r="AG342" s="4">
        <f>IF(OR($B342="",H342=""),"",IF($B342=0,--(H342=0),""))</f>
        <v/>
      </c>
      <c r="AH342" s="4">
        <f>IF(H342="","",--(H342=1))</f>
        <v/>
      </c>
      <c r="AI342" s="4">
        <f>IF(OR($B342="",I342=""),"",--(I342=$B342))</f>
        <v/>
      </c>
      <c r="AJ342" s="4">
        <f>IF(OR($B342="",I342=""),"",IF($B342=1,--(I342=1),""))</f>
        <v/>
      </c>
      <c r="AK342" s="4">
        <f>IF(OR($B342="",I342=""),"",IF($B342=0,--(I342=0),""))</f>
        <v/>
      </c>
      <c r="AL342" s="4">
        <f>IF(I342="","",--(I342=1))</f>
        <v/>
      </c>
      <c r="AM342" s="4">
        <f>IF(OR($B342="",J342=""),"",--(J342=$B342))</f>
        <v/>
      </c>
      <c r="AN342" s="4">
        <f>IF(OR($B342="",J342=""),"",IF($B342=1,--(J342=1),""))</f>
        <v/>
      </c>
      <c r="AO342" s="4">
        <f>IF(OR($B342="",J342=""),"",IF($B342=0,--(J342=0),""))</f>
        <v/>
      </c>
      <c r="AP342" s="4">
        <f>IF(J342="","",--(J342=1))</f>
        <v/>
      </c>
      <c r="AQ342" s="4">
        <f>IF(OR($B342="",K342=""),"",--(K342=$B342))</f>
        <v/>
      </c>
      <c r="AR342" s="4">
        <f>IF(OR($B342="",K342=""),"",IF($B342=1,--(K342=1),""))</f>
        <v/>
      </c>
      <c r="AS342" s="4">
        <f>IF(OR($B342="",K342=""),"",IF($B342=0,--(K342=0),""))</f>
        <v/>
      </c>
      <c r="AT342" s="4">
        <f>IF(K342="","",--(K342=1))</f>
        <v/>
      </c>
      <c r="AU342" s="4">
        <f>IF(OR($B342="",L342=""),"",--(L342=$B342))</f>
        <v/>
      </c>
      <c r="AV342" s="4">
        <f>IF(OR($B342="",L342=""),"",IF($B342=1,--(L342=1),""))</f>
        <v/>
      </c>
      <c r="AW342" s="4">
        <f>IF(OR($B342="",L342=""),"",IF($B342=0,--(L342=0),""))</f>
        <v/>
      </c>
      <c r="AX342" s="4">
        <f>IF(L342="","",--(L342=1))</f>
        <v/>
      </c>
      <c r="AY342" s="4">
        <f>IF(OR($B342="",M342=""),"",--(M342=$B342))</f>
        <v/>
      </c>
      <c r="AZ342" s="4">
        <f>IF(OR($B342="",M342=""),"",IF($B342=1,--(M342=1),""))</f>
        <v/>
      </c>
      <c r="BA342" s="4">
        <f>IF(OR($B342="",M342=""),"",IF($B342=0,--(M342=0),""))</f>
        <v/>
      </c>
      <c r="BB342" s="4">
        <f>IF(M342="","",--(M342=1))</f>
        <v/>
      </c>
      <c r="BC342" s="4">
        <f>IF(OR($B342="",N342=""),"",--(N342=$B342))</f>
        <v/>
      </c>
      <c r="BD342" s="4">
        <f>IF(OR($B342="",N342=""),"",IF($B342=1,--(N342=1),""))</f>
        <v/>
      </c>
      <c r="BE342" s="4">
        <f>IF(OR($B342="",N342=""),"",IF($B342=0,--(N342=0),""))</f>
        <v/>
      </c>
      <c r="BF342" s="4">
        <f>IF(N342="","",--(N342=1))</f>
        <v/>
      </c>
    </row>
    <row r="343">
      <c r="A343" s="3" t="inlineStr">
        <is>
          <t>202156120</t>
        </is>
      </c>
      <c r="B343" s="3" t="inlineStr">
        <is>
          <t>0</t>
        </is>
      </c>
      <c r="C343" s="3" t="inlineStr">
        <is>
          <t>Direct</t>
        </is>
      </c>
      <c r="D343" s="3" t="inlineStr">
        <is>
          <t>0</t>
        </is>
      </c>
      <c r="E343" s="3" t="inlineStr">
        <is>
          <t>1</t>
        </is>
      </c>
      <c r="F343" s="3" t="inlineStr">
        <is>
          <t>1</t>
        </is>
      </c>
      <c r="G343" s="3" t="inlineStr">
        <is>
          <t>1</t>
        </is>
      </c>
      <c r="H343" s="3" t="inlineStr">
        <is>
          <t>1</t>
        </is>
      </c>
      <c r="I343" s="3" t="inlineStr">
        <is>
          <t>1</t>
        </is>
      </c>
      <c r="J343" s="3" t="inlineStr">
        <is>
          <t>1</t>
        </is>
      </c>
      <c r="K343" s="3" t="inlineStr">
        <is>
          <t>1</t>
        </is>
      </c>
      <c r="L343" s="3" t="inlineStr">
        <is>
          <t>1</t>
        </is>
      </c>
      <c r="M343" s="3" t="inlineStr">
        <is>
          <t>1</t>
        </is>
      </c>
      <c r="N343" s="3" t="inlineStr">
        <is>
          <t>1</t>
        </is>
      </c>
      <c r="O343" s="4">
        <f>IF(OR($B343="",D343=""),"",--(D343=$B343))</f>
        <v/>
      </c>
      <c r="P343" s="4">
        <f>IF(OR($B343="",D343=""),"",IF($B343=1,--(D343=1),""))</f>
        <v/>
      </c>
      <c r="Q343" s="4">
        <f>IF(OR($B343="",D343=""),"",IF($B343=0,--(D343=0),""))</f>
        <v/>
      </c>
      <c r="R343" s="4">
        <f>IF(D343="","",--(D343=1))</f>
        <v/>
      </c>
      <c r="S343" s="4">
        <f>IF(OR($B343="",E343=""),"",--(E343=$B343))</f>
        <v/>
      </c>
      <c r="T343" s="4">
        <f>IF(OR($B343="",E343=""),"",IF($B343=1,--(E343=1),""))</f>
        <v/>
      </c>
      <c r="U343" s="4">
        <f>IF(OR($B343="",E343=""),"",IF($B343=0,--(E343=0),""))</f>
        <v/>
      </c>
      <c r="V343" s="4">
        <f>IF(E343="","",--(E343=1))</f>
        <v/>
      </c>
      <c r="W343" s="4">
        <f>IF(OR($B343="",F343=""),"",--(F343=$B343))</f>
        <v/>
      </c>
      <c r="X343" s="4">
        <f>IF(OR($B343="",F343=""),"",IF($B343=1,--(F343=1),""))</f>
        <v/>
      </c>
      <c r="Y343" s="4">
        <f>IF(OR($B343="",F343=""),"",IF($B343=0,--(F343=0),""))</f>
        <v/>
      </c>
      <c r="Z343" s="4">
        <f>IF(F343="","",--(F343=1))</f>
        <v/>
      </c>
      <c r="AA343" s="4">
        <f>IF(OR($B343="",G343=""),"",--(G343=$B343))</f>
        <v/>
      </c>
      <c r="AB343" s="4">
        <f>IF(OR($B343="",G343=""),"",IF($B343=1,--(G343=1),""))</f>
        <v/>
      </c>
      <c r="AC343" s="4">
        <f>IF(OR($B343="",G343=""),"",IF($B343=0,--(G343=0),""))</f>
        <v/>
      </c>
      <c r="AD343" s="4">
        <f>IF(G343="","",--(G343=1))</f>
        <v/>
      </c>
      <c r="AE343" s="4">
        <f>IF(OR($B343="",H343=""),"",--(H343=$B343))</f>
        <v/>
      </c>
      <c r="AF343" s="4">
        <f>IF(OR($B343="",H343=""),"",IF($B343=1,--(H343=1),""))</f>
        <v/>
      </c>
      <c r="AG343" s="4">
        <f>IF(OR($B343="",H343=""),"",IF($B343=0,--(H343=0),""))</f>
        <v/>
      </c>
      <c r="AH343" s="4">
        <f>IF(H343="","",--(H343=1))</f>
        <v/>
      </c>
      <c r="AI343" s="4">
        <f>IF(OR($B343="",I343=""),"",--(I343=$B343))</f>
        <v/>
      </c>
      <c r="AJ343" s="4">
        <f>IF(OR($B343="",I343=""),"",IF($B343=1,--(I343=1),""))</f>
        <v/>
      </c>
      <c r="AK343" s="4">
        <f>IF(OR($B343="",I343=""),"",IF($B343=0,--(I343=0),""))</f>
        <v/>
      </c>
      <c r="AL343" s="4">
        <f>IF(I343="","",--(I343=1))</f>
        <v/>
      </c>
      <c r="AM343" s="4">
        <f>IF(OR($B343="",J343=""),"",--(J343=$B343))</f>
        <v/>
      </c>
      <c r="AN343" s="4">
        <f>IF(OR($B343="",J343=""),"",IF($B343=1,--(J343=1),""))</f>
        <v/>
      </c>
      <c r="AO343" s="4">
        <f>IF(OR($B343="",J343=""),"",IF($B343=0,--(J343=0),""))</f>
        <v/>
      </c>
      <c r="AP343" s="4">
        <f>IF(J343="","",--(J343=1))</f>
        <v/>
      </c>
      <c r="AQ343" s="4">
        <f>IF(OR($B343="",K343=""),"",--(K343=$B343))</f>
        <v/>
      </c>
      <c r="AR343" s="4">
        <f>IF(OR($B343="",K343=""),"",IF($B343=1,--(K343=1),""))</f>
        <v/>
      </c>
      <c r="AS343" s="4">
        <f>IF(OR($B343="",K343=""),"",IF($B343=0,--(K343=0),""))</f>
        <v/>
      </c>
      <c r="AT343" s="4">
        <f>IF(K343="","",--(K343=1))</f>
        <v/>
      </c>
      <c r="AU343" s="4">
        <f>IF(OR($B343="",L343=""),"",--(L343=$B343))</f>
        <v/>
      </c>
      <c r="AV343" s="4">
        <f>IF(OR($B343="",L343=""),"",IF($B343=1,--(L343=1),""))</f>
        <v/>
      </c>
      <c r="AW343" s="4">
        <f>IF(OR($B343="",L343=""),"",IF($B343=0,--(L343=0),""))</f>
        <v/>
      </c>
      <c r="AX343" s="4">
        <f>IF(L343="","",--(L343=1))</f>
        <v/>
      </c>
      <c r="AY343" s="4">
        <f>IF(OR($B343="",M343=""),"",--(M343=$B343))</f>
        <v/>
      </c>
      <c r="AZ343" s="4">
        <f>IF(OR($B343="",M343=""),"",IF($B343=1,--(M343=1),""))</f>
        <v/>
      </c>
      <c r="BA343" s="4">
        <f>IF(OR($B343="",M343=""),"",IF($B343=0,--(M343=0),""))</f>
        <v/>
      </c>
      <c r="BB343" s="4">
        <f>IF(M343="","",--(M343=1))</f>
        <v/>
      </c>
      <c r="BC343" s="4">
        <f>IF(OR($B343="",N343=""),"",--(N343=$B343))</f>
        <v/>
      </c>
      <c r="BD343" s="4">
        <f>IF(OR($B343="",N343=""),"",IF($B343=1,--(N343=1),""))</f>
        <v/>
      </c>
      <c r="BE343" s="4">
        <f>IF(OR($B343="",N343=""),"",IF($B343=0,--(N343=0),""))</f>
        <v/>
      </c>
      <c r="BF343" s="4">
        <f>IF(N343="","",--(N343=1))</f>
        <v/>
      </c>
    </row>
    <row r="344">
      <c r="A344" s="3" t="inlineStr">
        <is>
          <t>202156406</t>
        </is>
      </c>
      <c r="B344" s="3" t="inlineStr">
        <is>
          <t>1</t>
        </is>
      </c>
      <c r="C344" s="3" t="inlineStr">
        <is>
          <t>Direct</t>
        </is>
      </c>
      <c r="D344" s="3" t="inlineStr">
        <is>
          <t>1</t>
        </is>
      </c>
      <c r="E344" s="3" t="inlineStr">
        <is>
          <t>1</t>
        </is>
      </c>
      <c r="F344" s="3" t="inlineStr">
        <is>
          <t>1</t>
        </is>
      </c>
      <c r="G344" s="3" t="inlineStr">
        <is>
          <t>1</t>
        </is>
      </c>
      <c r="H344" s="3" t="inlineStr">
        <is>
          <t>1</t>
        </is>
      </c>
      <c r="I344" s="3" t="inlineStr">
        <is>
          <t>1</t>
        </is>
      </c>
      <c r="J344" s="3" t="inlineStr">
        <is>
          <t>1</t>
        </is>
      </c>
      <c r="K344" s="3" t="inlineStr">
        <is>
          <t>1</t>
        </is>
      </c>
      <c r="L344" s="3" t="inlineStr">
        <is>
          <t>1</t>
        </is>
      </c>
      <c r="M344" s="3" t="inlineStr">
        <is>
          <t>1</t>
        </is>
      </c>
      <c r="N344" s="3" t="inlineStr">
        <is>
          <t>1</t>
        </is>
      </c>
      <c r="O344" s="4">
        <f>IF(OR($B344="",D344=""),"",--(D344=$B344))</f>
        <v/>
      </c>
      <c r="P344" s="4">
        <f>IF(OR($B344="",D344=""),"",IF($B344=1,--(D344=1),""))</f>
        <v/>
      </c>
      <c r="Q344" s="4">
        <f>IF(OR($B344="",D344=""),"",IF($B344=0,--(D344=0),""))</f>
        <v/>
      </c>
      <c r="R344" s="4">
        <f>IF(D344="","",--(D344=1))</f>
        <v/>
      </c>
      <c r="S344" s="4">
        <f>IF(OR($B344="",E344=""),"",--(E344=$B344))</f>
        <v/>
      </c>
      <c r="T344" s="4">
        <f>IF(OR($B344="",E344=""),"",IF($B344=1,--(E344=1),""))</f>
        <v/>
      </c>
      <c r="U344" s="4">
        <f>IF(OR($B344="",E344=""),"",IF($B344=0,--(E344=0),""))</f>
        <v/>
      </c>
      <c r="V344" s="4">
        <f>IF(E344="","",--(E344=1))</f>
        <v/>
      </c>
      <c r="W344" s="4">
        <f>IF(OR($B344="",F344=""),"",--(F344=$B344))</f>
        <v/>
      </c>
      <c r="X344" s="4">
        <f>IF(OR($B344="",F344=""),"",IF($B344=1,--(F344=1),""))</f>
        <v/>
      </c>
      <c r="Y344" s="4">
        <f>IF(OR($B344="",F344=""),"",IF($B344=0,--(F344=0),""))</f>
        <v/>
      </c>
      <c r="Z344" s="4">
        <f>IF(F344="","",--(F344=1))</f>
        <v/>
      </c>
      <c r="AA344" s="4">
        <f>IF(OR($B344="",G344=""),"",--(G344=$B344))</f>
        <v/>
      </c>
      <c r="AB344" s="4">
        <f>IF(OR($B344="",G344=""),"",IF($B344=1,--(G344=1),""))</f>
        <v/>
      </c>
      <c r="AC344" s="4">
        <f>IF(OR($B344="",G344=""),"",IF($B344=0,--(G344=0),""))</f>
        <v/>
      </c>
      <c r="AD344" s="4">
        <f>IF(G344="","",--(G344=1))</f>
        <v/>
      </c>
      <c r="AE344" s="4">
        <f>IF(OR($B344="",H344=""),"",--(H344=$B344))</f>
        <v/>
      </c>
      <c r="AF344" s="4">
        <f>IF(OR($B344="",H344=""),"",IF($B344=1,--(H344=1),""))</f>
        <v/>
      </c>
      <c r="AG344" s="4">
        <f>IF(OR($B344="",H344=""),"",IF($B344=0,--(H344=0),""))</f>
        <v/>
      </c>
      <c r="AH344" s="4">
        <f>IF(H344="","",--(H344=1))</f>
        <v/>
      </c>
      <c r="AI344" s="4">
        <f>IF(OR($B344="",I344=""),"",--(I344=$B344))</f>
        <v/>
      </c>
      <c r="AJ344" s="4">
        <f>IF(OR($B344="",I344=""),"",IF($B344=1,--(I344=1),""))</f>
        <v/>
      </c>
      <c r="AK344" s="4">
        <f>IF(OR($B344="",I344=""),"",IF($B344=0,--(I344=0),""))</f>
        <v/>
      </c>
      <c r="AL344" s="4">
        <f>IF(I344="","",--(I344=1))</f>
        <v/>
      </c>
      <c r="AM344" s="4">
        <f>IF(OR($B344="",J344=""),"",--(J344=$B344))</f>
        <v/>
      </c>
      <c r="AN344" s="4">
        <f>IF(OR($B344="",J344=""),"",IF($B344=1,--(J344=1),""))</f>
        <v/>
      </c>
      <c r="AO344" s="4">
        <f>IF(OR($B344="",J344=""),"",IF($B344=0,--(J344=0),""))</f>
        <v/>
      </c>
      <c r="AP344" s="4">
        <f>IF(J344="","",--(J344=1))</f>
        <v/>
      </c>
      <c r="AQ344" s="4">
        <f>IF(OR($B344="",K344=""),"",--(K344=$B344))</f>
        <v/>
      </c>
      <c r="AR344" s="4">
        <f>IF(OR($B344="",K344=""),"",IF($B344=1,--(K344=1),""))</f>
        <v/>
      </c>
      <c r="AS344" s="4">
        <f>IF(OR($B344="",K344=""),"",IF($B344=0,--(K344=0),""))</f>
        <v/>
      </c>
      <c r="AT344" s="4">
        <f>IF(K344="","",--(K344=1))</f>
        <v/>
      </c>
      <c r="AU344" s="4">
        <f>IF(OR($B344="",L344=""),"",--(L344=$B344))</f>
        <v/>
      </c>
      <c r="AV344" s="4">
        <f>IF(OR($B344="",L344=""),"",IF($B344=1,--(L344=1),""))</f>
        <v/>
      </c>
      <c r="AW344" s="4">
        <f>IF(OR($B344="",L344=""),"",IF($B344=0,--(L344=0),""))</f>
        <v/>
      </c>
      <c r="AX344" s="4">
        <f>IF(L344="","",--(L344=1))</f>
        <v/>
      </c>
      <c r="AY344" s="4">
        <f>IF(OR($B344="",M344=""),"",--(M344=$B344))</f>
        <v/>
      </c>
      <c r="AZ344" s="4">
        <f>IF(OR($B344="",M344=""),"",IF($B344=1,--(M344=1),""))</f>
        <v/>
      </c>
      <c r="BA344" s="4">
        <f>IF(OR($B344="",M344=""),"",IF($B344=0,--(M344=0),""))</f>
        <v/>
      </c>
      <c r="BB344" s="4">
        <f>IF(M344="","",--(M344=1))</f>
        <v/>
      </c>
      <c r="BC344" s="4">
        <f>IF(OR($B344="",N344=""),"",--(N344=$B344))</f>
        <v/>
      </c>
      <c r="BD344" s="4">
        <f>IF(OR($B344="",N344=""),"",IF($B344=1,--(N344=1),""))</f>
        <v/>
      </c>
      <c r="BE344" s="4">
        <f>IF(OR($B344="",N344=""),"",IF($B344=0,--(N344=0),""))</f>
        <v/>
      </c>
      <c r="BF344" s="4">
        <f>IF(N344="","",--(N344=1))</f>
        <v/>
      </c>
    </row>
    <row r="345">
      <c r="A345" s="3" t="inlineStr">
        <is>
          <t>202156509</t>
        </is>
      </c>
      <c r="B345" s="3" t="inlineStr">
        <is>
          <t>1</t>
        </is>
      </c>
      <c r="C345" s="3" t="inlineStr">
        <is>
          <t>Direct</t>
        </is>
      </c>
      <c r="D345" s="3" t="inlineStr">
        <is>
          <t>1</t>
        </is>
      </c>
      <c r="E345" s="3" t="inlineStr">
        <is>
          <t>1</t>
        </is>
      </c>
      <c r="F345" s="3" t="inlineStr">
        <is>
          <t>1</t>
        </is>
      </c>
      <c r="G345" s="3" t="inlineStr">
        <is>
          <t>1</t>
        </is>
      </c>
      <c r="H345" s="3" t="inlineStr">
        <is>
          <t>1</t>
        </is>
      </c>
      <c r="I345" s="3" t="inlineStr">
        <is>
          <t>1</t>
        </is>
      </c>
      <c r="J345" s="3" t="inlineStr">
        <is>
          <t>1</t>
        </is>
      </c>
      <c r="K345" s="3" t="inlineStr">
        <is>
          <t>1</t>
        </is>
      </c>
      <c r="L345" s="3" t="inlineStr">
        <is>
          <t>1</t>
        </is>
      </c>
      <c r="M345" s="3" t="inlineStr">
        <is>
          <t>1</t>
        </is>
      </c>
      <c r="N345" s="3" t="inlineStr">
        <is>
          <t>1</t>
        </is>
      </c>
      <c r="O345" s="4">
        <f>IF(OR($B345="",D345=""),"",--(D345=$B345))</f>
        <v/>
      </c>
      <c r="P345" s="4">
        <f>IF(OR($B345="",D345=""),"",IF($B345=1,--(D345=1),""))</f>
        <v/>
      </c>
      <c r="Q345" s="4">
        <f>IF(OR($B345="",D345=""),"",IF($B345=0,--(D345=0),""))</f>
        <v/>
      </c>
      <c r="R345" s="4">
        <f>IF(D345="","",--(D345=1))</f>
        <v/>
      </c>
      <c r="S345" s="4">
        <f>IF(OR($B345="",E345=""),"",--(E345=$B345))</f>
        <v/>
      </c>
      <c r="T345" s="4">
        <f>IF(OR($B345="",E345=""),"",IF($B345=1,--(E345=1),""))</f>
        <v/>
      </c>
      <c r="U345" s="4">
        <f>IF(OR($B345="",E345=""),"",IF($B345=0,--(E345=0),""))</f>
        <v/>
      </c>
      <c r="V345" s="4">
        <f>IF(E345="","",--(E345=1))</f>
        <v/>
      </c>
      <c r="W345" s="4">
        <f>IF(OR($B345="",F345=""),"",--(F345=$B345))</f>
        <v/>
      </c>
      <c r="X345" s="4">
        <f>IF(OR($B345="",F345=""),"",IF($B345=1,--(F345=1),""))</f>
        <v/>
      </c>
      <c r="Y345" s="4">
        <f>IF(OR($B345="",F345=""),"",IF($B345=0,--(F345=0),""))</f>
        <v/>
      </c>
      <c r="Z345" s="4">
        <f>IF(F345="","",--(F345=1))</f>
        <v/>
      </c>
      <c r="AA345" s="4">
        <f>IF(OR($B345="",G345=""),"",--(G345=$B345))</f>
        <v/>
      </c>
      <c r="AB345" s="4">
        <f>IF(OR($B345="",G345=""),"",IF($B345=1,--(G345=1),""))</f>
        <v/>
      </c>
      <c r="AC345" s="4">
        <f>IF(OR($B345="",G345=""),"",IF($B345=0,--(G345=0),""))</f>
        <v/>
      </c>
      <c r="AD345" s="4">
        <f>IF(G345="","",--(G345=1))</f>
        <v/>
      </c>
      <c r="AE345" s="4">
        <f>IF(OR($B345="",H345=""),"",--(H345=$B345))</f>
        <v/>
      </c>
      <c r="AF345" s="4">
        <f>IF(OR($B345="",H345=""),"",IF($B345=1,--(H345=1),""))</f>
        <v/>
      </c>
      <c r="AG345" s="4">
        <f>IF(OR($B345="",H345=""),"",IF($B345=0,--(H345=0),""))</f>
        <v/>
      </c>
      <c r="AH345" s="4">
        <f>IF(H345="","",--(H345=1))</f>
        <v/>
      </c>
      <c r="AI345" s="4">
        <f>IF(OR($B345="",I345=""),"",--(I345=$B345))</f>
        <v/>
      </c>
      <c r="AJ345" s="4">
        <f>IF(OR($B345="",I345=""),"",IF($B345=1,--(I345=1),""))</f>
        <v/>
      </c>
      <c r="AK345" s="4">
        <f>IF(OR($B345="",I345=""),"",IF($B345=0,--(I345=0),""))</f>
        <v/>
      </c>
      <c r="AL345" s="4">
        <f>IF(I345="","",--(I345=1))</f>
        <v/>
      </c>
      <c r="AM345" s="4">
        <f>IF(OR($B345="",J345=""),"",--(J345=$B345))</f>
        <v/>
      </c>
      <c r="AN345" s="4">
        <f>IF(OR($B345="",J345=""),"",IF($B345=1,--(J345=1),""))</f>
        <v/>
      </c>
      <c r="AO345" s="4">
        <f>IF(OR($B345="",J345=""),"",IF($B345=0,--(J345=0),""))</f>
        <v/>
      </c>
      <c r="AP345" s="4">
        <f>IF(J345="","",--(J345=1))</f>
        <v/>
      </c>
      <c r="AQ345" s="4">
        <f>IF(OR($B345="",K345=""),"",--(K345=$B345))</f>
        <v/>
      </c>
      <c r="AR345" s="4">
        <f>IF(OR($B345="",K345=""),"",IF($B345=1,--(K345=1),""))</f>
        <v/>
      </c>
      <c r="AS345" s="4">
        <f>IF(OR($B345="",K345=""),"",IF($B345=0,--(K345=0),""))</f>
        <v/>
      </c>
      <c r="AT345" s="4">
        <f>IF(K345="","",--(K345=1))</f>
        <v/>
      </c>
      <c r="AU345" s="4">
        <f>IF(OR($B345="",L345=""),"",--(L345=$B345))</f>
        <v/>
      </c>
      <c r="AV345" s="4">
        <f>IF(OR($B345="",L345=""),"",IF($B345=1,--(L345=1),""))</f>
        <v/>
      </c>
      <c r="AW345" s="4">
        <f>IF(OR($B345="",L345=""),"",IF($B345=0,--(L345=0),""))</f>
        <v/>
      </c>
      <c r="AX345" s="4">
        <f>IF(L345="","",--(L345=1))</f>
        <v/>
      </c>
      <c r="AY345" s="4">
        <f>IF(OR($B345="",M345=""),"",--(M345=$B345))</f>
        <v/>
      </c>
      <c r="AZ345" s="4">
        <f>IF(OR($B345="",M345=""),"",IF($B345=1,--(M345=1),""))</f>
        <v/>
      </c>
      <c r="BA345" s="4">
        <f>IF(OR($B345="",M345=""),"",IF($B345=0,--(M345=0),""))</f>
        <v/>
      </c>
      <c r="BB345" s="4">
        <f>IF(M345="","",--(M345=1))</f>
        <v/>
      </c>
      <c r="BC345" s="4">
        <f>IF(OR($B345="",N345=""),"",--(N345=$B345))</f>
        <v/>
      </c>
      <c r="BD345" s="4">
        <f>IF(OR($B345="",N345=""),"",IF($B345=1,--(N345=1),""))</f>
        <v/>
      </c>
      <c r="BE345" s="4">
        <f>IF(OR($B345="",N345=""),"",IF($B345=0,--(N345=0),""))</f>
        <v/>
      </c>
      <c r="BF345" s="4">
        <f>IF(N345="","",--(N345=1))</f>
        <v/>
      </c>
    </row>
    <row r="346">
      <c r="A346" s="3" t="inlineStr">
        <is>
          <t>2021576</t>
        </is>
      </c>
      <c r="B346" s="3" t="inlineStr">
        <is>
          <t>1</t>
        </is>
      </c>
      <c r="C346" s="3" t="inlineStr">
        <is>
          <t>Direct</t>
        </is>
      </c>
      <c r="D346" s="3" t="inlineStr">
        <is>
          <t>1</t>
        </is>
      </c>
      <c r="E346" s="3" t="inlineStr">
        <is>
          <t>1</t>
        </is>
      </c>
      <c r="F346" s="3" t="inlineStr">
        <is>
          <t>1</t>
        </is>
      </c>
      <c r="G346" s="3" t="inlineStr">
        <is>
          <t>1</t>
        </is>
      </c>
      <c r="H346" s="3" t="inlineStr">
        <is>
          <t>1</t>
        </is>
      </c>
      <c r="I346" s="3" t="inlineStr">
        <is>
          <t>1</t>
        </is>
      </c>
      <c r="J346" s="3" t="inlineStr">
        <is>
          <t>1</t>
        </is>
      </c>
      <c r="K346" s="3" t="inlineStr">
        <is>
          <t>1</t>
        </is>
      </c>
      <c r="L346" s="3" t="inlineStr">
        <is>
          <t>1</t>
        </is>
      </c>
      <c r="M346" s="3" t="inlineStr">
        <is>
          <t>1</t>
        </is>
      </c>
      <c r="N346" s="3" t="inlineStr">
        <is>
          <t>1</t>
        </is>
      </c>
      <c r="O346" s="4">
        <f>IF(OR($B346="",D346=""),"",--(D346=$B346))</f>
        <v/>
      </c>
      <c r="P346" s="4">
        <f>IF(OR($B346="",D346=""),"",IF($B346=1,--(D346=1),""))</f>
        <v/>
      </c>
      <c r="Q346" s="4">
        <f>IF(OR($B346="",D346=""),"",IF($B346=0,--(D346=0),""))</f>
        <v/>
      </c>
      <c r="R346" s="4">
        <f>IF(D346="","",--(D346=1))</f>
        <v/>
      </c>
      <c r="S346" s="4">
        <f>IF(OR($B346="",E346=""),"",--(E346=$B346))</f>
        <v/>
      </c>
      <c r="T346" s="4">
        <f>IF(OR($B346="",E346=""),"",IF($B346=1,--(E346=1),""))</f>
        <v/>
      </c>
      <c r="U346" s="4">
        <f>IF(OR($B346="",E346=""),"",IF($B346=0,--(E346=0),""))</f>
        <v/>
      </c>
      <c r="V346" s="4">
        <f>IF(E346="","",--(E346=1))</f>
        <v/>
      </c>
      <c r="W346" s="4">
        <f>IF(OR($B346="",F346=""),"",--(F346=$B346))</f>
        <v/>
      </c>
      <c r="X346" s="4">
        <f>IF(OR($B346="",F346=""),"",IF($B346=1,--(F346=1),""))</f>
        <v/>
      </c>
      <c r="Y346" s="4">
        <f>IF(OR($B346="",F346=""),"",IF($B346=0,--(F346=0),""))</f>
        <v/>
      </c>
      <c r="Z346" s="4">
        <f>IF(F346="","",--(F346=1))</f>
        <v/>
      </c>
      <c r="AA346" s="4">
        <f>IF(OR($B346="",G346=""),"",--(G346=$B346))</f>
        <v/>
      </c>
      <c r="AB346" s="4">
        <f>IF(OR($B346="",G346=""),"",IF($B346=1,--(G346=1),""))</f>
        <v/>
      </c>
      <c r="AC346" s="4">
        <f>IF(OR($B346="",G346=""),"",IF($B346=0,--(G346=0),""))</f>
        <v/>
      </c>
      <c r="AD346" s="4">
        <f>IF(G346="","",--(G346=1))</f>
        <v/>
      </c>
      <c r="AE346" s="4">
        <f>IF(OR($B346="",H346=""),"",--(H346=$B346))</f>
        <v/>
      </c>
      <c r="AF346" s="4">
        <f>IF(OR($B346="",H346=""),"",IF($B346=1,--(H346=1),""))</f>
        <v/>
      </c>
      <c r="AG346" s="4">
        <f>IF(OR($B346="",H346=""),"",IF($B346=0,--(H346=0),""))</f>
        <v/>
      </c>
      <c r="AH346" s="4">
        <f>IF(H346="","",--(H346=1))</f>
        <v/>
      </c>
      <c r="AI346" s="4">
        <f>IF(OR($B346="",I346=""),"",--(I346=$B346))</f>
        <v/>
      </c>
      <c r="AJ346" s="4">
        <f>IF(OR($B346="",I346=""),"",IF($B346=1,--(I346=1),""))</f>
        <v/>
      </c>
      <c r="AK346" s="4">
        <f>IF(OR($B346="",I346=""),"",IF($B346=0,--(I346=0),""))</f>
        <v/>
      </c>
      <c r="AL346" s="4">
        <f>IF(I346="","",--(I346=1))</f>
        <v/>
      </c>
      <c r="AM346" s="4">
        <f>IF(OR($B346="",J346=""),"",--(J346=$B346))</f>
        <v/>
      </c>
      <c r="AN346" s="4">
        <f>IF(OR($B346="",J346=""),"",IF($B346=1,--(J346=1),""))</f>
        <v/>
      </c>
      <c r="AO346" s="4">
        <f>IF(OR($B346="",J346=""),"",IF($B346=0,--(J346=0),""))</f>
        <v/>
      </c>
      <c r="AP346" s="4">
        <f>IF(J346="","",--(J346=1))</f>
        <v/>
      </c>
      <c r="AQ346" s="4">
        <f>IF(OR($B346="",K346=""),"",--(K346=$B346))</f>
        <v/>
      </c>
      <c r="AR346" s="4">
        <f>IF(OR($B346="",K346=""),"",IF($B346=1,--(K346=1),""))</f>
        <v/>
      </c>
      <c r="AS346" s="4">
        <f>IF(OR($B346="",K346=""),"",IF($B346=0,--(K346=0),""))</f>
        <v/>
      </c>
      <c r="AT346" s="4">
        <f>IF(K346="","",--(K346=1))</f>
        <v/>
      </c>
      <c r="AU346" s="4">
        <f>IF(OR($B346="",L346=""),"",--(L346=$B346))</f>
        <v/>
      </c>
      <c r="AV346" s="4">
        <f>IF(OR($B346="",L346=""),"",IF($B346=1,--(L346=1),""))</f>
        <v/>
      </c>
      <c r="AW346" s="4">
        <f>IF(OR($B346="",L346=""),"",IF($B346=0,--(L346=0),""))</f>
        <v/>
      </c>
      <c r="AX346" s="4">
        <f>IF(L346="","",--(L346=1))</f>
        <v/>
      </c>
      <c r="AY346" s="4">
        <f>IF(OR($B346="",M346=""),"",--(M346=$B346))</f>
        <v/>
      </c>
      <c r="AZ346" s="4">
        <f>IF(OR($B346="",M346=""),"",IF($B346=1,--(M346=1),""))</f>
        <v/>
      </c>
      <c r="BA346" s="4">
        <f>IF(OR($B346="",M346=""),"",IF($B346=0,--(M346=0),""))</f>
        <v/>
      </c>
      <c r="BB346" s="4">
        <f>IF(M346="","",--(M346=1))</f>
        <v/>
      </c>
      <c r="BC346" s="4">
        <f>IF(OR($B346="",N346=""),"",--(N346=$B346))</f>
        <v/>
      </c>
      <c r="BD346" s="4">
        <f>IF(OR($B346="",N346=""),"",IF($B346=1,--(N346=1),""))</f>
        <v/>
      </c>
      <c r="BE346" s="4">
        <f>IF(OR($B346="",N346=""),"",IF($B346=0,--(N346=0),""))</f>
        <v/>
      </c>
      <c r="BF346" s="4">
        <f>IF(N346="","",--(N346=1))</f>
        <v/>
      </c>
    </row>
    <row r="347">
      <c r="A347" s="3" t="inlineStr">
        <is>
          <t>202157715</t>
        </is>
      </c>
      <c r="B347" s="3" t="inlineStr">
        <is>
          <t>1</t>
        </is>
      </c>
      <c r="C347" s="3" t="inlineStr">
        <is>
          <t>Direct</t>
        </is>
      </c>
      <c r="D347" s="3" t="inlineStr">
        <is>
          <t>1</t>
        </is>
      </c>
      <c r="E347" s="3" t="inlineStr">
        <is>
          <t>1</t>
        </is>
      </c>
      <c r="F347" s="3" t="inlineStr">
        <is>
          <t>0</t>
        </is>
      </c>
      <c r="G347" s="3" t="inlineStr">
        <is>
          <t>0</t>
        </is>
      </c>
      <c r="H347" s="3" t="inlineStr">
        <is>
          <t>1</t>
        </is>
      </c>
      <c r="I347" s="3" t="inlineStr">
        <is>
          <t>0</t>
        </is>
      </c>
      <c r="J347" s="3" t="inlineStr">
        <is>
          <t>0</t>
        </is>
      </c>
      <c r="K347" s="3" t="inlineStr">
        <is>
          <t>1</t>
        </is>
      </c>
      <c r="L347" s="3" t="inlineStr">
        <is>
          <t>1</t>
        </is>
      </c>
      <c r="M347" s="3" t="inlineStr">
        <is>
          <t>1</t>
        </is>
      </c>
      <c r="N347" s="3" t="inlineStr">
        <is>
          <t>1</t>
        </is>
      </c>
      <c r="O347" s="4">
        <f>IF(OR($B347="",D347=""),"",--(D347=$B347))</f>
        <v/>
      </c>
      <c r="P347" s="4">
        <f>IF(OR($B347="",D347=""),"",IF($B347=1,--(D347=1),""))</f>
        <v/>
      </c>
      <c r="Q347" s="4">
        <f>IF(OR($B347="",D347=""),"",IF($B347=0,--(D347=0),""))</f>
        <v/>
      </c>
      <c r="R347" s="4">
        <f>IF(D347="","",--(D347=1))</f>
        <v/>
      </c>
      <c r="S347" s="4">
        <f>IF(OR($B347="",E347=""),"",--(E347=$B347))</f>
        <v/>
      </c>
      <c r="T347" s="4">
        <f>IF(OR($B347="",E347=""),"",IF($B347=1,--(E347=1),""))</f>
        <v/>
      </c>
      <c r="U347" s="4">
        <f>IF(OR($B347="",E347=""),"",IF($B347=0,--(E347=0),""))</f>
        <v/>
      </c>
      <c r="V347" s="4">
        <f>IF(E347="","",--(E347=1))</f>
        <v/>
      </c>
      <c r="W347" s="4">
        <f>IF(OR($B347="",F347=""),"",--(F347=$B347))</f>
        <v/>
      </c>
      <c r="X347" s="4">
        <f>IF(OR($B347="",F347=""),"",IF($B347=1,--(F347=1),""))</f>
        <v/>
      </c>
      <c r="Y347" s="4">
        <f>IF(OR($B347="",F347=""),"",IF($B347=0,--(F347=0),""))</f>
        <v/>
      </c>
      <c r="Z347" s="4">
        <f>IF(F347="","",--(F347=1))</f>
        <v/>
      </c>
      <c r="AA347" s="4">
        <f>IF(OR($B347="",G347=""),"",--(G347=$B347))</f>
        <v/>
      </c>
      <c r="AB347" s="4">
        <f>IF(OR($B347="",G347=""),"",IF($B347=1,--(G347=1),""))</f>
        <v/>
      </c>
      <c r="AC347" s="4">
        <f>IF(OR($B347="",G347=""),"",IF($B347=0,--(G347=0),""))</f>
        <v/>
      </c>
      <c r="AD347" s="4">
        <f>IF(G347="","",--(G347=1))</f>
        <v/>
      </c>
      <c r="AE347" s="4">
        <f>IF(OR($B347="",H347=""),"",--(H347=$B347))</f>
        <v/>
      </c>
      <c r="AF347" s="4">
        <f>IF(OR($B347="",H347=""),"",IF($B347=1,--(H347=1),""))</f>
        <v/>
      </c>
      <c r="AG347" s="4">
        <f>IF(OR($B347="",H347=""),"",IF($B347=0,--(H347=0),""))</f>
        <v/>
      </c>
      <c r="AH347" s="4">
        <f>IF(H347="","",--(H347=1))</f>
        <v/>
      </c>
      <c r="AI347" s="4">
        <f>IF(OR($B347="",I347=""),"",--(I347=$B347))</f>
        <v/>
      </c>
      <c r="AJ347" s="4">
        <f>IF(OR($B347="",I347=""),"",IF($B347=1,--(I347=1),""))</f>
        <v/>
      </c>
      <c r="AK347" s="4">
        <f>IF(OR($B347="",I347=""),"",IF($B347=0,--(I347=0),""))</f>
        <v/>
      </c>
      <c r="AL347" s="4">
        <f>IF(I347="","",--(I347=1))</f>
        <v/>
      </c>
      <c r="AM347" s="4">
        <f>IF(OR($B347="",J347=""),"",--(J347=$B347))</f>
        <v/>
      </c>
      <c r="AN347" s="4">
        <f>IF(OR($B347="",J347=""),"",IF($B347=1,--(J347=1),""))</f>
        <v/>
      </c>
      <c r="AO347" s="4">
        <f>IF(OR($B347="",J347=""),"",IF($B347=0,--(J347=0),""))</f>
        <v/>
      </c>
      <c r="AP347" s="4">
        <f>IF(J347="","",--(J347=1))</f>
        <v/>
      </c>
      <c r="AQ347" s="4">
        <f>IF(OR($B347="",K347=""),"",--(K347=$B347))</f>
        <v/>
      </c>
      <c r="AR347" s="4">
        <f>IF(OR($B347="",K347=""),"",IF($B347=1,--(K347=1),""))</f>
        <v/>
      </c>
      <c r="AS347" s="4">
        <f>IF(OR($B347="",K347=""),"",IF($B347=0,--(K347=0),""))</f>
        <v/>
      </c>
      <c r="AT347" s="4">
        <f>IF(K347="","",--(K347=1))</f>
        <v/>
      </c>
      <c r="AU347" s="4">
        <f>IF(OR($B347="",L347=""),"",--(L347=$B347))</f>
        <v/>
      </c>
      <c r="AV347" s="4">
        <f>IF(OR($B347="",L347=""),"",IF($B347=1,--(L347=1),""))</f>
        <v/>
      </c>
      <c r="AW347" s="4">
        <f>IF(OR($B347="",L347=""),"",IF($B347=0,--(L347=0),""))</f>
        <v/>
      </c>
      <c r="AX347" s="4">
        <f>IF(L347="","",--(L347=1))</f>
        <v/>
      </c>
      <c r="AY347" s="4">
        <f>IF(OR($B347="",M347=""),"",--(M347=$B347))</f>
        <v/>
      </c>
      <c r="AZ347" s="4">
        <f>IF(OR($B347="",M347=""),"",IF($B347=1,--(M347=1),""))</f>
        <v/>
      </c>
      <c r="BA347" s="4">
        <f>IF(OR($B347="",M347=""),"",IF($B347=0,--(M347=0),""))</f>
        <v/>
      </c>
      <c r="BB347" s="4">
        <f>IF(M347="","",--(M347=1))</f>
        <v/>
      </c>
      <c r="BC347" s="4">
        <f>IF(OR($B347="",N347=""),"",--(N347=$B347))</f>
        <v/>
      </c>
      <c r="BD347" s="4">
        <f>IF(OR($B347="",N347=""),"",IF($B347=1,--(N347=1),""))</f>
        <v/>
      </c>
      <c r="BE347" s="4">
        <f>IF(OR($B347="",N347=""),"",IF($B347=0,--(N347=0),""))</f>
        <v/>
      </c>
      <c r="BF347" s="4">
        <f>IF(N347="","",--(N347=1))</f>
        <v/>
      </c>
    </row>
    <row r="348">
      <c r="A348" s="3" t="inlineStr">
        <is>
          <t>20215775</t>
        </is>
      </c>
      <c r="B348" s="3" t="inlineStr">
        <is>
          <t>0</t>
        </is>
      </c>
      <c r="C348" s="3" t="inlineStr">
        <is>
          <t>RQ</t>
        </is>
      </c>
      <c r="D348" s="3" t="inlineStr">
        <is>
          <t>0</t>
        </is>
      </c>
      <c r="E348" s="3" t="inlineStr">
        <is>
          <t>1</t>
        </is>
      </c>
      <c r="F348" s="3" t="inlineStr">
        <is>
          <t>0</t>
        </is>
      </c>
      <c r="G348" s="3" t="inlineStr">
        <is>
          <t>0</t>
        </is>
      </c>
      <c r="H348" s="3" t="inlineStr">
        <is>
          <t>0</t>
        </is>
      </c>
      <c r="I348" s="3" t="inlineStr">
        <is>
          <t>0</t>
        </is>
      </c>
      <c r="J348" s="3" t="inlineStr">
        <is>
          <t>1</t>
        </is>
      </c>
      <c r="K348" s="3" t="inlineStr">
        <is>
          <t>1</t>
        </is>
      </c>
      <c r="L348" s="3" t="inlineStr">
        <is>
          <t>1</t>
        </is>
      </c>
      <c r="M348" s="3" t="inlineStr">
        <is>
          <t>1</t>
        </is>
      </c>
      <c r="N348" s="3" t="inlineStr">
        <is>
          <t>1</t>
        </is>
      </c>
      <c r="O348" s="4">
        <f>IF(OR($B348="",D348=""),"",--(D348=$B348))</f>
        <v/>
      </c>
      <c r="P348" s="4">
        <f>IF(OR($B348="",D348=""),"",IF($B348=1,--(D348=1),""))</f>
        <v/>
      </c>
      <c r="Q348" s="4">
        <f>IF(OR($B348="",D348=""),"",IF($B348=0,--(D348=0),""))</f>
        <v/>
      </c>
      <c r="R348" s="4">
        <f>IF(D348="","",--(D348=1))</f>
        <v/>
      </c>
      <c r="S348" s="4">
        <f>IF(OR($B348="",E348=""),"",--(E348=$B348))</f>
        <v/>
      </c>
      <c r="T348" s="4">
        <f>IF(OR($B348="",E348=""),"",IF($B348=1,--(E348=1),""))</f>
        <v/>
      </c>
      <c r="U348" s="4">
        <f>IF(OR($B348="",E348=""),"",IF($B348=0,--(E348=0),""))</f>
        <v/>
      </c>
      <c r="V348" s="4">
        <f>IF(E348="","",--(E348=1))</f>
        <v/>
      </c>
      <c r="W348" s="4">
        <f>IF(OR($B348="",F348=""),"",--(F348=$B348))</f>
        <v/>
      </c>
      <c r="X348" s="4">
        <f>IF(OR($B348="",F348=""),"",IF($B348=1,--(F348=1),""))</f>
        <v/>
      </c>
      <c r="Y348" s="4">
        <f>IF(OR($B348="",F348=""),"",IF($B348=0,--(F348=0),""))</f>
        <v/>
      </c>
      <c r="Z348" s="4">
        <f>IF(F348="","",--(F348=1))</f>
        <v/>
      </c>
      <c r="AA348" s="4">
        <f>IF(OR($B348="",G348=""),"",--(G348=$B348))</f>
        <v/>
      </c>
      <c r="AB348" s="4">
        <f>IF(OR($B348="",G348=""),"",IF($B348=1,--(G348=1),""))</f>
        <v/>
      </c>
      <c r="AC348" s="4">
        <f>IF(OR($B348="",G348=""),"",IF($B348=0,--(G348=0),""))</f>
        <v/>
      </c>
      <c r="AD348" s="4">
        <f>IF(G348="","",--(G348=1))</f>
        <v/>
      </c>
      <c r="AE348" s="4">
        <f>IF(OR($B348="",H348=""),"",--(H348=$B348))</f>
        <v/>
      </c>
      <c r="AF348" s="4">
        <f>IF(OR($B348="",H348=""),"",IF($B348=1,--(H348=1),""))</f>
        <v/>
      </c>
      <c r="AG348" s="4">
        <f>IF(OR($B348="",H348=""),"",IF($B348=0,--(H348=0),""))</f>
        <v/>
      </c>
      <c r="AH348" s="4">
        <f>IF(H348="","",--(H348=1))</f>
        <v/>
      </c>
      <c r="AI348" s="4">
        <f>IF(OR($B348="",I348=""),"",--(I348=$B348))</f>
        <v/>
      </c>
      <c r="AJ348" s="4">
        <f>IF(OR($B348="",I348=""),"",IF($B348=1,--(I348=1),""))</f>
        <v/>
      </c>
      <c r="AK348" s="4">
        <f>IF(OR($B348="",I348=""),"",IF($B348=0,--(I348=0),""))</f>
        <v/>
      </c>
      <c r="AL348" s="4">
        <f>IF(I348="","",--(I348=1))</f>
        <v/>
      </c>
      <c r="AM348" s="4">
        <f>IF(OR($B348="",J348=""),"",--(J348=$B348))</f>
        <v/>
      </c>
      <c r="AN348" s="4">
        <f>IF(OR($B348="",J348=""),"",IF($B348=1,--(J348=1),""))</f>
        <v/>
      </c>
      <c r="AO348" s="4">
        <f>IF(OR($B348="",J348=""),"",IF($B348=0,--(J348=0),""))</f>
        <v/>
      </c>
      <c r="AP348" s="4">
        <f>IF(J348="","",--(J348=1))</f>
        <v/>
      </c>
      <c r="AQ348" s="4">
        <f>IF(OR($B348="",K348=""),"",--(K348=$B348))</f>
        <v/>
      </c>
      <c r="AR348" s="4">
        <f>IF(OR($B348="",K348=""),"",IF($B348=1,--(K348=1),""))</f>
        <v/>
      </c>
      <c r="AS348" s="4">
        <f>IF(OR($B348="",K348=""),"",IF($B348=0,--(K348=0),""))</f>
        <v/>
      </c>
      <c r="AT348" s="4">
        <f>IF(K348="","",--(K348=1))</f>
        <v/>
      </c>
      <c r="AU348" s="4">
        <f>IF(OR($B348="",L348=""),"",--(L348=$B348))</f>
        <v/>
      </c>
      <c r="AV348" s="4">
        <f>IF(OR($B348="",L348=""),"",IF($B348=1,--(L348=1),""))</f>
        <v/>
      </c>
      <c r="AW348" s="4">
        <f>IF(OR($B348="",L348=""),"",IF($B348=0,--(L348=0),""))</f>
        <v/>
      </c>
      <c r="AX348" s="4">
        <f>IF(L348="","",--(L348=1))</f>
        <v/>
      </c>
      <c r="AY348" s="4">
        <f>IF(OR($B348="",M348=""),"",--(M348=$B348))</f>
        <v/>
      </c>
      <c r="AZ348" s="4">
        <f>IF(OR($B348="",M348=""),"",IF($B348=1,--(M348=1),""))</f>
        <v/>
      </c>
      <c r="BA348" s="4">
        <f>IF(OR($B348="",M348=""),"",IF($B348=0,--(M348=0),""))</f>
        <v/>
      </c>
      <c r="BB348" s="4">
        <f>IF(M348="","",--(M348=1))</f>
        <v/>
      </c>
      <c r="BC348" s="4">
        <f>IF(OR($B348="",N348=""),"",--(N348=$B348))</f>
        <v/>
      </c>
      <c r="BD348" s="4">
        <f>IF(OR($B348="",N348=""),"",IF($B348=1,--(N348=1),""))</f>
        <v/>
      </c>
      <c r="BE348" s="4">
        <f>IF(OR($B348="",N348=""),"",IF($B348=0,--(N348=0),""))</f>
        <v/>
      </c>
      <c r="BF348" s="4">
        <f>IF(N348="","",--(N348=1))</f>
        <v/>
      </c>
    </row>
    <row r="349">
      <c r="A349" s="3" t="inlineStr">
        <is>
          <t>202158404</t>
        </is>
      </c>
      <c r="B349" s="3" t="inlineStr">
        <is>
          <t>0</t>
        </is>
      </c>
      <c r="C349" s="3" t="inlineStr">
        <is>
          <t>Direct</t>
        </is>
      </c>
      <c r="D349" s="3" t="inlineStr">
        <is>
          <t>1</t>
        </is>
      </c>
      <c r="E349" s="3" t="inlineStr">
        <is>
          <t>0</t>
        </is>
      </c>
      <c r="F349" s="3" t="inlineStr">
        <is>
          <t>0</t>
        </is>
      </c>
      <c r="G349" s="3" t="inlineStr">
        <is>
          <t>1</t>
        </is>
      </c>
      <c r="H349" s="3" t="inlineStr">
        <is>
          <t>1</t>
        </is>
      </c>
      <c r="I349" s="3" t="inlineStr">
        <is>
          <t>1</t>
        </is>
      </c>
      <c r="J349" s="3" t="inlineStr">
        <is>
          <t>1</t>
        </is>
      </c>
      <c r="K349" s="3" t="inlineStr">
        <is>
          <t>1</t>
        </is>
      </c>
      <c r="L349" s="3" t="inlineStr">
        <is>
          <t>1</t>
        </is>
      </c>
      <c r="M349" s="3" t="inlineStr">
        <is>
          <t>1</t>
        </is>
      </c>
      <c r="N349" s="3" t="inlineStr">
        <is>
          <t>1</t>
        </is>
      </c>
      <c r="O349" s="4">
        <f>IF(OR($B349="",D349=""),"",--(D349=$B349))</f>
        <v/>
      </c>
      <c r="P349" s="4">
        <f>IF(OR($B349="",D349=""),"",IF($B349=1,--(D349=1),""))</f>
        <v/>
      </c>
      <c r="Q349" s="4">
        <f>IF(OR($B349="",D349=""),"",IF($B349=0,--(D349=0),""))</f>
        <v/>
      </c>
      <c r="R349" s="4">
        <f>IF(D349="","",--(D349=1))</f>
        <v/>
      </c>
      <c r="S349" s="4">
        <f>IF(OR($B349="",E349=""),"",--(E349=$B349))</f>
        <v/>
      </c>
      <c r="T349" s="4">
        <f>IF(OR($B349="",E349=""),"",IF($B349=1,--(E349=1),""))</f>
        <v/>
      </c>
      <c r="U349" s="4">
        <f>IF(OR($B349="",E349=""),"",IF($B349=0,--(E349=0),""))</f>
        <v/>
      </c>
      <c r="V349" s="4">
        <f>IF(E349="","",--(E349=1))</f>
        <v/>
      </c>
      <c r="W349" s="4">
        <f>IF(OR($B349="",F349=""),"",--(F349=$B349))</f>
        <v/>
      </c>
      <c r="X349" s="4">
        <f>IF(OR($B349="",F349=""),"",IF($B349=1,--(F349=1),""))</f>
        <v/>
      </c>
      <c r="Y349" s="4">
        <f>IF(OR($B349="",F349=""),"",IF($B349=0,--(F349=0),""))</f>
        <v/>
      </c>
      <c r="Z349" s="4">
        <f>IF(F349="","",--(F349=1))</f>
        <v/>
      </c>
      <c r="AA349" s="4">
        <f>IF(OR($B349="",G349=""),"",--(G349=$B349))</f>
        <v/>
      </c>
      <c r="AB349" s="4">
        <f>IF(OR($B349="",G349=""),"",IF($B349=1,--(G349=1),""))</f>
        <v/>
      </c>
      <c r="AC349" s="4">
        <f>IF(OR($B349="",G349=""),"",IF($B349=0,--(G349=0),""))</f>
        <v/>
      </c>
      <c r="AD349" s="4">
        <f>IF(G349="","",--(G349=1))</f>
        <v/>
      </c>
      <c r="AE349" s="4">
        <f>IF(OR($B349="",H349=""),"",--(H349=$B349))</f>
        <v/>
      </c>
      <c r="AF349" s="4">
        <f>IF(OR($B349="",H349=""),"",IF($B349=1,--(H349=1),""))</f>
        <v/>
      </c>
      <c r="AG349" s="4">
        <f>IF(OR($B349="",H349=""),"",IF($B349=0,--(H349=0),""))</f>
        <v/>
      </c>
      <c r="AH349" s="4">
        <f>IF(H349="","",--(H349=1))</f>
        <v/>
      </c>
      <c r="AI349" s="4">
        <f>IF(OR($B349="",I349=""),"",--(I349=$B349))</f>
        <v/>
      </c>
      <c r="AJ349" s="4">
        <f>IF(OR($B349="",I349=""),"",IF($B349=1,--(I349=1),""))</f>
        <v/>
      </c>
      <c r="AK349" s="4">
        <f>IF(OR($B349="",I349=""),"",IF($B349=0,--(I349=0),""))</f>
        <v/>
      </c>
      <c r="AL349" s="4">
        <f>IF(I349="","",--(I349=1))</f>
        <v/>
      </c>
      <c r="AM349" s="4">
        <f>IF(OR($B349="",J349=""),"",--(J349=$B349))</f>
        <v/>
      </c>
      <c r="AN349" s="4">
        <f>IF(OR($B349="",J349=""),"",IF($B349=1,--(J349=1),""))</f>
        <v/>
      </c>
      <c r="AO349" s="4">
        <f>IF(OR($B349="",J349=""),"",IF($B349=0,--(J349=0),""))</f>
        <v/>
      </c>
      <c r="AP349" s="4">
        <f>IF(J349="","",--(J349=1))</f>
        <v/>
      </c>
      <c r="AQ349" s="4">
        <f>IF(OR($B349="",K349=""),"",--(K349=$B349))</f>
        <v/>
      </c>
      <c r="AR349" s="4">
        <f>IF(OR($B349="",K349=""),"",IF($B349=1,--(K349=1),""))</f>
        <v/>
      </c>
      <c r="AS349" s="4">
        <f>IF(OR($B349="",K349=""),"",IF($B349=0,--(K349=0),""))</f>
        <v/>
      </c>
      <c r="AT349" s="4">
        <f>IF(K349="","",--(K349=1))</f>
        <v/>
      </c>
      <c r="AU349" s="4">
        <f>IF(OR($B349="",L349=""),"",--(L349=$B349))</f>
        <v/>
      </c>
      <c r="AV349" s="4">
        <f>IF(OR($B349="",L349=""),"",IF($B349=1,--(L349=1),""))</f>
        <v/>
      </c>
      <c r="AW349" s="4">
        <f>IF(OR($B349="",L349=""),"",IF($B349=0,--(L349=0),""))</f>
        <v/>
      </c>
      <c r="AX349" s="4">
        <f>IF(L349="","",--(L349=1))</f>
        <v/>
      </c>
      <c r="AY349" s="4">
        <f>IF(OR($B349="",M349=""),"",--(M349=$B349))</f>
        <v/>
      </c>
      <c r="AZ349" s="4">
        <f>IF(OR($B349="",M349=""),"",IF($B349=1,--(M349=1),""))</f>
        <v/>
      </c>
      <c r="BA349" s="4">
        <f>IF(OR($B349="",M349=""),"",IF($B349=0,--(M349=0),""))</f>
        <v/>
      </c>
      <c r="BB349" s="4">
        <f>IF(M349="","",--(M349=1))</f>
        <v/>
      </c>
      <c r="BC349" s="4">
        <f>IF(OR($B349="",N349=""),"",--(N349=$B349))</f>
        <v/>
      </c>
      <c r="BD349" s="4">
        <f>IF(OR($B349="",N349=""),"",IF($B349=1,--(N349=1),""))</f>
        <v/>
      </c>
      <c r="BE349" s="4">
        <f>IF(OR($B349="",N349=""),"",IF($B349=0,--(N349=0),""))</f>
        <v/>
      </c>
      <c r="BF349" s="4">
        <f>IF(N349="","",--(N349=1))</f>
        <v/>
      </c>
    </row>
    <row r="350">
      <c r="A350" s="3" t="inlineStr">
        <is>
          <t>202158594</t>
        </is>
      </c>
      <c r="B350" s="3" t="inlineStr">
        <is>
          <t>1</t>
        </is>
      </c>
      <c r="C350" s="3" t="inlineStr">
        <is>
          <t>Direct</t>
        </is>
      </c>
      <c r="D350" s="3" t="inlineStr">
        <is>
          <t>0</t>
        </is>
      </c>
      <c r="E350" s="3" t="inlineStr">
        <is>
          <t>0</t>
        </is>
      </c>
      <c r="F350" s="3" t="inlineStr">
        <is>
          <t>0</t>
        </is>
      </c>
      <c r="G350" s="3" t="inlineStr">
        <is>
          <t>0</t>
        </is>
      </c>
      <c r="H350" s="3" t="inlineStr">
        <is>
          <t>0</t>
        </is>
      </c>
      <c r="I350" s="3" t="inlineStr">
        <is>
          <t>1</t>
        </is>
      </c>
      <c r="J350" s="3" t="inlineStr">
        <is>
          <t>1</t>
        </is>
      </c>
      <c r="K350" s="3" t="inlineStr">
        <is>
          <t>1</t>
        </is>
      </c>
      <c r="L350" s="3" t="inlineStr">
        <is>
          <t>1</t>
        </is>
      </c>
      <c r="M350" s="3" t="inlineStr">
        <is>
          <t>1</t>
        </is>
      </c>
      <c r="N350" s="3" t="inlineStr">
        <is>
          <t>1</t>
        </is>
      </c>
      <c r="O350" s="4">
        <f>IF(OR($B350="",D350=""),"",--(D350=$B350))</f>
        <v/>
      </c>
      <c r="P350" s="4">
        <f>IF(OR($B350="",D350=""),"",IF($B350=1,--(D350=1),""))</f>
        <v/>
      </c>
      <c r="Q350" s="4">
        <f>IF(OR($B350="",D350=""),"",IF($B350=0,--(D350=0),""))</f>
        <v/>
      </c>
      <c r="R350" s="4">
        <f>IF(D350="","",--(D350=1))</f>
        <v/>
      </c>
      <c r="S350" s="4">
        <f>IF(OR($B350="",E350=""),"",--(E350=$B350))</f>
        <v/>
      </c>
      <c r="T350" s="4">
        <f>IF(OR($B350="",E350=""),"",IF($B350=1,--(E350=1),""))</f>
        <v/>
      </c>
      <c r="U350" s="4">
        <f>IF(OR($B350="",E350=""),"",IF($B350=0,--(E350=0),""))</f>
        <v/>
      </c>
      <c r="V350" s="4">
        <f>IF(E350="","",--(E350=1))</f>
        <v/>
      </c>
      <c r="W350" s="4">
        <f>IF(OR($B350="",F350=""),"",--(F350=$B350))</f>
        <v/>
      </c>
      <c r="X350" s="4">
        <f>IF(OR($B350="",F350=""),"",IF($B350=1,--(F350=1),""))</f>
        <v/>
      </c>
      <c r="Y350" s="4">
        <f>IF(OR($B350="",F350=""),"",IF($B350=0,--(F350=0),""))</f>
        <v/>
      </c>
      <c r="Z350" s="4">
        <f>IF(F350="","",--(F350=1))</f>
        <v/>
      </c>
      <c r="AA350" s="4">
        <f>IF(OR($B350="",G350=""),"",--(G350=$B350))</f>
        <v/>
      </c>
      <c r="AB350" s="4">
        <f>IF(OR($B350="",G350=""),"",IF($B350=1,--(G350=1),""))</f>
        <v/>
      </c>
      <c r="AC350" s="4">
        <f>IF(OR($B350="",G350=""),"",IF($B350=0,--(G350=0),""))</f>
        <v/>
      </c>
      <c r="AD350" s="4">
        <f>IF(G350="","",--(G350=1))</f>
        <v/>
      </c>
      <c r="AE350" s="4">
        <f>IF(OR($B350="",H350=""),"",--(H350=$B350))</f>
        <v/>
      </c>
      <c r="AF350" s="4">
        <f>IF(OR($B350="",H350=""),"",IF($B350=1,--(H350=1),""))</f>
        <v/>
      </c>
      <c r="AG350" s="4">
        <f>IF(OR($B350="",H350=""),"",IF($B350=0,--(H350=0),""))</f>
        <v/>
      </c>
      <c r="AH350" s="4">
        <f>IF(H350="","",--(H350=1))</f>
        <v/>
      </c>
      <c r="AI350" s="4">
        <f>IF(OR($B350="",I350=""),"",--(I350=$B350))</f>
        <v/>
      </c>
      <c r="AJ350" s="4">
        <f>IF(OR($B350="",I350=""),"",IF($B350=1,--(I350=1),""))</f>
        <v/>
      </c>
      <c r="AK350" s="4">
        <f>IF(OR($B350="",I350=""),"",IF($B350=0,--(I350=0),""))</f>
        <v/>
      </c>
      <c r="AL350" s="4">
        <f>IF(I350="","",--(I350=1))</f>
        <v/>
      </c>
      <c r="AM350" s="4">
        <f>IF(OR($B350="",J350=""),"",--(J350=$B350))</f>
        <v/>
      </c>
      <c r="AN350" s="4">
        <f>IF(OR($B350="",J350=""),"",IF($B350=1,--(J350=1),""))</f>
        <v/>
      </c>
      <c r="AO350" s="4">
        <f>IF(OR($B350="",J350=""),"",IF($B350=0,--(J350=0),""))</f>
        <v/>
      </c>
      <c r="AP350" s="4">
        <f>IF(J350="","",--(J350=1))</f>
        <v/>
      </c>
      <c r="AQ350" s="4">
        <f>IF(OR($B350="",K350=""),"",--(K350=$B350))</f>
        <v/>
      </c>
      <c r="AR350" s="4">
        <f>IF(OR($B350="",K350=""),"",IF($B350=1,--(K350=1),""))</f>
        <v/>
      </c>
      <c r="AS350" s="4">
        <f>IF(OR($B350="",K350=""),"",IF($B350=0,--(K350=0),""))</f>
        <v/>
      </c>
      <c r="AT350" s="4">
        <f>IF(K350="","",--(K350=1))</f>
        <v/>
      </c>
      <c r="AU350" s="4">
        <f>IF(OR($B350="",L350=""),"",--(L350=$B350))</f>
        <v/>
      </c>
      <c r="AV350" s="4">
        <f>IF(OR($B350="",L350=""),"",IF($B350=1,--(L350=1),""))</f>
        <v/>
      </c>
      <c r="AW350" s="4">
        <f>IF(OR($B350="",L350=""),"",IF($B350=0,--(L350=0),""))</f>
        <v/>
      </c>
      <c r="AX350" s="4">
        <f>IF(L350="","",--(L350=1))</f>
        <v/>
      </c>
      <c r="AY350" s="4">
        <f>IF(OR($B350="",M350=""),"",--(M350=$B350))</f>
        <v/>
      </c>
      <c r="AZ350" s="4">
        <f>IF(OR($B350="",M350=""),"",IF($B350=1,--(M350=1),""))</f>
        <v/>
      </c>
      <c r="BA350" s="4">
        <f>IF(OR($B350="",M350=""),"",IF($B350=0,--(M350=0),""))</f>
        <v/>
      </c>
      <c r="BB350" s="4">
        <f>IF(M350="","",--(M350=1))</f>
        <v/>
      </c>
      <c r="BC350" s="4">
        <f>IF(OR($B350="",N350=""),"",--(N350=$B350))</f>
        <v/>
      </c>
      <c r="BD350" s="4">
        <f>IF(OR($B350="",N350=""),"",IF($B350=1,--(N350=1),""))</f>
        <v/>
      </c>
      <c r="BE350" s="4">
        <f>IF(OR($B350="",N350=""),"",IF($B350=0,--(N350=0),""))</f>
        <v/>
      </c>
      <c r="BF350" s="4">
        <f>IF(N350="","",--(N350=1))</f>
        <v/>
      </c>
    </row>
    <row r="351">
      <c r="A351" s="3" t="inlineStr">
        <is>
          <t>202158850</t>
        </is>
      </c>
      <c r="B351" s="3" t="inlineStr">
        <is>
          <t>1</t>
        </is>
      </c>
      <c r="C351" s="3" t="inlineStr">
        <is>
          <t>Direct</t>
        </is>
      </c>
      <c r="D351" s="3" t="inlineStr">
        <is>
          <t>0</t>
        </is>
      </c>
      <c r="E351" s="3" t="inlineStr">
        <is>
          <t>1</t>
        </is>
      </c>
      <c r="F351" s="3" t="inlineStr">
        <is>
          <t>0</t>
        </is>
      </c>
      <c r="G351" s="3" t="inlineStr">
        <is>
          <t>0</t>
        </is>
      </c>
      <c r="H351" s="3" t="inlineStr">
        <is>
          <t>0</t>
        </is>
      </c>
      <c r="I351" s="3" t="inlineStr">
        <is>
          <t>0</t>
        </is>
      </c>
      <c r="J351" s="3" t="inlineStr">
        <is>
          <t>1</t>
        </is>
      </c>
      <c r="K351" s="3" t="inlineStr">
        <is>
          <t>0</t>
        </is>
      </c>
      <c r="L351" s="3" t="inlineStr">
        <is>
          <t>0</t>
        </is>
      </c>
      <c r="M351" s="3" t="inlineStr">
        <is>
          <t>1</t>
        </is>
      </c>
      <c r="N351" s="3" t="inlineStr">
        <is>
          <t>1</t>
        </is>
      </c>
      <c r="O351" s="4">
        <f>IF(OR($B351="",D351=""),"",--(D351=$B351))</f>
        <v/>
      </c>
      <c r="P351" s="4">
        <f>IF(OR($B351="",D351=""),"",IF($B351=1,--(D351=1),""))</f>
        <v/>
      </c>
      <c r="Q351" s="4">
        <f>IF(OR($B351="",D351=""),"",IF($B351=0,--(D351=0),""))</f>
        <v/>
      </c>
      <c r="R351" s="4">
        <f>IF(D351="","",--(D351=1))</f>
        <v/>
      </c>
      <c r="S351" s="4">
        <f>IF(OR($B351="",E351=""),"",--(E351=$B351))</f>
        <v/>
      </c>
      <c r="T351" s="4">
        <f>IF(OR($B351="",E351=""),"",IF($B351=1,--(E351=1),""))</f>
        <v/>
      </c>
      <c r="U351" s="4">
        <f>IF(OR($B351="",E351=""),"",IF($B351=0,--(E351=0),""))</f>
        <v/>
      </c>
      <c r="V351" s="4">
        <f>IF(E351="","",--(E351=1))</f>
        <v/>
      </c>
      <c r="W351" s="4">
        <f>IF(OR($B351="",F351=""),"",--(F351=$B351))</f>
        <v/>
      </c>
      <c r="X351" s="4">
        <f>IF(OR($B351="",F351=""),"",IF($B351=1,--(F351=1),""))</f>
        <v/>
      </c>
      <c r="Y351" s="4">
        <f>IF(OR($B351="",F351=""),"",IF($B351=0,--(F351=0),""))</f>
        <v/>
      </c>
      <c r="Z351" s="4">
        <f>IF(F351="","",--(F351=1))</f>
        <v/>
      </c>
      <c r="AA351" s="4">
        <f>IF(OR($B351="",G351=""),"",--(G351=$B351))</f>
        <v/>
      </c>
      <c r="AB351" s="4">
        <f>IF(OR($B351="",G351=""),"",IF($B351=1,--(G351=1),""))</f>
        <v/>
      </c>
      <c r="AC351" s="4">
        <f>IF(OR($B351="",G351=""),"",IF($B351=0,--(G351=0),""))</f>
        <v/>
      </c>
      <c r="AD351" s="4">
        <f>IF(G351="","",--(G351=1))</f>
        <v/>
      </c>
      <c r="AE351" s="4">
        <f>IF(OR($B351="",H351=""),"",--(H351=$B351))</f>
        <v/>
      </c>
      <c r="AF351" s="4">
        <f>IF(OR($B351="",H351=""),"",IF($B351=1,--(H351=1),""))</f>
        <v/>
      </c>
      <c r="AG351" s="4">
        <f>IF(OR($B351="",H351=""),"",IF($B351=0,--(H351=0),""))</f>
        <v/>
      </c>
      <c r="AH351" s="4">
        <f>IF(H351="","",--(H351=1))</f>
        <v/>
      </c>
      <c r="AI351" s="4">
        <f>IF(OR($B351="",I351=""),"",--(I351=$B351))</f>
        <v/>
      </c>
      <c r="AJ351" s="4">
        <f>IF(OR($B351="",I351=""),"",IF($B351=1,--(I351=1),""))</f>
        <v/>
      </c>
      <c r="AK351" s="4">
        <f>IF(OR($B351="",I351=""),"",IF($B351=0,--(I351=0),""))</f>
        <v/>
      </c>
      <c r="AL351" s="4">
        <f>IF(I351="","",--(I351=1))</f>
        <v/>
      </c>
      <c r="AM351" s="4">
        <f>IF(OR($B351="",J351=""),"",--(J351=$B351))</f>
        <v/>
      </c>
      <c r="AN351" s="4">
        <f>IF(OR($B351="",J351=""),"",IF($B351=1,--(J351=1),""))</f>
        <v/>
      </c>
      <c r="AO351" s="4">
        <f>IF(OR($B351="",J351=""),"",IF($B351=0,--(J351=0),""))</f>
        <v/>
      </c>
      <c r="AP351" s="4">
        <f>IF(J351="","",--(J351=1))</f>
        <v/>
      </c>
      <c r="AQ351" s="4">
        <f>IF(OR($B351="",K351=""),"",--(K351=$B351))</f>
        <v/>
      </c>
      <c r="AR351" s="4">
        <f>IF(OR($B351="",K351=""),"",IF($B351=1,--(K351=1),""))</f>
        <v/>
      </c>
      <c r="AS351" s="4">
        <f>IF(OR($B351="",K351=""),"",IF($B351=0,--(K351=0),""))</f>
        <v/>
      </c>
      <c r="AT351" s="4">
        <f>IF(K351="","",--(K351=1))</f>
        <v/>
      </c>
      <c r="AU351" s="4">
        <f>IF(OR($B351="",L351=""),"",--(L351=$B351))</f>
        <v/>
      </c>
      <c r="AV351" s="4">
        <f>IF(OR($B351="",L351=""),"",IF($B351=1,--(L351=1),""))</f>
        <v/>
      </c>
      <c r="AW351" s="4">
        <f>IF(OR($B351="",L351=""),"",IF($B351=0,--(L351=0),""))</f>
        <v/>
      </c>
      <c r="AX351" s="4">
        <f>IF(L351="","",--(L351=1))</f>
        <v/>
      </c>
      <c r="AY351" s="4">
        <f>IF(OR($B351="",M351=""),"",--(M351=$B351))</f>
        <v/>
      </c>
      <c r="AZ351" s="4">
        <f>IF(OR($B351="",M351=""),"",IF($B351=1,--(M351=1),""))</f>
        <v/>
      </c>
      <c r="BA351" s="4">
        <f>IF(OR($B351="",M351=""),"",IF($B351=0,--(M351=0),""))</f>
        <v/>
      </c>
      <c r="BB351" s="4">
        <f>IF(M351="","",--(M351=1))</f>
        <v/>
      </c>
      <c r="BC351" s="4">
        <f>IF(OR($B351="",N351=""),"",--(N351=$B351))</f>
        <v/>
      </c>
      <c r="BD351" s="4">
        <f>IF(OR($B351="",N351=""),"",IF($B351=1,--(N351=1),""))</f>
        <v/>
      </c>
      <c r="BE351" s="4">
        <f>IF(OR($B351="",N351=""),"",IF($B351=0,--(N351=0),""))</f>
        <v/>
      </c>
      <c r="BF351" s="4">
        <f>IF(N351="","",--(N351=1))</f>
        <v/>
      </c>
    </row>
    <row r="352">
      <c r="A352" s="3" t="inlineStr">
        <is>
          <t>202159006</t>
        </is>
      </c>
      <c r="B352" s="3" t="inlineStr">
        <is>
          <t>1</t>
        </is>
      </c>
      <c r="C352" s="3" t="inlineStr">
        <is>
          <t>Direct</t>
        </is>
      </c>
      <c r="D352" s="3" t="inlineStr">
        <is>
          <t>0</t>
        </is>
      </c>
      <c r="E352" s="3" t="inlineStr">
        <is>
          <t>1</t>
        </is>
      </c>
      <c r="F352" s="3" t="inlineStr">
        <is>
          <t>0</t>
        </is>
      </c>
      <c r="G352" s="3" t="inlineStr">
        <is>
          <t>0</t>
        </is>
      </c>
      <c r="H352" s="3" t="inlineStr">
        <is>
          <t>0</t>
        </is>
      </c>
      <c r="I352" s="3" t="inlineStr">
        <is>
          <t>0</t>
        </is>
      </c>
      <c r="J352" s="3" t="inlineStr">
        <is>
          <t>1</t>
        </is>
      </c>
      <c r="K352" s="3" t="inlineStr">
        <is>
          <t>1</t>
        </is>
      </c>
      <c r="L352" s="3" t="inlineStr">
        <is>
          <t>1</t>
        </is>
      </c>
      <c r="M352" s="3" t="inlineStr">
        <is>
          <t>1</t>
        </is>
      </c>
      <c r="N352" s="3" t="inlineStr">
        <is>
          <t>1</t>
        </is>
      </c>
      <c r="O352" s="4">
        <f>IF(OR($B352="",D352=""),"",--(D352=$B352))</f>
        <v/>
      </c>
      <c r="P352" s="4">
        <f>IF(OR($B352="",D352=""),"",IF($B352=1,--(D352=1),""))</f>
        <v/>
      </c>
      <c r="Q352" s="4">
        <f>IF(OR($B352="",D352=""),"",IF($B352=0,--(D352=0),""))</f>
        <v/>
      </c>
      <c r="R352" s="4">
        <f>IF(D352="","",--(D352=1))</f>
        <v/>
      </c>
      <c r="S352" s="4">
        <f>IF(OR($B352="",E352=""),"",--(E352=$B352))</f>
        <v/>
      </c>
      <c r="T352" s="4">
        <f>IF(OR($B352="",E352=""),"",IF($B352=1,--(E352=1),""))</f>
        <v/>
      </c>
      <c r="U352" s="4">
        <f>IF(OR($B352="",E352=""),"",IF($B352=0,--(E352=0),""))</f>
        <v/>
      </c>
      <c r="V352" s="4">
        <f>IF(E352="","",--(E352=1))</f>
        <v/>
      </c>
      <c r="W352" s="4">
        <f>IF(OR($B352="",F352=""),"",--(F352=$B352))</f>
        <v/>
      </c>
      <c r="X352" s="4">
        <f>IF(OR($B352="",F352=""),"",IF($B352=1,--(F352=1),""))</f>
        <v/>
      </c>
      <c r="Y352" s="4">
        <f>IF(OR($B352="",F352=""),"",IF($B352=0,--(F352=0),""))</f>
        <v/>
      </c>
      <c r="Z352" s="4">
        <f>IF(F352="","",--(F352=1))</f>
        <v/>
      </c>
      <c r="AA352" s="4">
        <f>IF(OR($B352="",G352=""),"",--(G352=$B352))</f>
        <v/>
      </c>
      <c r="AB352" s="4">
        <f>IF(OR($B352="",G352=""),"",IF($B352=1,--(G352=1),""))</f>
        <v/>
      </c>
      <c r="AC352" s="4">
        <f>IF(OR($B352="",G352=""),"",IF($B352=0,--(G352=0),""))</f>
        <v/>
      </c>
      <c r="AD352" s="4">
        <f>IF(G352="","",--(G352=1))</f>
        <v/>
      </c>
      <c r="AE352" s="4">
        <f>IF(OR($B352="",H352=""),"",--(H352=$B352))</f>
        <v/>
      </c>
      <c r="AF352" s="4">
        <f>IF(OR($B352="",H352=""),"",IF($B352=1,--(H352=1),""))</f>
        <v/>
      </c>
      <c r="AG352" s="4">
        <f>IF(OR($B352="",H352=""),"",IF($B352=0,--(H352=0),""))</f>
        <v/>
      </c>
      <c r="AH352" s="4">
        <f>IF(H352="","",--(H352=1))</f>
        <v/>
      </c>
      <c r="AI352" s="4">
        <f>IF(OR($B352="",I352=""),"",--(I352=$B352))</f>
        <v/>
      </c>
      <c r="AJ352" s="4">
        <f>IF(OR($B352="",I352=""),"",IF($B352=1,--(I352=1),""))</f>
        <v/>
      </c>
      <c r="AK352" s="4">
        <f>IF(OR($B352="",I352=""),"",IF($B352=0,--(I352=0),""))</f>
        <v/>
      </c>
      <c r="AL352" s="4">
        <f>IF(I352="","",--(I352=1))</f>
        <v/>
      </c>
      <c r="AM352" s="4">
        <f>IF(OR($B352="",J352=""),"",--(J352=$B352))</f>
        <v/>
      </c>
      <c r="AN352" s="4">
        <f>IF(OR($B352="",J352=""),"",IF($B352=1,--(J352=1),""))</f>
        <v/>
      </c>
      <c r="AO352" s="4">
        <f>IF(OR($B352="",J352=""),"",IF($B352=0,--(J352=0),""))</f>
        <v/>
      </c>
      <c r="AP352" s="4">
        <f>IF(J352="","",--(J352=1))</f>
        <v/>
      </c>
      <c r="AQ352" s="4">
        <f>IF(OR($B352="",K352=""),"",--(K352=$B352))</f>
        <v/>
      </c>
      <c r="AR352" s="4">
        <f>IF(OR($B352="",K352=""),"",IF($B352=1,--(K352=1),""))</f>
        <v/>
      </c>
      <c r="AS352" s="4">
        <f>IF(OR($B352="",K352=""),"",IF($B352=0,--(K352=0),""))</f>
        <v/>
      </c>
      <c r="AT352" s="4">
        <f>IF(K352="","",--(K352=1))</f>
        <v/>
      </c>
      <c r="AU352" s="4">
        <f>IF(OR($B352="",L352=""),"",--(L352=$B352))</f>
        <v/>
      </c>
      <c r="AV352" s="4">
        <f>IF(OR($B352="",L352=""),"",IF($B352=1,--(L352=1),""))</f>
        <v/>
      </c>
      <c r="AW352" s="4">
        <f>IF(OR($B352="",L352=""),"",IF($B352=0,--(L352=0),""))</f>
        <v/>
      </c>
      <c r="AX352" s="4">
        <f>IF(L352="","",--(L352=1))</f>
        <v/>
      </c>
      <c r="AY352" s="4">
        <f>IF(OR($B352="",M352=""),"",--(M352=$B352))</f>
        <v/>
      </c>
      <c r="AZ352" s="4">
        <f>IF(OR($B352="",M352=""),"",IF($B352=1,--(M352=1),""))</f>
        <v/>
      </c>
      <c r="BA352" s="4">
        <f>IF(OR($B352="",M352=""),"",IF($B352=0,--(M352=0),""))</f>
        <v/>
      </c>
      <c r="BB352" s="4">
        <f>IF(M352="","",--(M352=1))</f>
        <v/>
      </c>
      <c r="BC352" s="4">
        <f>IF(OR($B352="",N352=""),"",--(N352=$B352))</f>
        <v/>
      </c>
      <c r="BD352" s="4">
        <f>IF(OR($B352="",N352=""),"",IF($B352=1,--(N352=1),""))</f>
        <v/>
      </c>
      <c r="BE352" s="4">
        <f>IF(OR($B352="",N352=""),"",IF($B352=0,--(N352=0),""))</f>
        <v/>
      </c>
      <c r="BF352" s="4">
        <f>IF(N352="","",--(N352=1))</f>
        <v/>
      </c>
    </row>
    <row r="353">
      <c r="A353" s="3" t="inlineStr">
        <is>
          <t>202159089</t>
        </is>
      </c>
      <c r="B353" s="3" t="inlineStr">
        <is>
          <t>1</t>
        </is>
      </c>
      <c r="C353" s="3" t="inlineStr">
        <is>
          <t>Direct</t>
        </is>
      </c>
      <c r="D353" s="3" t="inlineStr">
        <is>
          <t>1</t>
        </is>
      </c>
      <c r="E353" s="3" t="inlineStr">
        <is>
          <t>0</t>
        </is>
      </c>
      <c r="F353" s="3" t="inlineStr">
        <is>
          <t>0</t>
        </is>
      </c>
      <c r="G353" s="3" t="inlineStr">
        <is>
          <t>0</t>
        </is>
      </c>
      <c r="H353" s="3" t="inlineStr">
        <is>
          <t>0</t>
        </is>
      </c>
      <c r="I353" s="3" t="inlineStr">
        <is>
          <t>0</t>
        </is>
      </c>
      <c r="J353" s="3" t="inlineStr">
        <is>
          <t>1</t>
        </is>
      </c>
      <c r="K353" s="3" t="inlineStr">
        <is>
          <t>1</t>
        </is>
      </c>
      <c r="L353" s="3" t="inlineStr">
        <is>
          <t>0</t>
        </is>
      </c>
      <c r="M353" s="3" t="inlineStr">
        <is>
          <t>0</t>
        </is>
      </c>
      <c r="N353" s="3" t="inlineStr">
        <is>
          <t>1</t>
        </is>
      </c>
      <c r="O353" s="4">
        <f>IF(OR($B353="",D353=""),"",--(D353=$B353))</f>
        <v/>
      </c>
      <c r="P353" s="4">
        <f>IF(OR($B353="",D353=""),"",IF($B353=1,--(D353=1),""))</f>
        <v/>
      </c>
      <c r="Q353" s="4">
        <f>IF(OR($B353="",D353=""),"",IF($B353=0,--(D353=0),""))</f>
        <v/>
      </c>
      <c r="R353" s="4">
        <f>IF(D353="","",--(D353=1))</f>
        <v/>
      </c>
      <c r="S353" s="4">
        <f>IF(OR($B353="",E353=""),"",--(E353=$B353))</f>
        <v/>
      </c>
      <c r="T353" s="4">
        <f>IF(OR($B353="",E353=""),"",IF($B353=1,--(E353=1),""))</f>
        <v/>
      </c>
      <c r="U353" s="4">
        <f>IF(OR($B353="",E353=""),"",IF($B353=0,--(E353=0),""))</f>
        <v/>
      </c>
      <c r="V353" s="4">
        <f>IF(E353="","",--(E353=1))</f>
        <v/>
      </c>
      <c r="W353" s="4">
        <f>IF(OR($B353="",F353=""),"",--(F353=$B353))</f>
        <v/>
      </c>
      <c r="X353" s="4">
        <f>IF(OR($B353="",F353=""),"",IF($B353=1,--(F353=1),""))</f>
        <v/>
      </c>
      <c r="Y353" s="4">
        <f>IF(OR($B353="",F353=""),"",IF($B353=0,--(F353=0),""))</f>
        <v/>
      </c>
      <c r="Z353" s="4">
        <f>IF(F353="","",--(F353=1))</f>
        <v/>
      </c>
      <c r="AA353" s="4">
        <f>IF(OR($B353="",G353=""),"",--(G353=$B353))</f>
        <v/>
      </c>
      <c r="AB353" s="4">
        <f>IF(OR($B353="",G353=""),"",IF($B353=1,--(G353=1),""))</f>
        <v/>
      </c>
      <c r="AC353" s="4">
        <f>IF(OR($B353="",G353=""),"",IF($B353=0,--(G353=0),""))</f>
        <v/>
      </c>
      <c r="AD353" s="4">
        <f>IF(G353="","",--(G353=1))</f>
        <v/>
      </c>
      <c r="AE353" s="4">
        <f>IF(OR($B353="",H353=""),"",--(H353=$B353))</f>
        <v/>
      </c>
      <c r="AF353" s="4">
        <f>IF(OR($B353="",H353=""),"",IF($B353=1,--(H353=1),""))</f>
        <v/>
      </c>
      <c r="AG353" s="4">
        <f>IF(OR($B353="",H353=""),"",IF($B353=0,--(H353=0),""))</f>
        <v/>
      </c>
      <c r="AH353" s="4">
        <f>IF(H353="","",--(H353=1))</f>
        <v/>
      </c>
      <c r="AI353" s="4">
        <f>IF(OR($B353="",I353=""),"",--(I353=$B353))</f>
        <v/>
      </c>
      <c r="AJ353" s="4">
        <f>IF(OR($B353="",I353=""),"",IF($B353=1,--(I353=1),""))</f>
        <v/>
      </c>
      <c r="AK353" s="4">
        <f>IF(OR($B353="",I353=""),"",IF($B353=0,--(I353=0),""))</f>
        <v/>
      </c>
      <c r="AL353" s="4">
        <f>IF(I353="","",--(I353=1))</f>
        <v/>
      </c>
      <c r="AM353" s="4">
        <f>IF(OR($B353="",J353=""),"",--(J353=$B353))</f>
        <v/>
      </c>
      <c r="AN353" s="4">
        <f>IF(OR($B353="",J353=""),"",IF($B353=1,--(J353=1),""))</f>
        <v/>
      </c>
      <c r="AO353" s="4">
        <f>IF(OR($B353="",J353=""),"",IF($B353=0,--(J353=0),""))</f>
        <v/>
      </c>
      <c r="AP353" s="4">
        <f>IF(J353="","",--(J353=1))</f>
        <v/>
      </c>
      <c r="AQ353" s="4">
        <f>IF(OR($B353="",K353=""),"",--(K353=$B353))</f>
        <v/>
      </c>
      <c r="AR353" s="4">
        <f>IF(OR($B353="",K353=""),"",IF($B353=1,--(K353=1),""))</f>
        <v/>
      </c>
      <c r="AS353" s="4">
        <f>IF(OR($B353="",K353=""),"",IF($B353=0,--(K353=0),""))</f>
        <v/>
      </c>
      <c r="AT353" s="4">
        <f>IF(K353="","",--(K353=1))</f>
        <v/>
      </c>
      <c r="AU353" s="4">
        <f>IF(OR($B353="",L353=""),"",--(L353=$B353))</f>
        <v/>
      </c>
      <c r="AV353" s="4">
        <f>IF(OR($B353="",L353=""),"",IF($B353=1,--(L353=1),""))</f>
        <v/>
      </c>
      <c r="AW353" s="4">
        <f>IF(OR($B353="",L353=""),"",IF($B353=0,--(L353=0),""))</f>
        <v/>
      </c>
      <c r="AX353" s="4">
        <f>IF(L353="","",--(L353=1))</f>
        <v/>
      </c>
      <c r="AY353" s="4">
        <f>IF(OR($B353="",M353=""),"",--(M353=$B353))</f>
        <v/>
      </c>
      <c r="AZ353" s="4">
        <f>IF(OR($B353="",M353=""),"",IF($B353=1,--(M353=1),""))</f>
        <v/>
      </c>
      <c r="BA353" s="4">
        <f>IF(OR($B353="",M353=""),"",IF($B353=0,--(M353=0),""))</f>
        <v/>
      </c>
      <c r="BB353" s="4">
        <f>IF(M353="","",--(M353=1))</f>
        <v/>
      </c>
      <c r="BC353" s="4">
        <f>IF(OR($B353="",N353=""),"",--(N353=$B353))</f>
        <v/>
      </c>
      <c r="BD353" s="4">
        <f>IF(OR($B353="",N353=""),"",IF($B353=1,--(N353=1),""))</f>
        <v/>
      </c>
      <c r="BE353" s="4">
        <f>IF(OR($B353="",N353=""),"",IF($B353=0,--(N353=0),""))</f>
        <v/>
      </c>
      <c r="BF353" s="4">
        <f>IF(N353="","",--(N353=1))</f>
        <v/>
      </c>
    </row>
    <row r="354">
      <c r="A354" s="3" t="inlineStr">
        <is>
          <t>20215990</t>
        </is>
      </c>
      <c r="B354" s="3" t="inlineStr">
        <is>
          <t>0</t>
        </is>
      </c>
      <c r="C354" s="3" t="inlineStr">
        <is>
          <t>Direct</t>
        </is>
      </c>
      <c r="D354" s="3" t="inlineStr">
        <is>
          <t>0</t>
        </is>
      </c>
      <c r="E354" s="3" t="inlineStr">
        <is>
          <t>0</t>
        </is>
      </c>
      <c r="F354" s="3" t="inlineStr">
        <is>
          <t>0</t>
        </is>
      </c>
      <c r="G354" s="3" t="inlineStr">
        <is>
          <t>0</t>
        </is>
      </c>
      <c r="H354" s="3" t="inlineStr">
        <is>
          <t>0</t>
        </is>
      </c>
      <c r="I354" s="3" t="inlineStr">
        <is>
          <t>0</t>
        </is>
      </c>
      <c r="J354" s="3" t="inlineStr">
        <is>
          <t>0</t>
        </is>
      </c>
      <c r="K354" s="3" t="inlineStr">
        <is>
          <t>0</t>
        </is>
      </c>
      <c r="L354" s="3" t="inlineStr">
        <is>
          <t>1</t>
        </is>
      </c>
      <c r="M354" s="3" t="inlineStr">
        <is>
          <t>0</t>
        </is>
      </c>
      <c r="N354" s="3" t="inlineStr">
        <is>
          <t>0</t>
        </is>
      </c>
      <c r="O354" s="4">
        <f>IF(OR($B354="",D354=""),"",--(D354=$B354))</f>
        <v/>
      </c>
      <c r="P354" s="4">
        <f>IF(OR($B354="",D354=""),"",IF($B354=1,--(D354=1),""))</f>
        <v/>
      </c>
      <c r="Q354" s="4">
        <f>IF(OR($B354="",D354=""),"",IF($B354=0,--(D354=0),""))</f>
        <v/>
      </c>
      <c r="R354" s="4">
        <f>IF(D354="","",--(D354=1))</f>
        <v/>
      </c>
      <c r="S354" s="4">
        <f>IF(OR($B354="",E354=""),"",--(E354=$B354))</f>
        <v/>
      </c>
      <c r="T354" s="4">
        <f>IF(OR($B354="",E354=""),"",IF($B354=1,--(E354=1),""))</f>
        <v/>
      </c>
      <c r="U354" s="4">
        <f>IF(OR($B354="",E354=""),"",IF($B354=0,--(E354=0),""))</f>
        <v/>
      </c>
      <c r="V354" s="4">
        <f>IF(E354="","",--(E354=1))</f>
        <v/>
      </c>
      <c r="W354" s="4">
        <f>IF(OR($B354="",F354=""),"",--(F354=$B354))</f>
        <v/>
      </c>
      <c r="X354" s="4">
        <f>IF(OR($B354="",F354=""),"",IF($B354=1,--(F354=1),""))</f>
        <v/>
      </c>
      <c r="Y354" s="4">
        <f>IF(OR($B354="",F354=""),"",IF($B354=0,--(F354=0),""))</f>
        <v/>
      </c>
      <c r="Z354" s="4">
        <f>IF(F354="","",--(F354=1))</f>
        <v/>
      </c>
      <c r="AA354" s="4">
        <f>IF(OR($B354="",G354=""),"",--(G354=$B354))</f>
        <v/>
      </c>
      <c r="AB354" s="4">
        <f>IF(OR($B354="",G354=""),"",IF($B354=1,--(G354=1),""))</f>
        <v/>
      </c>
      <c r="AC354" s="4">
        <f>IF(OR($B354="",G354=""),"",IF($B354=0,--(G354=0),""))</f>
        <v/>
      </c>
      <c r="AD354" s="4">
        <f>IF(G354="","",--(G354=1))</f>
        <v/>
      </c>
      <c r="AE354" s="4">
        <f>IF(OR($B354="",H354=""),"",--(H354=$B354))</f>
        <v/>
      </c>
      <c r="AF354" s="4">
        <f>IF(OR($B354="",H354=""),"",IF($B354=1,--(H354=1),""))</f>
        <v/>
      </c>
      <c r="AG354" s="4">
        <f>IF(OR($B354="",H354=""),"",IF($B354=0,--(H354=0),""))</f>
        <v/>
      </c>
      <c r="AH354" s="4">
        <f>IF(H354="","",--(H354=1))</f>
        <v/>
      </c>
      <c r="AI354" s="4">
        <f>IF(OR($B354="",I354=""),"",--(I354=$B354))</f>
        <v/>
      </c>
      <c r="AJ354" s="4">
        <f>IF(OR($B354="",I354=""),"",IF($B354=1,--(I354=1),""))</f>
        <v/>
      </c>
      <c r="AK354" s="4">
        <f>IF(OR($B354="",I354=""),"",IF($B354=0,--(I354=0),""))</f>
        <v/>
      </c>
      <c r="AL354" s="4">
        <f>IF(I354="","",--(I354=1))</f>
        <v/>
      </c>
      <c r="AM354" s="4">
        <f>IF(OR($B354="",J354=""),"",--(J354=$B354))</f>
        <v/>
      </c>
      <c r="AN354" s="4">
        <f>IF(OR($B354="",J354=""),"",IF($B354=1,--(J354=1),""))</f>
        <v/>
      </c>
      <c r="AO354" s="4">
        <f>IF(OR($B354="",J354=""),"",IF($B354=0,--(J354=0),""))</f>
        <v/>
      </c>
      <c r="AP354" s="4">
        <f>IF(J354="","",--(J354=1))</f>
        <v/>
      </c>
      <c r="AQ354" s="4">
        <f>IF(OR($B354="",K354=""),"",--(K354=$B354))</f>
        <v/>
      </c>
      <c r="AR354" s="4">
        <f>IF(OR($B354="",K354=""),"",IF($B354=1,--(K354=1),""))</f>
        <v/>
      </c>
      <c r="AS354" s="4">
        <f>IF(OR($B354="",K354=""),"",IF($B354=0,--(K354=0),""))</f>
        <v/>
      </c>
      <c r="AT354" s="4">
        <f>IF(K354="","",--(K354=1))</f>
        <v/>
      </c>
      <c r="AU354" s="4">
        <f>IF(OR($B354="",L354=""),"",--(L354=$B354))</f>
        <v/>
      </c>
      <c r="AV354" s="4">
        <f>IF(OR($B354="",L354=""),"",IF($B354=1,--(L354=1),""))</f>
        <v/>
      </c>
      <c r="AW354" s="4">
        <f>IF(OR($B354="",L354=""),"",IF($B354=0,--(L354=0),""))</f>
        <v/>
      </c>
      <c r="AX354" s="4">
        <f>IF(L354="","",--(L354=1))</f>
        <v/>
      </c>
      <c r="AY354" s="4">
        <f>IF(OR($B354="",M354=""),"",--(M354=$B354))</f>
        <v/>
      </c>
      <c r="AZ354" s="4">
        <f>IF(OR($B354="",M354=""),"",IF($B354=1,--(M354=1),""))</f>
        <v/>
      </c>
      <c r="BA354" s="4">
        <f>IF(OR($B354="",M354=""),"",IF($B354=0,--(M354=0),""))</f>
        <v/>
      </c>
      <c r="BB354" s="4">
        <f>IF(M354="","",--(M354=1))</f>
        <v/>
      </c>
      <c r="BC354" s="4">
        <f>IF(OR($B354="",N354=""),"",--(N354=$B354))</f>
        <v/>
      </c>
      <c r="BD354" s="4">
        <f>IF(OR($B354="",N354=""),"",IF($B354=1,--(N354=1),""))</f>
        <v/>
      </c>
      <c r="BE354" s="4">
        <f>IF(OR($B354="",N354=""),"",IF($B354=0,--(N354=0),""))</f>
        <v/>
      </c>
      <c r="BF354" s="4">
        <f>IF(N354="","",--(N354=1))</f>
        <v/>
      </c>
    </row>
    <row r="355">
      <c r="A355" s="3" t="inlineStr">
        <is>
          <t>202160306</t>
        </is>
      </c>
      <c r="B355" s="3" t="inlineStr">
        <is>
          <t>0</t>
        </is>
      </c>
      <c r="C355" s="3" t="inlineStr">
        <is>
          <t>Direct</t>
        </is>
      </c>
      <c r="D355" s="3" t="inlineStr">
        <is>
          <t>0</t>
        </is>
      </c>
      <c r="E355" s="3" t="inlineStr">
        <is>
          <t>1</t>
        </is>
      </c>
      <c r="F355" s="3" t="inlineStr">
        <is>
          <t>0</t>
        </is>
      </c>
      <c r="G355" s="3" t="inlineStr">
        <is>
          <t>0</t>
        </is>
      </c>
      <c r="H355" s="3" t="inlineStr">
        <is>
          <t>0</t>
        </is>
      </c>
      <c r="I355" s="3" t="inlineStr">
        <is>
          <t>1</t>
        </is>
      </c>
      <c r="J355" s="3" t="inlineStr">
        <is>
          <t>1</t>
        </is>
      </c>
      <c r="K355" s="3" t="inlineStr">
        <is>
          <t>1</t>
        </is>
      </c>
      <c r="L355" s="3" t="inlineStr">
        <is>
          <t>0</t>
        </is>
      </c>
      <c r="M355" s="3" t="inlineStr">
        <is>
          <t>1</t>
        </is>
      </c>
      <c r="N355" s="3" t="inlineStr">
        <is>
          <t>1</t>
        </is>
      </c>
      <c r="O355" s="4">
        <f>IF(OR($B355="",D355=""),"",--(D355=$B355))</f>
        <v/>
      </c>
      <c r="P355" s="4">
        <f>IF(OR($B355="",D355=""),"",IF($B355=1,--(D355=1),""))</f>
        <v/>
      </c>
      <c r="Q355" s="4">
        <f>IF(OR($B355="",D355=""),"",IF($B355=0,--(D355=0),""))</f>
        <v/>
      </c>
      <c r="R355" s="4">
        <f>IF(D355="","",--(D355=1))</f>
        <v/>
      </c>
      <c r="S355" s="4">
        <f>IF(OR($B355="",E355=""),"",--(E355=$B355))</f>
        <v/>
      </c>
      <c r="T355" s="4">
        <f>IF(OR($B355="",E355=""),"",IF($B355=1,--(E355=1),""))</f>
        <v/>
      </c>
      <c r="U355" s="4">
        <f>IF(OR($B355="",E355=""),"",IF($B355=0,--(E355=0),""))</f>
        <v/>
      </c>
      <c r="V355" s="4">
        <f>IF(E355="","",--(E355=1))</f>
        <v/>
      </c>
      <c r="W355" s="4">
        <f>IF(OR($B355="",F355=""),"",--(F355=$B355))</f>
        <v/>
      </c>
      <c r="X355" s="4">
        <f>IF(OR($B355="",F355=""),"",IF($B355=1,--(F355=1),""))</f>
        <v/>
      </c>
      <c r="Y355" s="4">
        <f>IF(OR($B355="",F355=""),"",IF($B355=0,--(F355=0),""))</f>
        <v/>
      </c>
      <c r="Z355" s="4">
        <f>IF(F355="","",--(F355=1))</f>
        <v/>
      </c>
      <c r="AA355" s="4">
        <f>IF(OR($B355="",G355=""),"",--(G355=$B355))</f>
        <v/>
      </c>
      <c r="AB355" s="4">
        <f>IF(OR($B355="",G355=""),"",IF($B355=1,--(G355=1),""))</f>
        <v/>
      </c>
      <c r="AC355" s="4">
        <f>IF(OR($B355="",G355=""),"",IF($B355=0,--(G355=0),""))</f>
        <v/>
      </c>
      <c r="AD355" s="4">
        <f>IF(G355="","",--(G355=1))</f>
        <v/>
      </c>
      <c r="AE355" s="4">
        <f>IF(OR($B355="",H355=""),"",--(H355=$B355))</f>
        <v/>
      </c>
      <c r="AF355" s="4">
        <f>IF(OR($B355="",H355=""),"",IF($B355=1,--(H355=1),""))</f>
        <v/>
      </c>
      <c r="AG355" s="4">
        <f>IF(OR($B355="",H355=""),"",IF($B355=0,--(H355=0),""))</f>
        <v/>
      </c>
      <c r="AH355" s="4">
        <f>IF(H355="","",--(H355=1))</f>
        <v/>
      </c>
      <c r="AI355" s="4">
        <f>IF(OR($B355="",I355=""),"",--(I355=$B355))</f>
        <v/>
      </c>
      <c r="AJ355" s="4">
        <f>IF(OR($B355="",I355=""),"",IF($B355=1,--(I355=1),""))</f>
        <v/>
      </c>
      <c r="AK355" s="4">
        <f>IF(OR($B355="",I355=""),"",IF($B355=0,--(I355=0),""))</f>
        <v/>
      </c>
      <c r="AL355" s="4">
        <f>IF(I355="","",--(I355=1))</f>
        <v/>
      </c>
      <c r="AM355" s="4">
        <f>IF(OR($B355="",J355=""),"",--(J355=$B355))</f>
        <v/>
      </c>
      <c r="AN355" s="4">
        <f>IF(OR($B355="",J355=""),"",IF($B355=1,--(J355=1),""))</f>
        <v/>
      </c>
      <c r="AO355" s="4">
        <f>IF(OR($B355="",J355=""),"",IF($B355=0,--(J355=0),""))</f>
        <v/>
      </c>
      <c r="AP355" s="4">
        <f>IF(J355="","",--(J355=1))</f>
        <v/>
      </c>
      <c r="AQ355" s="4">
        <f>IF(OR($B355="",K355=""),"",--(K355=$B355))</f>
        <v/>
      </c>
      <c r="AR355" s="4">
        <f>IF(OR($B355="",K355=""),"",IF($B355=1,--(K355=1),""))</f>
        <v/>
      </c>
      <c r="AS355" s="4">
        <f>IF(OR($B355="",K355=""),"",IF($B355=0,--(K355=0),""))</f>
        <v/>
      </c>
      <c r="AT355" s="4">
        <f>IF(K355="","",--(K355=1))</f>
        <v/>
      </c>
      <c r="AU355" s="4">
        <f>IF(OR($B355="",L355=""),"",--(L355=$B355))</f>
        <v/>
      </c>
      <c r="AV355" s="4">
        <f>IF(OR($B355="",L355=""),"",IF($B355=1,--(L355=1),""))</f>
        <v/>
      </c>
      <c r="AW355" s="4">
        <f>IF(OR($B355="",L355=""),"",IF($B355=0,--(L355=0),""))</f>
        <v/>
      </c>
      <c r="AX355" s="4">
        <f>IF(L355="","",--(L355=1))</f>
        <v/>
      </c>
      <c r="AY355" s="4">
        <f>IF(OR($B355="",M355=""),"",--(M355=$B355))</f>
        <v/>
      </c>
      <c r="AZ355" s="4">
        <f>IF(OR($B355="",M355=""),"",IF($B355=1,--(M355=1),""))</f>
        <v/>
      </c>
      <c r="BA355" s="4">
        <f>IF(OR($B355="",M355=""),"",IF($B355=0,--(M355=0),""))</f>
        <v/>
      </c>
      <c r="BB355" s="4">
        <f>IF(M355="","",--(M355=1))</f>
        <v/>
      </c>
      <c r="BC355" s="4">
        <f>IF(OR($B355="",N355=""),"",--(N355=$B355))</f>
        <v/>
      </c>
      <c r="BD355" s="4">
        <f>IF(OR($B355="",N355=""),"",IF($B355=1,--(N355=1),""))</f>
        <v/>
      </c>
      <c r="BE355" s="4">
        <f>IF(OR($B355="",N355=""),"",IF($B355=0,--(N355=0),""))</f>
        <v/>
      </c>
      <c r="BF355" s="4">
        <f>IF(N355="","",--(N355=1))</f>
        <v/>
      </c>
    </row>
    <row r="356">
      <c r="A356" s="3" t="inlineStr">
        <is>
          <t>202160720</t>
        </is>
      </c>
      <c r="B356" s="3" t="inlineStr">
        <is>
          <t>1</t>
        </is>
      </c>
      <c r="C356" s="3" t="inlineStr">
        <is>
          <t>Direct</t>
        </is>
      </c>
      <c r="D356" s="3" t="inlineStr">
        <is>
          <t>1</t>
        </is>
      </c>
      <c r="E356" s="3" t="inlineStr">
        <is>
          <t>1</t>
        </is>
      </c>
      <c r="F356" s="3" t="inlineStr">
        <is>
          <t>0</t>
        </is>
      </c>
      <c r="G356" s="3" t="inlineStr">
        <is>
          <t>0</t>
        </is>
      </c>
      <c r="H356" s="3" t="inlineStr">
        <is>
          <t>0</t>
        </is>
      </c>
      <c r="I356" s="3" t="inlineStr">
        <is>
          <t>1</t>
        </is>
      </c>
      <c r="J356" s="3" t="inlineStr">
        <is>
          <t>1</t>
        </is>
      </c>
      <c r="K356" s="3" t="inlineStr">
        <is>
          <t>1</t>
        </is>
      </c>
      <c r="L356" s="3" t="inlineStr">
        <is>
          <t>1</t>
        </is>
      </c>
      <c r="M356" s="3" t="inlineStr">
        <is>
          <t>1</t>
        </is>
      </c>
      <c r="N356" s="3" t="inlineStr">
        <is>
          <t>1</t>
        </is>
      </c>
      <c r="O356" s="4">
        <f>IF(OR($B356="",D356=""),"",--(D356=$B356))</f>
        <v/>
      </c>
      <c r="P356" s="4">
        <f>IF(OR($B356="",D356=""),"",IF($B356=1,--(D356=1),""))</f>
        <v/>
      </c>
      <c r="Q356" s="4">
        <f>IF(OR($B356="",D356=""),"",IF($B356=0,--(D356=0),""))</f>
        <v/>
      </c>
      <c r="R356" s="4">
        <f>IF(D356="","",--(D356=1))</f>
        <v/>
      </c>
      <c r="S356" s="4">
        <f>IF(OR($B356="",E356=""),"",--(E356=$B356))</f>
        <v/>
      </c>
      <c r="T356" s="4">
        <f>IF(OR($B356="",E356=""),"",IF($B356=1,--(E356=1),""))</f>
        <v/>
      </c>
      <c r="U356" s="4">
        <f>IF(OR($B356="",E356=""),"",IF($B356=0,--(E356=0),""))</f>
        <v/>
      </c>
      <c r="V356" s="4">
        <f>IF(E356="","",--(E356=1))</f>
        <v/>
      </c>
      <c r="W356" s="4">
        <f>IF(OR($B356="",F356=""),"",--(F356=$B356))</f>
        <v/>
      </c>
      <c r="X356" s="4">
        <f>IF(OR($B356="",F356=""),"",IF($B356=1,--(F356=1),""))</f>
        <v/>
      </c>
      <c r="Y356" s="4">
        <f>IF(OR($B356="",F356=""),"",IF($B356=0,--(F356=0),""))</f>
        <v/>
      </c>
      <c r="Z356" s="4">
        <f>IF(F356="","",--(F356=1))</f>
        <v/>
      </c>
      <c r="AA356" s="4">
        <f>IF(OR($B356="",G356=""),"",--(G356=$B356))</f>
        <v/>
      </c>
      <c r="AB356" s="4">
        <f>IF(OR($B356="",G356=""),"",IF($B356=1,--(G356=1),""))</f>
        <v/>
      </c>
      <c r="AC356" s="4">
        <f>IF(OR($B356="",G356=""),"",IF($B356=0,--(G356=0),""))</f>
        <v/>
      </c>
      <c r="AD356" s="4">
        <f>IF(G356="","",--(G356=1))</f>
        <v/>
      </c>
      <c r="AE356" s="4">
        <f>IF(OR($B356="",H356=""),"",--(H356=$B356))</f>
        <v/>
      </c>
      <c r="AF356" s="4">
        <f>IF(OR($B356="",H356=""),"",IF($B356=1,--(H356=1),""))</f>
        <v/>
      </c>
      <c r="AG356" s="4">
        <f>IF(OR($B356="",H356=""),"",IF($B356=0,--(H356=0),""))</f>
        <v/>
      </c>
      <c r="AH356" s="4">
        <f>IF(H356="","",--(H356=1))</f>
        <v/>
      </c>
      <c r="AI356" s="4">
        <f>IF(OR($B356="",I356=""),"",--(I356=$B356))</f>
        <v/>
      </c>
      <c r="AJ356" s="4">
        <f>IF(OR($B356="",I356=""),"",IF($B356=1,--(I356=1),""))</f>
        <v/>
      </c>
      <c r="AK356" s="4">
        <f>IF(OR($B356="",I356=""),"",IF($B356=0,--(I356=0),""))</f>
        <v/>
      </c>
      <c r="AL356" s="4">
        <f>IF(I356="","",--(I356=1))</f>
        <v/>
      </c>
      <c r="AM356" s="4">
        <f>IF(OR($B356="",J356=""),"",--(J356=$B356))</f>
        <v/>
      </c>
      <c r="AN356" s="4">
        <f>IF(OR($B356="",J356=""),"",IF($B356=1,--(J356=1),""))</f>
        <v/>
      </c>
      <c r="AO356" s="4">
        <f>IF(OR($B356="",J356=""),"",IF($B356=0,--(J356=0),""))</f>
        <v/>
      </c>
      <c r="AP356" s="4">
        <f>IF(J356="","",--(J356=1))</f>
        <v/>
      </c>
      <c r="AQ356" s="4">
        <f>IF(OR($B356="",K356=""),"",--(K356=$B356))</f>
        <v/>
      </c>
      <c r="AR356" s="4">
        <f>IF(OR($B356="",K356=""),"",IF($B356=1,--(K356=1),""))</f>
        <v/>
      </c>
      <c r="AS356" s="4">
        <f>IF(OR($B356="",K356=""),"",IF($B356=0,--(K356=0),""))</f>
        <v/>
      </c>
      <c r="AT356" s="4">
        <f>IF(K356="","",--(K356=1))</f>
        <v/>
      </c>
      <c r="AU356" s="4">
        <f>IF(OR($B356="",L356=""),"",--(L356=$B356))</f>
        <v/>
      </c>
      <c r="AV356" s="4">
        <f>IF(OR($B356="",L356=""),"",IF($B356=1,--(L356=1),""))</f>
        <v/>
      </c>
      <c r="AW356" s="4">
        <f>IF(OR($B356="",L356=""),"",IF($B356=0,--(L356=0),""))</f>
        <v/>
      </c>
      <c r="AX356" s="4">
        <f>IF(L356="","",--(L356=1))</f>
        <v/>
      </c>
      <c r="AY356" s="4">
        <f>IF(OR($B356="",M356=""),"",--(M356=$B356))</f>
        <v/>
      </c>
      <c r="AZ356" s="4">
        <f>IF(OR($B356="",M356=""),"",IF($B356=1,--(M356=1),""))</f>
        <v/>
      </c>
      <c r="BA356" s="4">
        <f>IF(OR($B356="",M356=""),"",IF($B356=0,--(M356=0),""))</f>
        <v/>
      </c>
      <c r="BB356" s="4">
        <f>IF(M356="","",--(M356=1))</f>
        <v/>
      </c>
      <c r="BC356" s="4">
        <f>IF(OR($B356="",N356=""),"",--(N356=$B356))</f>
        <v/>
      </c>
      <c r="BD356" s="4">
        <f>IF(OR($B356="",N356=""),"",IF($B356=1,--(N356=1),""))</f>
        <v/>
      </c>
      <c r="BE356" s="4">
        <f>IF(OR($B356="",N356=""),"",IF($B356=0,--(N356=0),""))</f>
        <v/>
      </c>
      <c r="BF356" s="4">
        <f>IF(N356="","",--(N356=1))</f>
        <v/>
      </c>
    </row>
    <row r="357">
      <c r="A357" s="3" t="inlineStr">
        <is>
          <t>202161481</t>
        </is>
      </c>
      <c r="B357" s="3" t="inlineStr">
        <is>
          <t>0</t>
        </is>
      </c>
      <c r="C357" s="3" t="inlineStr">
        <is>
          <t>Direct</t>
        </is>
      </c>
      <c r="D357" s="3" t="inlineStr">
        <is>
          <t>1</t>
        </is>
      </c>
      <c r="E357" s="3" t="inlineStr">
        <is>
          <t>0</t>
        </is>
      </c>
      <c r="F357" s="3" t="inlineStr">
        <is>
          <t>1</t>
        </is>
      </c>
      <c r="G357" s="3" t="inlineStr">
        <is>
          <t>1</t>
        </is>
      </c>
      <c r="H357" s="3" t="inlineStr">
        <is>
          <t>1</t>
        </is>
      </c>
      <c r="I357" s="3" t="inlineStr">
        <is>
          <t>1</t>
        </is>
      </c>
      <c r="J357" s="3" t="inlineStr">
        <is>
          <t>1</t>
        </is>
      </c>
      <c r="K357" s="3" t="inlineStr">
        <is>
          <t>1</t>
        </is>
      </c>
      <c r="L357" s="3" t="inlineStr">
        <is>
          <t>1</t>
        </is>
      </c>
      <c r="M357" s="3" t="inlineStr">
        <is>
          <t>1</t>
        </is>
      </c>
      <c r="N357" s="3" t="inlineStr">
        <is>
          <t>1</t>
        </is>
      </c>
      <c r="O357" s="4">
        <f>IF(OR($B357="",D357=""),"",--(D357=$B357))</f>
        <v/>
      </c>
      <c r="P357" s="4">
        <f>IF(OR($B357="",D357=""),"",IF($B357=1,--(D357=1),""))</f>
        <v/>
      </c>
      <c r="Q357" s="4">
        <f>IF(OR($B357="",D357=""),"",IF($B357=0,--(D357=0),""))</f>
        <v/>
      </c>
      <c r="R357" s="4">
        <f>IF(D357="","",--(D357=1))</f>
        <v/>
      </c>
      <c r="S357" s="4">
        <f>IF(OR($B357="",E357=""),"",--(E357=$B357))</f>
        <v/>
      </c>
      <c r="T357" s="4">
        <f>IF(OR($B357="",E357=""),"",IF($B357=1,--(E357=1),""))</f>
        <v/>
      </c>
      <c r="U357" s="4">
        <f>IF(OR($B357="",E357=""),"",IF($B357=0,--(E357=0),""))</f>
        <v/>
      </c>
      <c r="V357" s="4">
        <f>IF(E357="","",--(E357=1))</f>
        <v/>
      </c>
      <c r="W357" s="4">
        <f>IF(OR($B357="",F357=""),"",--(F357=$B357))</f>
        <v/>
      </c>
      <c r="X357" s="4">
        <f>IF(OR($B357="",F357=""),"",IF($B357=1,--(F357=1),""))</f>
        <v/>
      </c>
      <c r="Y357" s="4">
        <f>IF(OR($B357="",F357=""),"",IF($B357=0,--(F357=0),""))</f>
        <v/>
      </c>
      <c r="Z357" s="4">
        <f>IF(F357="","",--(F357=1))</f>
        <v/>
      </c>
      <c r="AA357" s="4">
        <f>IF(OR($B357="",G357=""),"",--(G357=$B357))</f>
        <v/>
      </c>
      <c r="AB357" s="4">
        <f>IF(OR($B357="",G357=""),"",IF($B357=1,--(G357=1),""))</f>
        <v/>
      </c>
      <c r="AC357" s="4">
        <f>IF(OR($B357="",G357=""),"",IF($B357=0,--(G357=0),""))</f>
        <v/>
      </c>
      <c r="AD357" s="4">
        <f>IF(G357="","",--(G357=1))</f>
        <v/>
      </c>
      <c r="AE357" s="4">
        <f>IF(OR($B357="",H357=""),"",--(H357=$B357))</f>
        <v/>
      </c>
      <c r="AF357" s="4">
        <f>IF(OR($B357="",H357=""),"",IF($B357=1,--(H357=1),""))</f>
        <v/>
      </c>
      <c r="AG357" s="4">
        <f>IF(OR($B357="",H357=""),"",IF($B357=0,--(H357=0),""))</f>
        <v/>
      </c>
      <c r="AH357" s="4">
        <f>IF(H357="","",--(H357=1))</f>
        <v/>
      </c>
      <c r="AI357" s="4">
        <f>IF(OR($B357="",I357=""),"",--(I357=$B357))</f>
        <v/>
      </c>
      <c r="AJ357" s="4">
        <f>IF(OR($B357="",I357=""),"",IF($B357=1,--(I357=1),""))</f>
        <v/>
      </c>
      <c r="AK357" s="4">
        <f>IF(OR($B357="",I357=""),"",IF($B357=0,--(I357=0),""))</f>
        <v/>
      </c>
      <c r="AL357" s="4">
        <f>IF(I357="","",--(I357=1))</f>
        <v/>
      </c>
      <c r="AM357" s="4">
        <f>IF(OR($B357="",J357=""),"",--(J357=$B357))</f>
        <v/>
      </c>
      <c r="AN357" s="4">
        <f>IF(OR($B357="",J357=""),"",IF($B357=1,--(J357=1),""))</f>
        <v/>
      </c>
      <c r="AO357" s="4">
        <f>IF(OR($B357="",J357=""),"",IF($B357=0,--(J357=0),""))</f>
        <v/>
      </c>
      <c r="AP357" s="4">
        <f>IF(J357="","",--(J357=1))</f>
        <v/>
      </c>
      <c r="AQ357" s="4">
        <f>IF(OR($B357="",K357=""),"",--(K357=$B357))</f>
        <v/>
      </c>
      <c r="AR357" s="4">
        <f>IF(OR($B357="",K357=""),"",IF($B357=1,--(K357=1),""))</f>
        <v/>
      </c>
      <c r="AS357" s="4">
        <f>IF(OR($B357="",K357=""),"",IF($B357=0,--(K357=0),""))</f>
        <v/>
      </c>
      <c r="AT357" s="4">
        <f>IF(K357="","",--(K357=1))</f>
        <v/>
      </c>
      <c r="AU357" s="4">
        <f>IF(OR($B357="",L357=""),"",--(L357=$B357))</f>
        <v/>
      </c>
      <c r="AV357" s="4">
        <f>IF(OR($B357="",L357=""),"",IF($B357=1,--(L357=1),""))</f>
        <v/>
      </c>
      <c r="AW357" s="4">
        <f>IF(OR($B357="",L357=""),"",IF($B357=0,--(L357=0),""))</f>
        <v/>
      </c>
      <c r="AX357" s="4">
        <f>IF(L357="","",--(L357=1))</f>
        <v/>
      </c>
      <c r="AY357" s="4">
        <f>IF(OR($B357="",M357=""),"",--(M357=$B357))</f>
        <v/>
      </c>
      <c r="AZ357" s="4">
        <f>IF(OR($B357="",M357=""),"",IF($B357=1,--(M357=1),""))</f>
        <v/>
      </c>
      <c r="BA357" s="4">
        <f>IF(OR($B357="",M357=""),"",IF($B357=0,--(M357=0),""))</f>
        <v/>
      </c>
      <c r="BB357" s="4">
        <f>IF(M357="","",--(M357=1))</f>
        <v/>
      </c>
      <c r="BC357" s="4">
        <f>IF(OR($B357="",N357=""),"",--(N357=$B357))</f>
        <v/>
      </c>
      <c r="BD357" s="4">
        <f>IF(OR($B357="",N357=""),"",IF($B357=1,--(N357=1),""))</f>
        <v/>
      </c>
      <c r="BE357" s="4">
        <f>IF(OR($B357="",N357=""),"",IF($B357=0,--(N357=0),""))</f>
        <v/>
      </c>
      <c r="BF357" s="4">
        <f>IF(N357="","",--(N357=1))</f>
        <v/>
      </c>
    </row>
    <row r="358">
      <c r="A358" s="3" t="inlineStr">
        <is>
          <t>202162105</t>
        </is>
      </c>
      <c r="B358" s="3" t="inlineStr">
        <is>
          <t>1</t>
        </is>
      </c>
      <c r="C358" s="3" t="inlineStr">
        <is>
          <t>Direct</t>
        </is>
      </c>
      <c r="D358" s="3" t="inlineStr">
        <is>
          <t>1</t>
        </is>
      </c>
      <c r="E358" s="3" t="inlineStr">
        <is>
          <t>0</t>
        </is>
      </c>
      <c r="F358" s="3" t="inlineStr">
        <is>
          <t>0</t>
        </is>
      </c>
      <c r="G358" s="3" t="inlineStr">
        <is>
          <t>1</t>
        </is>
      </c>
      <c r="H358" s="3" t="inlineStr">
        <is>
          <t>0</t>
        </is>
      </c>
      <c r="I358" s="3" t="inlineStr">
        <is>
          <t>1</t>
        </is>
      </c>
      <c r="J358" s="3" t="inlineStr">
        <is>
          <t>1</t>
        </is>
      </c>
      <c r="K358" s="3" t="inlineStr">
        <is>
          <t>1</t>
        </is>
      </c>
      <c r="L358" s="3" t="inlineStr">
        <is>
          <t>1</t>
        </is>
      </c>
      <c r="M358" s="3" t="inlineStr">
        <is>
          <t>1</t>
        </is>
      </c>
      <c r="N358" s="3" t="inlineStr">
        <is>
          <t>1</t>
        </is>
      </c>
      <c r="O358" s="4">
        <f>IF(OR($B358="",D358=""),"",--(D358=$B358))</f>
        <v/>
      </c>
      <c r="P358" s="4">
        <f>IF(OR($B358="",D358=""),"",IF($B358=1,--(D358=1),""))</f>
        <v/>
      </c>
      <c r="Q358" s="4">
        <f>IF(OR($B358="",D358=""),"",IF($B358=0,--(D358=0),""))</f>
        <v/>
      </c>
      <c r="R358" s="4">
        <f>IF(D358="","",--(D358=1))</f>
        <v/>
      </c>
      <c r="S358" s="4">
        <f>IF(OR($B358="",E358=""),"",--(E358=$B358))</f>
        <v/>
      </c>
      <c r="T358" s="4">
        <f>IF(OR($B358="",E358=""),"",IF($B358=1,--(E358=1),""))</f>
        <v/>
      </c>
      <c r="U358" s="4">
        <f>IF(OR($B358="",E358=""),"",IF($B358=0,--(E358=0),""))</f>
        <v/>
      </c>
      <c r="V358" s="4">
        <f>IF(E358="","",--(E358=1))</f>
        <v/>
      </c>
      <c r="W358" s="4">
        <f>IF(OR($B358="",F358=""),"",--(F358=$B358))</f>
        <v/>
      </c>
      <c r="X358" s="4">
        <f>IF(OR($B358="",F358=""),"",IF($B358=1,--(F358=1),""))</f>
        <v/>
      </c>
      <c r="Y358" s="4">
        <f>IF(OR($B358="",F358=""),"",IF($B358=0,--(F358=0),""))</f>
        <v/>
      </c>
      <c r="Z358" s="4">
        <f>IF(F358="","",--(F358=1))</f>
        <v/>
      </c>
      <c r="AA358" s="4">
        <f>IF(OR($B358="",G358=""),"",--(G358=$B358))</f>
        <v/>
      </c>
      <c r="AB358" s="4">
        <f>IF(OR($B358="",G358=""),"",IF($B358=1,--(G358=1),""))</f>
        <v/>
      </c>
      <c r="AC358" s="4">
        <f>IF(OR($B358="",G358=""),"",IF($B358=0,--(G358=0),""))</f>
        <v/>
      </c>
      <c r="AD358" s="4">
        <f>IF(G358="","",--(G358=1))</f>
        <v/>
      </c>
      <c r="AE358" s="4">
        <f>IF(OR($B358="",H358=""),"",--(H358=$B358))</f>
        <v/>
      </c>
      <c r="AF358" s="4">
        <f>IF(OR($B358="",H358=""),"",IF($B358=1,--(H358=1),""))</f>
        <v/>
      </c>
      <c r="AG358" s="4">
        <f>IF(OR($B358="",H358=""),"",IF($B358=0,--(H358=0),""))</f>
        <v/>
      </c>
      <c r="AH358" s="4">
        <f>IF(H358="","",--(H358=1))</f>
        <v/>
      </c>
      <c r="AI358" s="4">
        <f>IF(OR($B358="",I358=""),"",--(I358=$B358))</f>
        <v/>
      </c>
      <c r="AJ358" s="4">
        <f>IF(OR($B358="",I358=""),"",IF($B358=1,--(I358=1),""))</f>
        <v/>
      </c>
      <c r="AK358" s="4">
        <f>IF(OR($B358="",I358=""),"",IF($B358=0,--(I358=0),""))</f>
        <v/>
      </c>
      <c r="AL358" s="4">
        <f>IF(I358="","",--(I358=1))</f>
        <v/>
      </c>
      <c r="AM358" s="4">
        <f>IF(OR($B358="",J358=""),"",--(J358=$B358))</f>
        <v/>
      </c>
      <c r="AN358" s="4">
        <f>IF(OR($B358="",J358=""),"",IF($B358=1,--(J358=1),""))</f>
        <v/>
      </c>
      <c r="AO358" s="4">
        <f>IF(OR($B358="",J358=""),"",IF($B358=0,--(J358=0),""))</f>
        <v/>
      </c>
      <c r="AP358" s="4">
        <f>IF(J358="","",--(J358=1))</f>
        <v/>
      </c>
      <c r="AQ358" s="4">
        <f>IF(OR($B358="",K358=""),"",--(K358=$B358))</f>
        <v/>
      </c>
      <c r="AR358" s="4">
        <f>IF(OR($B358="",K358=""),"",IF($B358=1,--(K358=1),""))</f>
        <v/>
      </c>
      <c r="AS358" s="4">
        <f>IF(OR($B358="",K358=""),"",IF($B358=0,--(K358=0),""))</f>
        <v/>
      </c>
      <c r="AT358" s="4">
        <f>IF(K358="","",--(K358=1))</f>
        <v/>
      </c>
      <c r="AU358" s="4">
        <f>IF(OR($B358="",L358=""),"",--(L358=$B358))</f>
        <v/>
      </c>
      <c r="AV358" s="4">
        <f>IF(OR($B358="",L358=""),"",IF($B358=1,--(L358=1),""))</f>
        <v/>
      </c>
      <c r="AW358" s="4">
        <f>IF(OR($B358="",L358=""),"",IF($B358=0,--(L358=0),""))</f>
        <v/>
      </c>
      <c r="AX358" s="4">
        <f>IF(L358="","",--(L358=1))</f>
        <v/>
      </c>
      <c r="AY358" s="4">
        <f>IF(OR($B358="",M358=""),"",--(M358=$B358))</f>
        <v/>
      </c>
      <c r="AZ358" s="4">
        <f>IF(OR($B358="",M358=""),"",IF($B358=1,--(M358=1),""))</f>
        <v/>
      </c>
      <c r="BA358" s="4">
        <f>IF(OR($B358="",M358=""),"",IF($B358=0,--(M358=0),""))</f>
        <v/>
      </c>
      <c r="BB358" s="4">
        <f>IF(M358="","",--(M358=1))</f>
        <v/>
      </c>
      <c r="BC358" s="4">
        <f>IF(OR($B358="",N358=""),"",--(N358=$B358))</f>
        <v/>
      </c>
      <c r="BD358" s="4">
        <f>IF(OR($B358="",N358=""),"",IF($B358=1,--(N358=1),""))</f>
        <v/>
      </c>
      <c r="BE358" s="4">
        <f>IF(OR($B358="",N358=""),"",IF($B358=0,--(N358=0),""))</f>
        <v/>
      </c>
      <c r="BF358" s="4">
        <f>IF(N358="","",--(N358=1))</f>
        <v/>
      </c>
    </row>
    <row r="359">
      <c r="A359" s="3" t="inlineStr">
        <is>
          <t>202162178</t>
        </is>
      </c>
      <c r="B359" s="3" t="inlineStr">
        <is>
          <t>1</t>
        </is>
      </c>
      <c r="C359" s="3" t="inlineStr">
        <is>
          <t>Direct</t>
        </is>
      </c>
      <c r="D359" s="3" t="inlineStr">
        <is>
          <t>1</t>
        </is>
      </c>
      <c r="E359" s="3" t="inlineStr">
        <is>
          <t>0</t>
        </is>
      </c>
      <c r="F359" s="3" t="inlineStr">
        <is>
          <t>0</t>
        </is>
      </c>
      <c r="G359" s="3" t="inlineStr">
        <is>
          <t>0</t>
        </is>
      </c>
      <c r="H359" s="3" t="inlineStr">
        <is>
          <t>0</t>
        </is>
      </c>
      <c r="I359" s="3" t="inlineStr">
        <is>
          <t>0</t>
        </is>
      </c>
      <c r="J359" s="3" t="inlineStr">
        <is>
          <t>0</t>
        </is>
      </c>
      <c r="K359" s="3" t="inlineStr">
        <is>
          <t>1</t>
        </is>
      </c>
      <c r="L359" s="3" t="inlineStr">
        <is>
          <t>1</t>
        </is>
      </c>
      <c r="M359" s="3" t="inlineStr">
        <is>
          <t>0</t>
        </is>
      </c>
      <c r="N359" s="3" t="inlineStr">
        <is>
          <t>1</t>
        </is>
      </c>
      <c r="O359" s="4">
        <f>IF(OR($B359="",D359=""),"",--(D359=$B359))</f>
        <v/>
      </c>
      <c r="P359" s="4">
        <f>IF(OR($B359="",D359=""),"",IF($B359=1,--(D359=1),""))</f>
        <v/>
      </c>
      <c r="Q359" s="4">
        <f>IF(OR($B359="",D359=""),"",IF($B359=0,--(D359=0),""))</f>
        <v/>
      </c>
      <c r="R359" s="4">
        <f>IF(D359="","",--(D359=1))</f>
        <v/>
      </c>
      <c r="S359" s="4">
        <f>IF(OR($B359="",E359=""),"",--(E359=$B359))</f>
        <v/>
      </c>
      <c r="T359" s="4">
        <f>IF(OR($B359="",E359=""),"",IF($B359=1,--(E359=1),""))</f>
        <v/>
      </c>
      <c r="U359" s="4">
        <f>IF(OR($B359="",E359=""),"",IF($B359=0,--(E359=0),""))</f>
        <v/>
      </c>
      <c r="V359" s="4">
        <f>IF(E359="","",--(E359=1))</f>
        <v/>
      </c>
      <c r="W359" s="4">
        <f>IF(OR($B359="",F359=""),"",--(F359=$B359))</f>
        <v/>
      </c>
      <c r="X359" s="4">
        <f>IF(OR($B359="",F359=""),"",IF($B359=1,--(F359=1),""))</f>
        <v/>
      </c>
      <c r="Y359" s="4">
        <f>IF(OR($B359="",F359=""),"",IF($B359=0,--(F359=0),""))</f>
        <v/>
      </c>
      <c r="Z359" s="4">
        <f>IF(F359="","",--(F359=1))</f>
        <v/>
      </c>
      <c r="AA359" s="4">
        <f>IF(OR($B359="",G359=""),"",--(G359=$B359))</f>
        <v/>
      </c>
      <c r="AB359" s="4">
        <f>IF(OR($B359="",G359=""),"",IF($B359=1,--(G359=1),""))</f>
        <v/>
      </c>
      <c r="AC359" s="4">
        <f>IF(OR($B359="",G359=""),"",IF($B359=0,--(G359=0),""))</f>
        <v/>
      </c>
      <c r="AD359" s="4">
        <f>IF(G359="","",--(G359=1))</f>
        <v/>
      </c>
      <c r="AE359" s="4">
        <f>IF(OR($B359="",H359=""),"",--(H359=$B359))</f>
        <v/>
      </c>
      <c r="AF359" s="4">
        <f>IF(OR($B359="",H359=""),"",IF($B359=1,--(H359=1),""))</f>
        <v/>
      </c>
      <c r="AG359" s="4">
        <f>IF(OR($B359="",H359=""),"",IF($B359=0,--(H359=0),""))</f>
        <v/>
      </c>
      <c r="AH359" s="4">
        <f>IF(H359="","",--(H359=1))</f>
        <v/>
      </c>
      <c r="AI359" s="4">
        <f>IF(OR($B359="",I359=""),"",--(I359=$B359))</f>
        <v/>
      </c>
      <c r="AJ359" s="4">
        <f>IF(OR($B359="",I359=""),"",IF($B359=1,--(I359=1),""))</f>
        <v/>
      </c>
      <c r="AK359" s="4">
        <f>IF(OR($B359="",I359=""),"",IF($B359=0,--(I359=0),""))</f>
        <v/>
      </c>
      <c r="AL359" s="4">
        <f>IF(I359="","",--(I359=1))</f>
        <v/>
      </c>
      <c r="AM359" s="4">
        <f>IF(OR($B359="",J359=""),"",--(J359=$B359))</f>
        <v/>
      </c>
      <c r="AN359" s="4">
        <f>IF(OR($B359="",J359=""),"",IF($B359=1,--(J359=1),""))</f>
        <v/>
      </c>
      <c r="AO359" s="4">
        <f>IF(OR($B359="",J359=""),"",IF($B359=0,--(J359=0),""))</f>
        <v/>
      </c>
      <c r="AP359" s="4">
        <f>IF(J359="","",--(J359=1))</f>
        <v/>
      </c>
      <c r="AQ359" s="4">
        <f>IF(OR($B359="",K359=""),"",--(K359=$B359))</f>
        <v/>
      </c>
      <c r="AR359" s="4">
        <f>IF(OR($B359="",K359=""),"",IF($B359=1,--(K359=1),""))</f>
        <v/>
      </c>
      <c r="AS359" s="4">
        <f>IF(OR($B359="",K359=""),"",IF($B359=0,--(K359=0),""))</f>
        <v/>
      </c>
      <c r="AT359" s="4">
        <f>IF(K359="","",--(K359=1))</f>
        <v/>
      </c>
      <c r="AU359" s="4">
        <f>IF(OR($B359="",L359=""),"",--(L359=$B359))</f>
        <v/>
      </c>
      <c r="AV359" s="4">
        <f>IF(OR($B359="",L359=""),"",IF($B359=1,--(L359=1),""))</f>
        <v/>
      </c>
      <c r="AW359" s="4">
        <f>IF(OR($B359="",L359=""),"",IF($B359=0,--(L359=0),""))</f>
        <v/>
      </c>
      <c r="AX359" s="4">
        <f>IF(L359="","",--(L359=1))</f>
        <v/>
      </c>
      <c r="AY359" s="4">
        <f>IF(OR($B359="",M359=""),"",--(M359=$B359))</f>
        <v/>
      </c>
      <c r="AZ359" s="4">
        <f>IF(OR($B359="",M359=""),"",IF($B359=1,--(M359=1),""))</f>
        <v/>
      </c>
      <c r="BA359" s="4">
        <f>IF(OR($B359="",M359=""),"",IF($B359=0,--(M359=0),""))</f>
        <v/>
      </c>
      <c r="BB359" s="4">
        <f>IF(M359="","",--(M359=1))</f>
        <v/>
      </c>
      <c r="BC359" s="4">
        <f>IF(OR($B359="",N359=""),"",--(N359=$B359))</f>
        <v/>
      </c>
      <c r="BD359" s="4">
        <f>IF(OR($B359="",N359=""),"",IF($B359=1,--(N359=1),""))</f>
        <v/>
      </c>
      <c r="BE359" s="4">
        <f>IF(OR($B359="",N359=""),"",IF($B359=0,--(N359=0),""))</f>
        <v/>
      </c>
      <c r="BF359" s="4">
        <f>IF(N359="","",--(N359=1))</f>
        <v/>
      </c>
    </row>
    <row r="360">
      <c r="A360" s="3" t="inlineStr">
        <is>
          <t>202162669</t>
        </is>
      </c>
      <c r="B360" s="3" t="inlineStr">
        <is>
          <t>1</t>
        </is>
      </c>
      <c r="C360" s="3" t="inlineStr">
        <is>
          <t>Direct</t>
        </is>
      </c>
      <c r="D360" s="3" t="inlineStr">
        <is>
          <t>1</t>
        </is>
      </c>
      <c r="E360" s="3" t="inlineStr">
        <is>
          <t>0</t>
        </is>
      </c>
      <c r="F360" s="3" t="inlineStr">
        <is>
          <t>0</t>
        </is>
      </c>
      <c r="G360" s="3" t="inlineStr">
        <is>
          <t>1</t>
        </is>
      </c>
      <c r="H360" s="3" t="inlineStr">
        <is>
          <t>0</t>
        </is>
      </c>
      <c r="I360" s="3" t="inlineStr">
        <is>
          <t>1</t>
        </is>
      </c>
      <c r="J360" s="3" t="inlineStr">
        <is>
          <t>1</t>
        </is>
      </c>
      <c r="K360" s="3" t="inlineStr">
        <is>
          <t>0</t>
        </is>
      </c>
      <c r="L360" s="3" t="inlineStr">
        <is>
          <t>0</t>
        </is>
      </c>
      <c r="M360" s="3" t="inlineStr">
        <is>
          <t>1</t>
        </is>
      </c>
      <c r="N360" s="3" t="inlineStr">
        <is>
          <t>1</t>
        </is>
      </c>
      <c r="O360" s="4">
        <f>IF(OR($B360="",D360=""),"",--(D360=$B360))</f>
        <v/>
      </c>
      <c r="P360" s="4">
        <f>IF(OR($B360="",D360=""),"",IF($B360=1,--(D360=1),""))</f>
        <v/>
      </c>
      <c r="Q360" s="4">
        <f>IF(OR($B360="",D360=""),"",IF($B360=0,--(D360=0),""))</f>
        <v/>
      </c>
      <c r="R360" s="4">
        <f>IF(D360="","",--(D360=1))</f>
        <v/>
      </c>
      <c r="S360" s="4">
        <f>IF(OR($B360="",E360=""),"",--(E360=$B360))</f>
        <v/>
      </c>
      <c r="T360" s="4">
        <f>IF(OR($B360="",E360=""),"",IF($B360=1,--(E360=1),""))</f>
        <v/>
      </c>
      <c r="U360" s="4">
        <f>IF(OR($B360="",E360=""),"",IF($B360=0,--(E360=0),""))</f>
        <v/>
      </c>
      <c r="V360" s="4">
        <f>IF(E360="","",--(E360=1))</f>
        <v/>
      </c>
      <c r="W360" s="4">
        <f>IF(OR($B360="",F360=""),"",--(F360=$B360))</f>
        <v/>
      </c>
      <c r="X360" s="4">
        <f>IF(OR($B360="",F360=""),"",IF($B360=1,--(F360=1),""))</f>
        <v/>
      </c>
      <c r="Y360" s="4">
        <f>IF(OR($B360="",F360=""),"",IF($B360=0,--(F360=0),""))</f>
        <v/>
      </c>
      <c r="Z360" s="4">
        <f>IF(F360="","",--(F360=1))</f>
        <v/>
      </c>
      <c r="AA360" s="4">
        <f>IF(OR($B360="",G360=""),"",--(G360=$B360))</f>
        <v/>
      </c>
      <c r="AB360" s="4">
        <f>IF(OR($B360="",G360=""),"",IF($B360=1,--(G360=1),""))</f>
        <v/>
      </c>
      <c r="AC360" s="4">
        <f>IF(OR($B360="",G360=""),"",IF($B360=0,--(G360=0),""))</f>
        <v/>
      </c>
      <c r="AD360" s="4">
        <f>IF(G360="","",--(G360=1))</f>
        <v/>
      </c>
      <c r="AE360" s="4">
        <f>IF(OR($B360="",H360=""),"",--(H360=$B360))</f>
        <v/>
      </c>
      <c r="AF360" s="4">
        <f>IF(OR($B360="",H360=""),"",IF($B360=1,--(H360=1),""))</f>
        <v/>
      </c>
      <c r="AG360" s="4">
        <f>IF(OR($B360="",H360=""),"",IF($B360=0,--(H360=0),""))</f>
        <v/>
      </c>
      <c r="AH360" s="4">
        <f>IF(H360="","",--(H360=1))</f>
        <v/>
      </c>
      <c r="AI360" s="4">
        <f>IF(OR($B360="",I360=""),"",--(I360=$B360))</f>
        <v/>
      </c>
      <c r="AJ360" s="4">
        <f>IF(OR($B360="",I360=""),"",IF($B360=1,--(I360=1),""))</f>
        <v/>
      </c>
      <c r="AK360" s="4">
        <f>IF(OR($B360="",I360=""),"",IF($B360=0,--(I360=0),""))</f>
        <v/>
      </c>
      <c r="AL360" s="4">
        <f>IF(I360="","",--(I360=1))</f>
        <v/>
      </c>
      <c r="AM360" s="4">
        <f>IF(OR($B360="",J360=""),"",--(J360=$B360))</f>
        <v/>
      </c>
      <c r="AN360" s="4">
        <f>IF(OR($B360="",J360=""),"",IF($B360=1,--(J360=1),""))</f>
        <v/>
      </c>
      <c r="AO360" s="4">
        <f>IF(OR($B360="",J360=""),"",IF($B360=0,--(J360=0),""))</f>
        <v/>
      </c>
      <c r="AP360" s="4">
        <f>IF(J360="","",--(J360=1))</f>
        <v/>
      </c>
      <c r="AQ360" s="4">
        <f>IF(OR($B360="",K360=""),"",--(K360=$B360))</f>
        <v/>
      </c>
      <c r="AR360" s="4">
        <f>IF(OR($B360="",K360=""),"",IF($B360=1,--(K360=1),""))</f>
        <v/>
      </c>
      <c r="AS360" s="4">
        <f>IF(OR($B360="",K360=""),"",IF($B360=0,--(K360=0),""))</f>
        <v/>
      </c>
      <c r="AT360" s="4">
        <f>IF(K360="","",--(K360=1))</f>
        <v/>
      </c>
      <c r="AU360" s="4">
        <f>IF(OR($B360="",L360=""),"",--(L360=$B360))</f>
        <v/>
      </c>
      <c r="AV360" s="4">
        <f>IF(OR($B360="",L360=""),"",IF($B360=1,--(L360=1),""))</f>
        <v/>
      </c>
      <c r="AW360" s="4">
        <f>IF(OR($B360="",L360=""),"",IF($B360=0,--(L360=0),""))</f>
        <v/>
      </c>
      <c r="AX360" s="4">
        <f>IF(L360="","",--(L360=1))</f>
        <v/>
      </c>
      <c r="AY360" s="4">
        <f>IF(OR($B360="",M360=""),"",--(M360=$B360))</f>
        <v/>
      </c>
      <c r="AZ360" s="4">
        <f>IF(OR($B360="",M360=""),"",IF($B360=1,--(M360=1),""))</f>
        <v/>
      </c>
      <c r="BA360" s="4">
        <f>IF(OR($B360="",M360=""),"",IF($B360=0,--(M360=0),""))</f>
        <v/>
      </c>
      <c r="BB360" s="4">
        <f>IF(M360="","",--(M360=1))</f>
        <v/>
      </c>
      <c r="BC360" s="4">
        <f>IF(OR($B360="",N360=""),"",--(N360=$B360))</f>
        <v/>
      </c>
      <c r="BD360" s="4">
        <f>IF(OR($B360="",N360=""),"",IF($B360=1,--(N360=1),""))</f>
        <v/>
      </c>
      <c r="BE360" s="4">
        <f>IF(OR($B360="",N360=""),"",IF($B360=0,--(N360=0),""))</f>
        <v/>
      </c>
      <c r="BF360" s="4">
        <f>IF(N360="","",--(N360=1))</f>
        <v/>
      </c>
    </row>
    <row r="361">
      <c r="A361" s="3" t="inlineStr">
        <is>
          <t>202164199</t>
        </is>
      </c>
      <c r="B361" s="3" t="inlineStr">
        <is>
          <t>0</t>
        </is>
      </c>
      <c r="C361" s="3" t="inlineStr">
        <is>
          <t>Direct</t>
        </is>
      </c>
      <c r="D361" s="3" t="inlineStr">
        <is>
          <t>1</t>
        </is>
      </c>
      <c r="E361" s="3" t="inlineStr">
        <is>
          <t>0</t>
        </is>
      </c>
      <c r="F361" s="3" t="inlineStr">
        <is>
          <t>0</t>
        </is>
      </c>
      <c r="G361" s="3" t="inlineStr">
        <is>
          <t>0</t>
        </is>
      </c>
      <c r="H361" s="3" t="inlineStr">
        <is>
          <t>0</t>
        </is>
      </c>
      <c r="I361" s="3" t="inlineStr">
        <is>
          <t>0</t>
        </is>
      </c>
      <c r="J361" s="3" t="inlineStr">
        <is>
          <t>1</t>
        </is>
      </c>
      <c r="K361" s="3" t="inlineStr">
        <is>
          <t>0</t>
        </is>
      </c>
      <c r="L361" s="3" t="inlineStr">
        <is>
          <t>0</t>
        </is>
      </c>
      <c r="M361" s="3" t="inlineStr">
        <is>
          <t>0</t>
        </is>
      </c>
      <c r="N361" s="3" t="inlineStr">
        <is>
          <t>0</t>
        </is>
      </c>
      <c r="O361" s="4">
        <f>IF(OR($B361="",D361=""),"",--(D361=$B361))</f>
        <v/>
      </c>
      <c r="P361" s="4">
        <f>IF(OR($B361="",D361=""),"",IF($B361=1,--(D361=1),""))</f>
        <v/>
      </c>
      <c r="Q361" s="4">
        <f>IF(OR($B361="",D361=""),"",IF($B361=0,--(D361=0),""))</f>
        <v/>
      </c>
      <c r="R361" s="4">
        <f>IF(D361="","",--(D361=1))</f>
        <v/>
      </c>
      <c r="S361" s="4">
        <f>IF(OR($B361="",E361=""),"",--(E361=$B361))</f>
        <v/>
      </c>
      <c r="T361" s="4">
        <f>IF(OR($B361="",E361=""),"",IF($B361=1,--(E361=1),""))</f>
        <v/>
      </c>
      <c r="U361" s="4">
        <f>IF(OR($B361="",E361=""),"",IF($B361=0,--(E361=0),""))</f>
        <v/>
      </c>
      <c r="V361" s="4">
        <f>IF(E361="","",--(E361=1))</f>
        <v/>
      </c>
      <c r="W361" s="4">
        <f>IF(OR($B361="",F361=""),"",--(F361=$B361))</f>
        <v/>
      </c>
      <c r="X361" s="4">
        <f>IF(OR($B361="",F361=""),"",IF($B361=1,--(F361=1),""))</f>
        <v/>
      </c>
      <c r="Y361" s="4">
        <f>IF(OR($B361="",F361=""),"",IF($B361=0,--(F361=0),""))</f>
        <v/>
      </c>
      <c r="Z361" s="4">
        <f>IF(F361="","",--(F361=1))</f>
        <v/>
      </c>
      <c r="AA361" s="4">
        <f>IF(OR($B361="",G361=""),"",--(G361=$B361))</f>
        <v/>
      </c>
      <c r="AB361" s="4">
        <f>IF(OR($B361="",G361=""),"",IF($B361=1,--(G361=1),""))</f>
        <v/>
      </c>
      <c r="AC361" s="4">
        <f>IF(OR($B361="",G361=""),"",IF($B361=0,--(G361=0),""))</f>
        <v/>
      </c>
      <c r="AD361" s="4">
        <f>IF(G361="","",--(G361=1))</f>
        <v/>
      </c>
      <c r="AE361" s="4">
        <f>IF(OR($B361="",H361=""),"",--(H361=$B361))</f>
        <v/>
      </c>
      <c r="AF361" s="4">
        <f>IF(OR($B361="",H361=""),"",IF($B361=1,--(H361=1),""))</f>
        <v/>
      </c>
      <c r="AG361" s="4">
        <f>IF(OR($B361="",H361=""),"",IF($B361=0,--(H361=0),""))</f>
        <v/>
      </c>
      <c r="AH361" s="4">
        <f>IF(H361="","",--(H361=1))</f>
        <v/>
      </c>
      <c r="AI361" s="4">
        <f>IF(OR($B361="",I361=""),"",--(I361=$B361))</f>
        <v/>
      </c>
      <c r="AJ361" s="4">
        <f>IF(OR($B361="",I361=""),"",IF($B361=1,--(I361=1),""))</f>
        <v/>
      </c>
      <c r="AK361" s="4">
        <f>IF(OR($B361="",I361=""),"",IF($B361=0,--(I361=0),""))</f>
        <v/>
      </c>
      <c r="AL361" s="4">
        <f>IF(I361="","",--(I361=1))</f>
        <v/>
      </c>
      <c r="AM361" s="4">
        <f>IF(OR($B361="",J361=""),"",--(J361=$B361))</f>
        <v/>
      </c>
      <c r="AN361" s="4">
        <f>IF(OR($B361="",J361=""),"",IF($B361=1,--(J361=1),""))</f>
        <v/>
      </c>
      <c r="AO361" s="4">
        <f>IF(OR($B361="",J361=""),"",IF($B361=0,--(J361=0),""))</f>
        <v/>
      </c>
      <c r="AP361" s="4">
        <f>IF(J361="","",--(J361=1))</f>
        <v/>
      </c>
      <c r="AQ361" s="4">
        <f>IF(OR($B361="",K361=""),"",--(K361=$B361))</f>
        <v/>
      </c>
      <c r="AR361" s="4">
        <f>IF(OR($B361="",K361=""),"",IF($B361=1,--(K361=1),""))</f>
        <v/>
      </c>
      <c r="AS361" s="4">
        <f>IF(OR($B361="",K361=""),"",IF($B361=0,--(K361=0),""))</f>
        <v/>
      </c>
      <c r="AT361" s="4">
        <f>IF(K361="","",--(K361=1))</f>
        <v/>
      </c>
      <c r="AU361" s="4">
        <f>IF(OR($B361="",L361=""),"",--(L361=$B361))</f>
        <v/>
      </c>
      <c r="AV361" s="4">
        <f>IF(OR($B361="",L361=""),"",IF($B361=1,--(L361=1),""))</f>
        <v/>
      </c>
      <c r="AW361" s="4">
        <f>IF(OR($B361="",L361=""),"",IF($B361=0,--(L361=0),""))</f>
        <v/>
      </c>
      <c r="AX361" s="4">
        <f>IF(L361="","",--(L361=1))</f>
        <v/>
      </c>
      <c r="AY361" s="4">
        <f>IF(OR($B361="",M361=""),"",--(M361=$B361))</f>
        <v/>
      </c>
      <c r="AZ361" s="4">
        <f>IF(OR($B361="",M361=""),"",IF($B361=1,--(M361=1),""))</f>
        <v/>
      </c>
      <c r="BA361" s="4">
        <f>IF(OR($B361="",M361=""),"",IF($B361=0,--(M361=0),""))</f>
        <v/>
      </c>
      <c r="BB361" s="4">
        <f>IF(M361="","",--(M361=1))</f>
        <v/>
      </c>
      <c r="BC361" s="4">
        <f>IF(OR($B361="",N361=""),"",--(N361=$B361))</f>
        <v/>
      </c>
      <c r="BD361" s="4">
        <f>IF(OR($B361="",N361=""),"",IF($B361=1,--(N361=1),""))</f>
        <v/>
      </c>
      <c r="BE361" s="4">
        <f>IF(OR($B361="",N361=""),"",IF($B361=0,--(N361=0),""))</f>
        <v/>
      </c>
      <c r="BF361" s="4">
        <f>IF(N361="","",--(N361=1))</f>
        <v/>
      </c>
    </row>
    <row r="362">
      <c r="A362" s="3" t="inlineStr">
        <is>
          <t>202164508</t>
        </is>
      </c>
      <c r="B362" s="3" t="inlineStr">
        <is>
          <t>1</t>
        </is>
      </c>
      <c r="C362" s="3" t="inlineStr">
        <is>
          <t>RQ</t>
        </is>
      </c>
      <c r="D362" s="3" t="inlineStr">
        <is>
          <t>1</t>
        </is>
      </c>
      <c r="E362" s="3" t="inlineStr">
        <is>
          <t>1</t>
        </is>
      </c>
      <c r="F362" s="3" t="inlineStr">
        <is>
          <t>1</t>
        </is>
      </c>
      <c r="G362" s="3" t="inlineStr">
        <is>
          <t>1</t>
        </is>
      </c>
      <c r="H362" s="3" t="inlineStr">
        <is>
          <t>1</t>
        </is>
      </c>
      <c r="I362" s="3" t="inlineStr">
        <is>
          <t>1</t>
        </is>
      </c>
      <c r="J362" s="3" t="inlineStr">
        <is>
          <t>1</t>
        </is>
      </c>
      <c r="K362" s="3" t="inlineStr">
        <is>
          <t>1</t>
        </is>
      </c>
      <c r="L362" s="3" t="inlineStr">
        <is>
          <t>1</t>
        </is>
      </c>
      <c r="M362" s="3" t="inlineStr">
        <is>
          <t>1</t>
        </is>
      </c>
      <c r="N362" s="3" t="inlineStr">
        <is>
          <t>1</t>
        </is>
      </c>
      <c r="O362" s="4">
        <f>IF(OR($B362="",D362=""),"",--(D362=$B362))</f>
        <v/>
      </c>
      <c r="P362" s="4">
        <f>IF(OR($B362="",D362=""),"",IF($B362=1,--(D362=1),""))</f>
        <v/>
      </c>
      <c r="Q362" s="4">
        <f>IF(OR($B362="",D362=""),"",IF($B362=0,--(D362=0),""))</f>
        <v/>
      </c>
      <c r="R362" s="4">
        <f>IF(D362="","",--(D362=1))</f>
        <v/>
      </c>
      <c r="S362" s="4">
        <f>IF(OR($B362="",E362=""),"",--(E362=$B362))</f>
        <v/>
      </c>
      <c r="T362" s="4">
        <f>IF(OR($B362="",E362=""),"",IF($B362=1,--(E362=1),""))</f>
        <v/>
      </c>
      <c r="U362" s="4">
        <f>IF(OR($B362="",E362=""),"",IF($B362=0,--(E362=0),""))</f>
        <v/>
      </c>
      <c r="V362" s="4">
        <f>IF(E362="","",--(E362=1))</f>
        <v/>
      </c>
      <c r="W362" s="4">
        <f>IF(OR($B362="",F362=""),"",--(F362=$B362))</f>
        <v/>
      </c>
      <c r="X362" s="4">
        <f>IF(OR($B362="",F362=""),"",IF($B362=1,--(F362=1),""))</f>
        <v/>
      </c>
      <c r="Y362" s="4">
        <f>IF(OR($B362="",F362=""),"",IF($B362=0,--(F362=0),""))</f>
        <v/>
      </c>
      <c r="Z362" s="4">
        <f>IF(F362="","",--(F362=1))</f>
        <v/>
      </c>
      <c r="AA362" s="4">
        <f>IF(OR($B362="",G362=""),"",--(G362=$B362))</f>
        <v/>
      </c>
      <c r="AB362" s="4">
        <f>IF(OR($B362="",G362=""),"",IF($B362=1,--(G362=1),""))</f>
        <v/>
      </c>
      <c r="AC362" s="4">
        <f>IF(OR($B362="",G362=""),"",IF($B362=0,--(G362=0),""))</f>
        <v/>
      </c>
      <c r="AD362" s="4">
        <f>IF(G362="","",--(G362=1))</f>
        <v/>
      </c>
      <c r="AE362" s="4">
        <f>IF(OR($B362="",H362=""),"",--(H362=$B362))</f>
        <v/>
      </c>
      <c r="AF362" s="4">
        <f>IF(OR($B362="",H362=""),"",IF($B362=1,--(H362=1),""))</f>
        <v/>
      </c>
      <c r="AG362" s="4">
        <f>IF(OR($B362="",H362=""),"",IF($B362=0,--(H362=0),""))</f>
        <v/>
      </c>
      <c r="AH362" s="4">
        <f>IF(H362="","",--(H362=1))</f>
        <v/>
      </c>
      <c r="AI362" s="4">
        <f>IF(OR($B362="",I362=""),"",--(I362=$B362))</f>
        <v/>
      </c>
      <c r="AJ362" s="4">
        <f>IF(OR($B362="",I362=""),"",IF($B362=1,--(I362=1),""))</f>
        <v/>
      </c>
      <c r="AK362" s="4">
        <f>IF(OR($B362="",I362=""),"",IF($B362=0,--(I362=0),""))</f>
        <v/>
      </c>
      <c r="AL362" s="4">
        <f>IF(I362="","",--(I362=1))</f>
        <v/>
      </c>
      <c r="AM362" s="4">
        <f>IF(OR($B362="",J362=""),"",--(J362=$B362))</f>
        <v/>
      </c>
      <c r="AN362" s="4">
        <f>IF(OR($B362="",J362=""),"",IF($B362=1,--(J362=1),""))</f>
        <v/>
      </c>
      <c r="AO362" s="4">
        <f>IF(OR($B362="",J362=""),"",IF($B362=0,--(J362=0),""))</f>
        <v/>
      </c>
      <c r="AP362" s="4">
        <f>IF(J362="","",--(J362=1))</f>
        <v/>
      </c>
      <c r="AQ362" s="4">
        <f>IF(OR($B362="",K362=""),"",--(K362=$B362))</f>
        <v/>
      </c>
      <c r="AR362" s="4">
        <f>IF(OR($B362="",K362=""),"",IF($B362=1,--(K362=1),""))</f>
        <v/>
      </c>
      <c r="AS362" s="4">
        <f>IF(OR($B362="",K362=""),"",IF($B362=0,--(K362=0),""))</f>
        <v/>
      </c>
      <c r="AT362" s="4">
        <f>IF(K362="","",--(K362=1))</f>
        <v/>
      </c>
      <c r="AU362" s="4">
        <f>IF(OR($B362="",L362=""),"",--(L362=$B362))</f>
        <v/>
      </c>
      <c r="AV362" s="4">
        <f>IF(OR($B362="",L362=""),"",IF($B362=1,--(L362=1),""))</f>
        <v/>
      </c>
      <c r="AW362" s="4">
        <f>IF(OR($B362="",L362=""),"",IF($B362=0,--(L362=0),""))</f>
        <v/>
      </c>
      <c r="AX362" s="4">
        <f>IF(L362="","",--(L362=1))</f>
        <v/>
      </c>
      <c r="AY362" s="4">
        <f>IF(OR($B362="",M362=""),"",--(M362=$B362))</f>
        <v/>
      </c>
      <c r="AZ362" s="4">
        <f>IF(OR($B362="",M362=""),"",IF($B362=1,--(M362=1),""))</f>
        <v/>
      </c>
      <c r="BA362" s="4">
        <f>IF(OR($B362="",M362=""),"",IF($B362=0,--(M362=0),""))</f>
        <v/>
      </c>
      <c r="BB362" s="4">
        <f>IF(M362="","",--(M362=1))</f>
        <v/>
      </c>
      <c r="BC362" s="4">
        <f>IF(OR($B362="",N362=""),"",--(N362=$B362))</f>
        <v/>
      </c>
      <c r="BD362" s="4">
        <f>IF(OR($B362="",N362=""),"",IF($B362=1,--(N362=1),""))</f>
        <v/>
      </c>
      <c r="BE362" s="4">
        <f>IF(OR($B362="",N362=""),"",IF($B362=0,--(N362=0),""))</f>
        <v/>
      </c>
      <c r="BF362" s="4">
        <f>IF(N362="","",--(N362=1))</f>
        <v/>
      </c>
    </row>
    <row r="363">
      <c r="A363" s="3" t="inlineStr">
        <is>
          <t>202164558</t>
        </is>
      </c>
      <c r="B363" s="3" t="inlineStr">
        <is>
          <t>0</t>
        </is>
      </c>
      <c r="C363" s="3" t="inlineStr">
        <is>
          <t>Direct</t>
        </is>
      </c>
      <c r="D363" s="3" t="inlineStr">
        <is>
          <t>1</t>
        </is>
      </c>
      <c r="E363" s="3" t="inlineStr">
        <is>
          <t>0</t>
        </is>
      </c>
      <c r="F363" s="3" t="inlineStr">
        <is>
          <t>0</t>
        </is>
      </c>
      <c r="G363" s="3" t="inlineStr">
        <is>
          <t>0</t>
        </is>
      </c>
      <c r="H363" s="3" t="inlineStr">
        <is>
          <t>0</t>
        </is>
      </c>
      <c r="I363" s="3" t="inlineStr">
        <is>
          <t>0</t>
        </is>
      </c>
      <c r="J363" s="3" t="inlineStr">
        <is>
          <t>0</t>
        </is>
      </c>
      <c r="K363" s="3" t="inlineStr">
        <is>
          <t>0</t>
        </is>
      </c>
      <c r="L363" s="3" t="inlineStr">
        <is>
          <t>0</t>
        </is>
      </c>
      <c r="M363" s="3" t="inlineStr">
        <is>
          <t>0</t>
        </is>
      </c>
      <c r="N363" s="3" t="inlineStr">
        <is>
          <t>0</t>
        </is>
      </c>
      <c r="O363" s="4">
        <f>IF(OR($B363="",D363=""),"",--(D363=$B363))</f>
        <v/>
      </c>
      <c r="P363" s="4">
        <f>IF(OR($B363="",D363=""),"",IF($B363=1,--(D363=1),""))</f>
        <v/>
      </c>
      <c r="Q363" s="4">
        <f>IF(OR($B363="",D363=""),"",IF($B363=0,--(D363=0),""))</f>
        <v/>
      </c>
      <c r="R363" s="4">
        <f>IF(D363="","",--(D363=1))</f>
        <v/>
      </c>
      <c r="S363" s="4">
        <f>IF(OR($B363="",E363=""),"",--(E363=$B363))</f>
        <v/>
      </c>
      <c r="T363" s="4">
        <f>IF(OR($B363="",E363=""),"",IF($B363=1,--(E363=1),""))</f>
        <v/>
      </c>
      <c r="U363" s="4">
        <f>IF(OR($B363="",E363=""),"",IF($B363=0,--(E363=0),""))</f>
        <v/>
      </c>
      <c r="V363" s="4">
        <f>IF(E363="","",--(E363=1))</f>
        <v/>
      </c>
      <c r="W363" s="4">
        <f>IF(OR($B363="",F363=""),"",--(F363=$B363))</f>
        <v/>
      </c>
      <c r="X363" s="4">
        <f>IF(OR($B363="",F363=""),"",IF($B363=1,--(F363=1),""))</f>
        <v/>
      </c>
      <c r="Y363" s="4">
        <f>IF(OR($B363="",F363=""),"",IF($B363=0,--(F363=0),""))</f>
        <v/>
      </c>
      <c r="Z363" s="4">
        <f>IF(F363="","",--(F363=1))</f>
        <v/>
      </c>
      <c r="AA363" s="4">
        <f>IF(OR($B363="",G363=""),"",--(G363=$B363))</f>
        <v/>
      </c>
      <c r="AB363" s="4">
        <f>IF(OR($B363="",G363=""),"",IF($B363=1,--(G363=1),""))</f>
        <v/>
      </c>
      <c r="AC363" s="4">
        <f>IF(OR($B363="",G363=""),"",IF($B363=0,--(G363=0),""))</f>
        <v/>
      </c>
      <c r="AD363" s="4">
        <f>IF(G363="","",--(G363=1))</f>
        <v/>
      </c>
      <c r="AE363" s="4">
        <f>IF(OR($B363="",H363=""),"",--(H363=$B363))</f>
        <v/>
      </c>
      <c r="AF363" s="4">
        <f>IF(OR($B363="",H363=""),"",IF($B363=1,--(H363=1),""))</f>
        <v/>
      </c>
      <c r="AG363" s="4">
        <f>IF(OR($B363="",H363=""),"",IF($B363=0,--(H363=0),""))</f>
        <v/>
      </c>
      <c r="AH363" s="4">
        <f>IF(H363="","",--(H363=1))</f>
        <v/>
      </c>
      <c r="AI363" s="4">
        <f>IF(OR($B363="",I363=""),"",--(I363=$B363))</f>
        <v/>
      </c>
      <c r="AJ363" s="4">
        <f>IF(OR($B363="",I363=""),"",IF($B363=1,--(I363=1),""))</f>
        <v/>
      </c>
      <c r="AK363" s="4">
        <f>IF(OR($B363="",I363=""),"",IF($B363=0,--(I363=0),""))</f>
        <v/>
      </c>
      <c r="AL363" s="4">
        <f>IF(I363="","",--(I363=1))</f>
        <v/>
      </c>
      <c r="AM363" s="4">
        <f>IF(OR($B363="",J363=""),"",--(J363=$B363))</f>
        <v/>
      </c>
      <c r="AN363" s="4">
        <f>IF(OR($B363="",J363=""),"",IF($B363=1,--(J363=1),""))</f>
        <v/>
      </c>
      <c r="AO363" s="4">
        <f>IF(OR($B363="",J363=""),"",IF($B363=0,--(J363=0),""))</f>
        <v/>
      </c>
      <c r="AP363" s="4">
        <f>IF(J363="","",--(J363=1))</f>
        <v/>
      </c>
      <c r="AQ363" s="4">
        <f>IF(OR($B363="",K363=""),"",--(K363=$B363))</f>
        <v/>
      </c>
      <c r="AR363" s="4">
        <f>IF(OR($B363="",K363=""),"",IF($B363=1,--(K363=1),""))</f>
        <v/>
      </c>
      <c r="AS363" s="4">
        <f>IF(OR($B363="",K363=""),"",IF($B363=0,--(K363=0),""))</f>
        <v/>
      </c>
      <c r="AT363" s="4">
        <f>IF(K363="","",--(K363=1))</f>
        <v/>
      </c>
      <c r="AU363" s="4">
        <f>IF(OR($B363="",L363=""),"",--(L363=$B363))</f>
        <v/>
      </c>
      <c r="AV363" s="4">
        <f>IF(OR($B363="",L363=""),"",IF($B363=1,--(L363=1),""))</f>
        <v/>
      </c>
      <c r="AW363" s="4">
        <f>IF(OR($B363="",L363=""),"",IF($B363=0,--(L363=0),""))</f>
        <v/>
      </c>
      <c r="AX363" s="4">
        <f>IF(L363="","",--(L363=1))</f>
        <v/>
      </c>
      <c r="AY363" s="4">
        <f>IF(OR($B363="",M363=""),"",--(M363=$B363))</f>
        <v/>
      </c>
      <c r="AZ363" s="4">
        <f>IF(OR($B363="",M363=""),"",IF($B363=1,--(M363=1),""))</f>
        <v/>
      </c>
      <c r="BA363" s="4">
        <f>IF(OR($B363="",M363=""),"",IF($B363=0,--(M363=0),""))</f>
        <v/>
      </c>
      <c r="BB363" s="4">
        <f>IF(M363="","",--(M363=1))</f>
        <v/>
      </c>
      <c r="BC363" s="4">
        <f>IF(OR($B363="",N363=""),"",--(N363=$B363))</f>
        <v/>
      </c>
      <c r="BD363" s="4">
        <f>IF(OR($B363="",N363=""),"",IF($B363=1,--(N363=1),""))</f>
        <v/>
      </c>
      <c r="BE363" s="4">
        <f>IF(OR($B363="",N363=""),"",IF($B363=0,--(N363=0),""))</f>
        <v/>
      </c>
      <c r="BF363" s="4">
        <f>IF(N363="","",--(N363=1))</f>
        <v/>
      </c>
    </row>
    <row r="364">
      <c r="A364" s="3" t="inlineStr">
        <is>
          <t>202164808</t>
        </is>
      </c>
      <c r="B364" s="3" t="inlineStr">
        <is>
          <t>1</t>
        </is>
      </c>
      <c r="C364" s="3" t="inlineStr">
        <is>
          <t>Direct</t>
        </is>
      </c>
      <c r="D364" s="3" t="inlineStr">
        <is>
          <t>1</t>
        </is>
      </c>
      <c r="E364" s="3" t="inlineStr">
        <is>
          <t>1</t>
        </is>
      </c>
      <c r="F364" s="3" t="inlineStr">
        <is>
          <t>0</t>
        </is>
      </c>
      <c r="G364" s="3" t="inlineStr">
        <is>
          <t>0</t>
        </is>
      </c>
      <c r="H364" s="3" t="inlineStr">
        <is>
          <t>0</t>
        </is>
      </c>
      <c r="I364" s="3" t="inlineStr">
        <is>
          <t>0</t>
        </is>
      </c>
      <c r="J364" s="3" t="inlineStr">
        <is>
          <t>0</t>
        </is>
      </c>
      <c r="K364" s="3" t="inlineStr">
        <is>
          <t>0</t>
        </is>
      </c>
      <c r="L364" s="3" t="inlineStr">
        <is>
          <t>0</t>
        </is>
      </c>
      <c r="M364" s="3" t="inlineStr">
        <is>
          <t>0</t>
        </is>
      </c>
      <c r="N364" s="3" t="inlineStr">
        <is>
          <t>1</t>
        </is>
      </c>
      <c r="O364" s="4">
        <f>IF(OR($B364="",D364=""),"",--(D364=$B364))</f>
        <v/>
      </c>
      <c r="P364" s="4">
        <f>IF(OR($B364="",D364=""),"",IF($B364=1,--(D364=1),""))</f>
        <v/>
      </c>
      <c r="Q364" s="4">
        <f>IF(OR($B364="",D364=""),"",IF($B364=0,--(D364=0),""))</f>
        <v/>
      </c>
      <c r="R364" s="4">
        <f>IF(D364="","",--(D364=1))</f>
        <v/>
      </c>
      <c r="S364" s="4">
        <f>IF(OR($B364="",E364=""),"",--(E364=$B364))</f>
        <v/>
      </c>
      <c r="T364" s="4">
        <f>IF(OR($B364="",E364=""),"",IF($B364=1,--(E364=1),""))</f>
        <v/>
      </c>
      <c r="U364" s="4">
        <f>IF(OR($B364="",E364=""),"",IF($B364=0,--(E364=0),""))</f>
        <v/>
      </c>
      <c r="V364" s="4">
        <f>IF(E364="","",--(E364=1))</f>
        <v/>
      </c>
      <c r="W364" s="4">
        <f>IF(OR($B364="",F364=""),"",--(F364=$B364))</f>
        <v/>
      </c>
      <c r="X364" s="4">
        <f>IF(OR($B364="",F364=""),"",IF($B364=1,--(F364=1),""))</f>
        <v/>
      </c>
      <c r="Y364" s="4">
        <f>IF(OR($B364="",F364=""),"",IF($B364=0,--(F364=0),""))</f>
        <v/>
      </c>
      <c r="Z364" s="4">
        <f>IF(F364="","",--(F364=1))</f>
        <v/>
      </c>
      <c r="AA364" s="4">
        <f>IF(OR($B364="",G364=""),"",--(G364=$B364))</f>
        <v/>
      </c>
      <c r="AB364" s="4">
        <f>IF(OR($B364="",G364=""),"",IF($B364=1,--(G364=1),""))</f>
        <v/>
      </c>
      <c r="AC364" s="4">
        <f>IF(OR($B364="",G364=""),"",IF($B364=0,--(G364=0),""))</f>
        <v/>
      </c>
      <c r="AD364" s="4">
        <f>IF(G364="","",--(G364=1))</f>
        <v/>
      </c>
      <c r="AE364" s="4">
        <f>IF(OR($B364="",H364=""),"",--(H364=$B364))</f>
        <v/>
      </c>
      <c r="AF364" s="4">
        <f>IF(OR($B364="",H364=""),"",IF($B364=1,--(H364=1),""))</f>
        <v/>
      </c>
      <c r="AG364" s="4">
        <f>IF(OR($B364="",H364=""),"",IF($B364=0,--(H364=0),""))</f>
        <v/>
      </c>
      <c r="AH364" s="4">
        <f>IF(H364="","",--(H364=1))</f>
        <v/>
      </c>
      <c r="AI364" s="4">
        <f>IF(OR($B364="",I364=""),"",--(I364=$B364))</f>
        <v/>
      </c>
      <c r="AJ364" s="4">
        <f>IF(OR($B364="",I364=""),"",IF($B364=1,--(I364=1),""))</f>
        <v/>
      </c>
      <c r="AK364" s="4">
        <f>IF(OR($B364="",I364=""),"",IF($B364=0,--(I364=0),""))</f>
        <v/>
      </c>
      <c r="AL364" s="4">
        <f>IF(I364="","",--(I364=1))</f>
        <v/>
      </c>
      <c r="AM364" s="4">
        <f>IF(OR($B364="",J364=""),"",--(J364=$B364))</f>
        <v/>
      </c>
      <c r="AN364" s="4">
        <f>IF(OR($B364="",J364=""),"",IF($B364=1,--(J364=1),""))</f>
        <v/>
      </c>
      <c r="AO364" s="4">
        <f>IF(OR($B364="",J364=""),"",IF($B364=0,--(J364=0),""))</f>
        <v/>
      </c>
      <c r="AP364" s="4">
        <f>IF(J364="","",--(J364=1))</f>
        <v/>
      </c>
      <c r="AQ364" s="4">
        <f>IF(OR($B364="",K364=""),"",--(K364=$B364))</f>
        <v/>
      </c>
      <c r="AR364" s="4">
        <f>IF(OR($B364="",K364=""),"",IF($B364=1,--(K364=1),""))</f>
        <v/>
      </c>
      <c r="AS364" s="4">
        <f>IF(OR($B364="",K364=""),"",IF($B364=0,--(K364=0),""))</f>
        <v/>
      </c>
      <c r="AT364" s="4">
        <f>IF(K364="","",--(K364=1))</f>
        <v/>
      </c>
      <c r="AU364" s="4">
        <f>IF(OR($B364="",L364=""),"",--(L364=$B364))</f>
        <v/>
      </c>
      <c r="AV364" s="4">
        <f>IF(OR($B364="",L364=""),"",IF($B364=1,--(L364=1),""))</f>
        <v/>
      </c>
      <c r="AW364" s="4">
        <f>IF(OR($B364="",L364=""),"",IF($B364=0,--(L364=0),""))</f>
        <v/>
      </c>
      <c r="AX364" s="4">
        <f>IF(L364="","",--(L364=1))</f>
        <v/>
      </c>
      <c r="AY364" s="4">
        <f>IF(OR($B364="",M364=""),"",--(M364=$B364))</f>
        <v/>
      </c>
      <c r="AZ364" s="4">
        <f>IF(OR($B364="",M364=""),"",IF($B364=1,--(M364=1),""))</f>
        <v/>
      </c>
      <c r="BA364" s="4">
        <f>IF(OR($B364="",M364=""),"",IF($B364=0,--(M364=0),""))</f>
        <v/>
      </c>
      <c r="BB364" s="4">
        <f>IF(M364="","",--(M364=1))</f>
        <v/>
      </c>
      <c r="BC364" s="4">
        <f>IF(OR($B364="",N364=""),"",--(N364=$B364))</f>
        <v/>
      </c>
      <c r="BD364" s="4">
        <f>IF(OR($B364="",N364=""),"",IF($B364=1,--(N364=1),""))</f>
        <v/>
      </c>
      <c r="BE364" s="4">
        <f>IF(OR($B364="",N364=""),"",IF($B364=0,--(N364=0),""))</f>
        <v/>
      </c>
      <c r="BF364" s="4">
        <f>IF(N364="","",--(N364=1))</f>
        <v/>
      </c>
    </row>
    <row r="365">
      <c r="A365" s="3" t="inlineStr">
        <is>
          <t>202165653</t>
        </is>
      </c>
      <c r="B365" s="3" t="inlineStr">
        <is>
          <t>1</t>
        </is>
      </c>
      <c r="C365" s="3" t="inlineStr">
        <is>
          <t>Direct</t>
        </is>
      </c>
      <c r="D365" s="3" t="inlineStr">
        <is>
          <t>1</t>
        </is>
      </c>
      <c r="E365" s="3" t="inlineStr">
        <is>
          <t>1</t>
        </is>
      </c>
      <c r="F365" s="3" t="inlineStr">
        <is>
          <t>1</t>
        </is>
      </c>
      <c r="G365" s="3" t="inlineStr">
        <is>
          <t>1</t>
        </is>
      </c>
      <c r="H365" s="3" t="inlineStr">
        <is>
          <t>1</t>
        </is>
      </c>
      <c r="I365" s="3" t="inlineStr">
        <is>
          <t>1</t>
        </is>
      </c>
      <c r="J365" s="3" t="inlineStr">
        <is>
          <t>1</t>
        </is>
      </c>
      <c r="K365" s="3" t="inlineStr">
        <is>
          <t>1</t>
        </is>
      </c>
      <c r="L365" s="3" t="inlineStr">
        <is>
          <t>1</t>
        </is>
      </c>
      <c r="M365" s="3" t="inlineStr">
        <is>
          <t>1</t>
        </is>
      </c>
      <c r="N365" s="3" t="inlineStr">
        <is>
          <t>1</t>
        </is>
      </c>
      <c r="O365" s="4">
        <f>IF(OR($B365="",D365=""),"",--(D365=$B365))</f>
        <v/>
      </c>
      <c r="P365" s="4">
        <f>IF(OR($B365="",D365=""),"",IF($B365=1,--(D365=1),""))</f>
        <v/>
      </c>
      <c r="Q365" s="4">
        <f>IF(OR($B365="",D365=""),"",IF($B365=0,--(D365=0),""))</f>
        <v/>
      </c>
      <c r="R365" s="4">
        <f>IF(D365="","",--(D365=1))</f>
        <v/>
      </c>
      <c r="S365" s="4">
        <f>IF(OR($B365="",E365=""),"",--(E365=$B365))</f>
        <v/>
      </c>
      <c r="T365" s="4">
        <f>IF(OR($B365="",E365=""),"",IF($B365=1,--(E365=1),""))</f>
        <v/>
      </c>
      <c r="U365" s="4">
        <f>IF(OR($B365="",E365=""),"",IF($B365=0,--(E365=0),""))</f>
        <v/>
      </c>
      <c r="V365" s="4">
        <f>IF(E365="","",--(E365=1))</f>
        <v/>
      </c>
      <c r="W365" s="4">
        <f>IF(OR($B365="",F365=""),"",--(F365=$B365))</f>
        <v/>
      </c>
      <c r="X365" s="4">
        <f>IF(OR($B365="",F365=""),"",IF($B365=1,--(F365=1),""))</f>
        <v/>
      </c>
      <c r="Y365" s="4">
        <f>IF(OR($B365="",F365=""),"",IF($B365=0,--(F365=0),""))</f>
        <v/>
      </c>
      <c r="Z365" s="4">
        <f>IF(F365="","",--(F365=1))</f>
        <v/>
      </c>
      <c r="AA365" s="4">
        <f>IF(OR($B365="",G365=""),"",--(G365=$B365))</f>
        <v/>
      </c>
      <c r="AB365" s="4">
        <f>IF(OR($B365="",G365=""),"",IF($B365=1,--(G365=1),""))</f>
        <v/>
      </c>
      <c r="AC365" s="4">
        <f>IF(OR($B365="",G365=""),"",IF($B365=0,--(G365=0),""))</f>
        <v/>
      </c>
      <c r="AD365" s="4">
        <f>IF(G365="","",--(G365=1))</f>
        <v/>
      </c>
      <c r="AE365" s="4">
        <f>IF(OR($B365="",H365=""),"",--(H365=$B365))</f>
        <v/>
      </c>
      <c r="AF365" s="4">
        <f>IF(OR($B365="",H365=""),"",IF($B365=1,--(H365=1),""))</f>
        <v/>
      </c>
      <c r="AG365" s="4">
        <f>IF(OR($B365="",H365=""),"",IF($B365=0,--(H365=0),""))</f>
        <v/>
      </c>
      <c r="AH365" s="4">
        <f>IF(H365="","",--(H365=1))</f>
        <v/>
      </c>
      <c r="AI365" s="4">
        <f>IF(OR($B365="",I365=""),"",--(I365=$B365))</f>
        <v/>
      </c>
      <c r="AJ365" s="4">
        <f>IF(OR($B365="",I365=""),"",IF($B365=1,--(I365=1),""))</f>
        <v/>
      </c>
      <c r="AK365" s="4">
        <f>IF(OR($B365="",I365=""),"",IF($B365=0,--(I365=0),""))</f>
        <v/>
      </c>
      <c r="AL365" s="4">
        <f>IF(I365="","",--(I365=1))</f>
        <v/>
      </c>
      <c r="AM365" s="4">
        <f>IF(OR($B365="",J365=""),"",--(J365=$B365))</f>
        <v/>
      </c>
      <c r="AN365" s="4">
        <f>IF(OR($B365="",J365=""),"",IF($B365=1,--(J365=1),""))</f>
        <v/>
      </c>
      <c r="AO365" s="4">
        <f>IF(OR($B365="",J365=""),"",IF($B365=0,--(J365=0),""))</f>
        <v/>
      </c>
      <c r="AP365" s="4">
        <f>IF(J365="","",--(J365=1))</f>
        <v/>
      </c>
      <c r="AQ365" s="4">
        <f>IF(OR($B365="",K365=""),"",--(K365=$B365))</f>
        <v/>
      </c>
      <c r="AR365" s="4">
        <f>IF(OR($B365="",K365=""),"",IF($B365=1,--(K365=1),""))</f>
        <v/>
      </c>
      <c r="AS365" s="4">
        <f>IF(OR($B365="",K365=""),"",IF($B365=0,--(K365=0),""))</f>
        <v/>
      </c>
      <c r="AT365" s="4">
        <f>IF(K365="","",--(K365=1))</f>
        <v/>
      </c>
      <c r="AU365" s="4">
        <f>IF(OR($B365="",L365=""),"",--(L365=$B365))</f>
        <v/>
      </c>
      <c r="AV365" s="4">
        <f>IF(OR($B365="",L365=""),"",IF($B365=1,--(L365=1),""))</f>
        <v/>
      </c>
      <c r="AW365" s="4">
        <f>IF(OR($B365="",L365=""),"",IF($B365=0,--(L365=0),""))</f>
        <v/>
      </c>
      <c r="AX365" s="4">
        <f>IF(L365="","",--(L365=1))</f>
        <v/>
      </c>
      <c r="AY365" s="4">
        <f>IF(OR($B365="",M365=""),"",--(M365=$B365))</f>
        <v/>
      </c>
      <c r="AZ365" s="4">
        <f>IF(OR($B365="",M365=""),"",IF($B365=1,--(M365=1),""))</f>
        <v/>
      </c>
      <c r="BA365" s="4">
        <f>IF(OR($B365="",M365=""),"",IF($B365=0,--(M365=0),""))</f>
        <v/>
      </c>
      <c r="BB365" s="4">
        <f>IF(M365="","",--(M365=1))</f>
        <v/>
      </c>
      <c r="BC365" s="4">
        <f>IF(OR($B365="",N365=""),"",--(N365=$B365))</f>
        <v/>
      </c>
      <c r="BD365" s="4">
        <f>IF(OR($B365="",N365=""),"",IF($B365=1,--(N365=1),""))</f>
        <v/>
      </c>
      <c r="BE365" s="4">
        <f>IF(OR($B365="",N365=""),"",IF($B365=0,--(N365=0),""))</f>
        <v/>
      </c>
      <c r="BF365" s="4">
        <f>IF(N365="","",--(N365=1))</f>
        <v/>
      </c>
    </row>
    <row r="366">
      <c r="A366" s="3" t="inlineStr">
        <is>
          <t>202165788</t>
        </is>
      </c>
      <c r="B366" s="3" t="inlineStr">
        <is>
          <t>0</t>
        </is>
      </c>
      <c r="C366" s="3" t="inlineStr">
        <is>
          <t>Direct</t>
        </is>
      </c>
      <c r="D366" s="3" t="inlineStr">
        <is>
          <t>1</t>
        </is>
      </c>
      <c r="E366" s="3" t="inlineStr">
        <is>
          <t>1</t>
        </is>
      </c>
      <c r="F366" s="3" t="inlineStr">
        <is>
          <t>0</t>
        </is>
      </c>
      <c r="G366" s="3" t="inlineStr">
        <is>
          <t>1</t>
        </is>
      </c>
      <c r="H366" s="3" t="inlineStr">
        <is>
          <t>1</t>
        </is>
      </c>
      <c r="I366" s="3" t="inlineStr">
        <is>
          <t>0</t>
        </is>
      </c>
      <c r="J366" s="3" t="inlineStr">
        <is>
          <t>1</t>
        </is>
      </c>
      <c r="K366" s="3" t="inlineStr">
        <is>
          <t>1</t>
        </is>
      </c>
      <c r="L366" s="3" t="inlineStr">
        <is>
          <t>0</t>
        </is>
      </c>
      <c r="M366" s="3" t="inlineStr">
        <is>
          <t>1</t>
        </is>
      </c>
      <c r="N366" s="3" t="inlineStr">
        <is>
          <t>0</t>
        </is>
      </c>
      <c r="O366" s="4">
        <f>IF(OR($B366="",D366=""),"",--(D366=$B366))</f>
        <v/>
      </c>
      <c r="P366" s="4">
        <f>IF(OR($B366="",D366=""),"",IF($B366=1,--(D366=1),""))</f>
        <v/>
      </c>
      <c r="Q366" s="4">
        <f>IF(OR($B366="",D366=""),"",IF($B366=0,--(D366=0),""))</f>
        <v/>
      </c>
      <c r="R366" s="4">
        <f>IF(D366="","",--(D366=1))</f>
        <v/>
      </c>
      <c r="S366" s="4">
        <f>IF(OR($B366="",E366=""),"",--(E366=$B366))</f>
        <v/>
      </c>
      <c r="T366" s="4">
        <f>IF(OR($B366="",E366=""),"",IF($B366=1,--(E366=1),""))</f>
        <v/>
      </c>
      <c r="U366" s="4">
        <f>IF(OR($B366="",E366=""),"",IF($B366=0,--(E366=0),""))</f>
        <v/>
      </c>
      <c r="V366" s="4">
        <f>IF(E366="","",--(E366=1))</f>
        <v/>
      </c>
      <c r="W366" s="4">
        <f>IF(OR($B366="",F366=""),"",--(F366=$B366))</f>
        <v/>
      </c>
      <c r="X366" s="4">
        <f>IF(OR($B366="",F366=""),"",IF($B366=1,--(F366=1),""))</f>
        <v/>
      </c>
      <c r="Y366" s="4">
        <f>IF(OR($B366="",F366=""),"",IF($B366=0,--(F366=0),""))</f>
        <v/>
      </c>
      <c r="Z366" s="4">
        <f>IF(F366="","",--(F366=1))</f>
        <v/>
      </c>
      <c r="AA366" s="4">
        <f>IF(OR($B366="",G366=""),"",--(G366=$B366))</f>
        <v/>
      </c>
      <c r="AB366" s="4">
        <f>IF(OR($B366="",G366=""),"",IF($B366=1,--(G366=1),""))</f>
        <v/>
      </c>
      <c r="AC366" s="4">
        <f>IF(OR($B366="",G366=""),"",IF($B366=0,--(G366=0),""))</f>
        <v/>
      </c>
      <c r="AD366" s="4">
        <f>IF(G366="","",--(G366=1))</f>
        <v/>
      </c>
      <c r="AE366" s="4">
        <f>IF(OR($B366="",H366=""),"",--(H366=$B366))</f>
        <v/>
      </c>
      <c r="AF366" s="4">
        <f>IF(OR($B366="",H366=""),"",IF($B366=1,--(H366=1),""))</f>
        <v/>
      </c>
      <c r="AG366" s="4">
        <f>IF(OR($B366="",H366=""),"",IF($B366=0,--(H366=0),""))</f>
        <v/>
      </c>
      <c r="AH366" s="4">
        <f>IF(H366="","",--(H366=1))</f>
        <v/>
      </c>
      <c r="AI366" s="4">
        <f>IF(OR($B366="",I366=""),"",--(I366=$B366))</f>
        <v/>
      </c>
      <c r="AJ366" s="4">
        <f>IF(OR($B366="",I366=""),"",IF($B366=1,--(I366=1),""))</f>
        <v/>
      </c>
      <c r="AK366" s="4">
        <f>IF(OR($B366="",I366=""),"",IF($B366=0,--(I366=0),""))</f>
        <v/>
      </c>
      <c r="AL366" s="4">
        <f>IF(I366="","",--(I366=1))</f>
        <v/>
      </c>
      <c r="AM366" s="4">
        <f>IF(OR($B366="",J366=""),"",--(J366=$B366))</f>
        <v/>
      </c>
      <c r="AN366" s="4">
        <f>IF(OR($B366="",J366=""),"",IF($B366=1,--(J366=1),""))</f>
        <v/>
      </c>
      <c r="AO366" s="4">
        <f>IF(OR($B366="",J366=""),"",IF($B366=0,--(J366=0),""))</f>
        <v/>
      </c>
      <c r="AP366" s="4">
        <f>IF(J366="","",--(J366=1))</f>
        <v/>
      </c>
      <c r="AQ366" s="4">
        <f>IF(OR($B366="",K366=""),"",--(K366=$B366))</f>
        <v/>
      </c>
      <c r="AR366" s="4">
        <f>IF(OR($B366="",K366=""),"",IF($B366=1,--(K366=1),""))</f>
        <v/>
      </c>
      <c r="AS366" s="4">
        <f>IF(OR($B366="",K366=""),"",IF($B366=0,--(K366=0),""))</f>
        <v/>
      </c>
      <c r="AT366" s="4">
        <f>IF(K366="","",--(K366=1))</f>
        <v/>
      </c>
      <c r="AU366" s="4">
        <f>IF(OR($B366="",L366=""),"",--(L366=$B366))</f>
        <v/>
      </c>
      <c r="AV366" s="4">
        <f>IF(OR($B366="",L366=""),"",IF($B366=1,--(L366=1),""))</f>
        <v/>
      </c>
      <c r="AW366" s="4">
        <f>IF(OR($B366="",L366=""),"",IF($B366=0,--(L366=0),""))</f>
        <v/>
      </c>
      <c r="AX366" s="4">
        <f>IF(L366="","",--(L366=1))</f>
        <v/>
      </c>
      <c r="AY366" s="4">
        <f>IF(OR($B366="",M366=""),"",--(M366=$B366))</f>
        <v/>
      </c>
      <c r="AZ366" s="4">
        <f>IF(OR($B366="",M366=""),"",IF($B366=1,--(M366=1),""))</f>
        <v/>
      </c>
      <c r="BA366" s="4">
        <f>IF(OR($B366="",M366=""),"",IF($B366=0,--(M366=0),""))</f>
        <v/>
      </c>
      <c r="BB366" s="4">
        <f>IF(M366="","",--(M366=1))</f>
        <v/>
      </c>
      <c r="BC366" s="4">
        <f>IF(OR($B366="",N366=""),"",--(N366=$B366))</f>
        <v/>
      </c>
      <c r="BD366" s="4">
        <f>IF(OR($B366="",N366=""),"",IF($B366=1,--(N366=1),""))</f>
        <v/>
      </c>
      <c r="BE366" s="4">
        <f>IF(OR($B366="",N366=""),"",IF($B366=0,--(N366=0),""))</f>
        <v/>
      </c>
      <c r="BF366" s="4">
        <f>IF(N366="","",--(N366=1))</f>
        <v/>
      </c>
    </row>
    <row r="367">
      <c r="A367" s="3" t="inlineStr">
        <is>
          <t>20218215</t>
        </is>
      </c>
      <c r="B367" s="3" t="inlineStr">
        <is>
          <t>1</t>
        </is>
      </c>
      <c r="C367" s="3" t="inlineStr">
        <is>
          <t>Direct</t>
        </is>
      </c>
      <c r="D367" s="3" t="inlineStr">
        <is>
          <t>0</t>
        </is>
      </c>
      <c r="E367" s="3" t="inlineStr">
        <is>
          <t>0</t>
        </is>
      </c>
      <c r="F367" s="3" t="inlineStr">
        <is>
          <t>0</t>
        </is>
      </c>
      <c r="G367" s="3" t="inlineStr">
        <is>
          <t>0</t>
        </is>
      </c>
      <c r="H367" s="3" t="inlineStr">
        <is>
          <t>0</t>
        </is>
      </c>
      <c r="I367" s="3" t="inlineStr">
        <is>
          <t>0</t>
        </is>
      </c>
      <c r="J367" s="3" t="inlineStr">
        <is>
          <t>0</t>
        </is>
      </c>
      <c r="K367" s="3" t="inlineStr">
        <is>
          <t>0</t>
        </is>
      </c>
      <c r="L367" s="3" t="inlineStr">
        <is>
          <t>0</t>
        </is>
      </c>
      <c r="M367" s="3" t="inlineStr">
        <is>
          <t>0</t>
        </is>
      </c>
      <c r="N367" s="3" t="inlineStr">
        <is>
          <t>1</t>
        </is>
      </c>
      <c r="O367" s="4">
        <f>IF(OR($B367="",D367=""),"",--(D367=$B367))</f>
        <v/>
      </c>
      <c r="P367" s="4">
        <f>IF(OR($B367="",D367=""),"",IF($B367=1,--(D367=1),""))</f>
        <v/>
      </c>
      <c r="Q367" s="4">
        <f>IF(OR($B367="",D367=""),"",IF($B367=0,--(D367=0),""))</f>
        <v/>
      </c>
      <c r="R367" s="4">
        <f>IF(D367="","",--(D367=1))</f>
        <v/>
      </c>
      <c r="S367" s="4">
        <f>IF(OR($B367="",E367=""),"",--(E367=$B367))</f>
        <v/>
      </c>
      <c r="T367" s="4">
        <f>IF(OR($B367="",E367=""),"",IF($B367=1,--(E367=1),""))</f>
        <v/>
      </c>
      <c r="U367" s="4">
        <f>IF(OR($B367="",E367=""),"",IF($B367=0,--(E367=0),""))</f>
        <v/>
      </c>
      <c r="V367" s="4">
        <f>IF(E367="","",--(E367=1))</f>
        <v/>
      </c>
      <c r="W367" s="4">
        <f>IF(OR($B367="",F367=""),"",--(F367=$B367))</f>
        <v/>
      </c>
      <c r="X367" s="4">
        <f>IF(OR($B367="",F367=""),"",IF($B367=1,--(F367=1),""))</f>
        <v/>
      </c>
      <c r="Y367" s="4">
        <f>IF(OR($B367="",F367=""),"",IF($B367=0,--(F367=0),""))</f>
        <v/>
      </c>
      <c r="Z367" s="4">
        <f>IF(F367="","",--(F367=1))</f>
        <v/>
      </c>
      <c r="AA367" s="4">
        <f>IF(OR($B367="",G367=""),"",--(G367=$B367))</f>
        <v/>
      </c>
      <c r="AB367" s="4">
        <f>IF(OR($B367="",G367=""),"",IF($B367=1,--(G367=1),""))</f>
        <v/>
      </c>
      <c r="AC367" s="4">
        <f>IF(OR($B367="",G367=""),"",IF($B367=0,--(G367=0),""))</f>
        <v/>
      </c>
      <c r="AD367" s="4">
        <f>IF(G367="","",--(G367=1))</f>
        <v/>
      </c>
      <c r="AE367" s="4">
        <f>IF(OR($B367="",H367=""),"",--(H367=$B367))</f>
        <v/>
      </c>
      <c r="AF367" s="4">
        <f>IF(OR($B367="",H367=""),"",IF($B367=1,--(H367=1),""))</f>
        <v/>
      </c>
      <c r="AG367" s="4">
        <f>IF(OR($B367="",H367=""),"",IF($B367=0,--(H367=0),""))</f>
        <v/>
      </c>
      <c r="AH367" s="4">
        <f>IF(H367="","",--(H367=1))</f>
        <v/>
      </c>
      <c r="AI367" s="4">
        <f>IF(OR($B367="",I367=""),"",--(I367=$B367))</f>
        <v/>
      </c>
      <c r="AJ367" s="4">
        <f>IF(OR($B367="",I367=""),"",IF($B367=1,--(I367=1),""))</f>
        <v/>
      </c>
      <c r="AK367" s="4">
        <f>IF(OR($B367="",I367=""),"",IF($B367=0,--(I367=0),""))</f>
        <v/>
      </c>
      <c r="AL367" s="4">
        <f>IF(I367="","",--(I367=1))</f>
        <v/>
      </c>
      <c r="AM367" s="4">
        <f>IF(OR($B367="",J367=""),"",--(J367=$B367))</f>
        <v/>
      </c>
      <c r="AN367" s="4">
        <f>IF(OR($B367="",J367=""),"",IF($B367=1,--(J367=1),""))</f>
        <v/>
      </c>
      <c r="AO367" s="4">
        <f>IF(OR($B367="",J367=""),"",IF($B367=0,--(J367=0),""))</f>
        <v/>
      </c>
      <c r="AP367" s="4">
        <f>IF(J367="","",--(J367=1))</f>
        <v/>
      </c>
      <c r="AQ367" s="4">
        <f>IF(OR($B367="",K367=""),"",--(K367=$B367))</f>
        <v/>
      </c>
      <c r="AR367" s="4">
        <f>IF(OR($B367="",K367=""),"",IF($B367=1,--(K367=1),""))</f>
        <v/>
      </c>
      <c r="AS367" s="4">
        <f>IF(OR($B367="",K367=""),"",IF($B367=0,--(K367=0),""))</f>
        <v/>
      </c>
      <c r="AT367" s="4">
        <f>IF(K367="","",--(K367=1))</f>
        <v/>
      </c>
      <c r="AU367" s="4">
        <f>IF(OR($B367="",L367=""),"",--(L367=$B367))</f>
        <v/>
      </c>
      <c r="AV367" s="4">
        <f>IF(OR($B367="",L367=""),"",IF($B367=1,--(L367=1),""))</f>
        <v/>
      </c>
      <c r="AW367" s="4">
        <f>IF(OR($B367="",L367=""),"",IF($B367=0,--(L367=0),""))</f>
        <v/>
      </c>
      <c r="AX367" s="4">
        <f>IF(L367="","",--(L367=1))</f>
        <v/>
      </c>
      <c r="AY367" s="4">
        <f>IF(OR($B367="",M367=""),"",--(M367=$B367))</f>
        <v/>
      </c>
      <c r="AZ367" s="4">
        <f>IF(OR($B367="",M367=""),"",IF($B367=1,--(M367=1),""))</f>
        <v/>
      </c>
      <c r="BA367" s="4">
        <f>IF(OR($B367="",M367=""),"",IF($B367=0,--(M367=0),""))</f>
        <v/>
      </c>
      <c r="BB367" s="4">
        <f>IF(M367="","",--(M367=1))</f>
        <v/>
      </c>
      <c r="BC367" s="4">
        <f>IF(OR($B367="",N367=""),"",--(N367=$B367))</f>
        <v/>
      </c>
      <c r="BD367" s="4">
        <f>IF(OR($B367="",N367=""),"",IF($B367=1,--(N367=1),""))</f>
        <v/>
      </c>
      <c r="BE367" s="4">
        <f>IF(OR($B367="",N367=""),"",IF($B367=0,--(N367=0),""))</f>
        <v/>
      </c>
      <c r="BF367" s="4">
        <f>IF(N367="","",--(N367=1))</f>
        <v/>
      </c>
    </row>
    <row r="368">
      <c r="A368" s="3" t="inlineStr">
        <is>
          <t>2021842</t>
        </is>
      </c>
      <c r="B368" s="3" t="inlineStr">
        <is>
          <t>1</t>
        </is>
      </c>
      <c r="C368" s="3" t="inlineStr">
        <is>
          <t>Direct</t>
        </is>
      </c>
      <c r="D368" s="3" t="inlineStr">
        <is>
          <t>1</t>
        </is>
      </c>
      <c r="E368" s="3" t="inlineStr">
        <is>
          <t>1</t>
        </is>
      </c>
      <c r="F368" s="3" t="inlineStr">
        <is>
          <t>1</t>
        </is>
      </c>
      <c r="G368" s="3" t="inlineStr">
        <is>
          <t>0</t>
        </is>
      </c>
      <c r="H368" s="3" t="inlineStr">
        <is>
          <t>1</t>
        </is>
      </c>
      <c r="I368" s="3" t="inlineStr">
        <is>
          <t>1</t>
        </is>
      </c>
      <c r="J368" s="3" t="inlineStr">
        <is>
          <t>1</t>
        </is>
      </c>
      <c r="K368" s="3" t="inlineStr">
        <is>
          <t>1</t>
        </is>
      </c>
      <c r="L368" s="3" t="inlineStr">
        <is>
          <t>1</t>
        </is>
      </c>
      <c r="M368" s="3" t="inlineStr">
        <is>
          <t>1</t>
        </is>
      </c>
      <c r="N368" s="3" t="inlineStr">
        <is>
          <t>1</t>
        </is>
      </c>
      <c r="O368" s="4">
        <f>IF(OR($B368="",D368=""),"",--(D368=$B368))</f>
        <v/>
      </c>
      <c r="P368" s="4">
        <f>IF(OR($B368="",D368=""),"",IF($B368=1,--(D368=1),""))</f>
        <v/>
      </c>
      <c r="Q368" s="4">
        <f>IF(OR($B368="",D368=""),"",IF($B368=0,--(D368=0),""))</f>
        <v/>
      </c>
      <c r="R368" s="4">
        <f>IF(D368="","",--(D368=1))</f>
        <v/>
      </c>
      <c r="S368" s="4">
        <f>IF(OR($B368="",E368=""),"",--(E368=$B368))</f>
        <v/>
      </c>
      <c r="T368" s="4">
        <f>IF(OR($B368="",E368=""),"",IF($B368=1,--(E368=1),""))</f>
        <v/>
      </c>
      <c r="U368" s="4">
        <f>IF(OR($B368="",E368=""),"",IF($B368=0,--(E368=0),""))</f>
        <v/>
      </c>
      <c r="V368" s="4">
        <f>IF(E368="","",--(E368=1))</f>
        <v/>
      </c>
      <c r="W368" s="4">
        <f>IF(OR($B368="",F368=""),"",--(F368=$B368))</f>
        <v/>
      </c>
      <c r="X368" s="4">
        <f>IF(OR($B368="",F368=""),"",IF($B368=1,--(F368=1),""))</f>
        <v/>
      </c>
      <c r="Y368" s="4">
        <f>IF(OR($B368="",F368=""),"",IF($B368=0,--(F368=0),""))</f>
        <v/>
      </c>
      <c r="Z368" s="4">
        <f>IF(F368="","",--(F368=1))</f>
        <v/>
      </c>
      <c r="AA368" s="4">
        <f>IF(OR($B368="",G368=""),"",--(G368=$B368))</f>
        <v/>
      </c>
      <c r="AB368" s="4">
        <f>IF(OR($B368="",G368=""),"",IF($B368=1,--(G368=1),""))</f>
        <v/>
      </c>
      <c r="AC368" s="4">
        <f>IF(OR($B368="",G368=""),"",IF($B368=0,--(G368=0),""))</f>
        <v/>
      </c>
      <c r="AD368" s="4">
        <f>IF(G368="","",--(G368=1))</f>
        <v/>
      </c>
      <c r="AE368" s="4">
        <f>IF(OR($B368="",H368=""),"",--(H368=$B368))</f>
        <v/>
      </c>
      <c r="AF368" s="4">
        <f>IF(OR($B368="",H368=""),"",IF($B368=1,--(H368=1),""))</f>
        <v/>
      </c>
      <c r="AG368" s="4">
        <f>IF(OR($B368="",H368=""),"",IF($B368=0,--(H368=0),""))</f>
        <v/>
      </c>
      <c r="AH368" s="4">
        <f>IF(H368="","",--(H368=1))</f>
        <v/>
      </c>
      <c r="AI368" s="4">
        <f>IF(OR($B368="",I368=""),"",--(I368=$B368))</f>
        <v/>
      </c>
      <c r="AJ368" s="4">
        <f>IF(OR($B368="",I368=""),"",IF($B368=1,--(I368=1),""))</f>
        <v/>
      </c>
      <c r="AK368" s="4">
        <f>IF(OR($B368="",I368=""),"",IF($B368=0,--(I368=0),""))</f>
        <v/>
      </c>
      <c r="AL368" s="4">
        <f>IF(I368="","",--(I368=1))</f>
        <v/>
      </c>
      <c r="AM368" s="4">
        <f>IF(OR($B368="",J368=""),"",--(J368=$B368))</f>
        <v/>
      </c>
      <c r="AN368" s="4">
        <f>IF(OR($B368="",J368=""),"",IF($B368=1,--(J368=1),""))</f>
        <v/>
      </c>
      <c r="AO368" s="4">
        <f>IF(OR($B368="",J368=""),"",IF($B368=0,--(J368=0),""))</f>
        <v/>
      </c>
      <c r="AP368" s="4">
        <f>IF(J368="","",--(J368=1))</f>
        <v/>
      </c>
      <c r="AQ368" s="4">
        <f>IF(OR($B368="",K368=""),"",--(K368=$B368))</f>
        <v/>
      </c>
      <c r="AR368" s="4">
        <f>IF(OR($B368="",K368=""),"",IF($B368=1,--(K368=1),""))</f>
        <v/>
      </c>
      <c r="AS368" s="4">
        <f>IF(OR($B368="",K368=""),"",IF($B368=0,--(K368=0),""))</f>
        <v/>
      </c>
      <c r="AT368" s="4">
        <f>IF(K368="","",--(K368=1))</f>
        <v/>
      </c>
      <c r="AU368" s="4">
        <f>IF(OR($B368="",L368=""),"",--(L368=$B368))</f>
        <v/>
      </c>
      <c r="AV368" s="4">
        <f>IF(OR($B368="",L368=""),"",IF($B368=1,--(L368=1),""))</f>
        <v/>
      </c>
      <c r="AW368" s="4">
        <f>IF(OR($B368="",L368=""),"",IF($B368=0,--(L368=0),""))</f>
        <v/>
      </c>
      <c r="AX368" s="4">
        <f>IF(L368="","",--(L368=1))</f>
        <v/>
      </c>
      <c r="AY368" s="4">
        <f>IF(OR($B368="",M368=""),"",--(M368=$B368))</f>
        <v/>
      </c>
      <c r="AZ368" s="4">
        <f>IF(OR($B368="",M368=""),"",IF($B368=1,--(M368=1),""))</f>
        <v/>
      </c>
      <c r="BA368" s="4">
        <f>IF(OR($B368="",M368=""),"",IF($B368=0,--(M368=0),""))</f>
        <v/>
      </c>
      <c r="BB368" s="4">
        <f>IF(M368="","",--(M368=1))</f>
        <v/>
      </c>
      <c r="BC368" s="4">
        <f>IF(OR($B368="",N368=""),"",--(N368=$B368))</f>
        <v/>
      </c>
      <c r="BD368" s="4">
        <f>IF(OR($B368="",N368=""),"",IF($B368=1,--(N368=1),""))</f>
        <v/>
      </c>
      <c r="BE368" s="4">
        <f>IF(OR($B368="",N368=""),"",IF($B368=0,--(N368=0),""))</f>
        <v/>
      </c>
      <c r="BF368" s="4">
        <f>IF(N368="","",--(N368=1))</f>
        <v/>
      </c>
    </row>
    <row r="369">
      <c r="A369" s="3" t="inlineStr">
        <is>
          <t>20218434</t>
        </is>
      </c>
      <c r="B369" s="3" t="inlineStr">
        <is>
          <t>1</t>
        </is>
      </c>
      <c r="C369" s="3" t="inlineStr">
        <is>
          <t>Direct</t>
        </is>
      </c>
      <c r="D369" s="3" t="inlineStr">
        <is>
          <t>1</t>
        </is>
      </c>
      <c r="E369" s="3" t="inlineStr">
        <is>
          <t>1</t>
        </is>
      </c>
      <c r="F369" s="3" t="inlineStr">
        <is>
          <t>0</t>
        </is>
      </c>
      <c r="G369" s="3" t="inlineStr">
        <is>
          <t>0</t>
        </is>
      </c>
      <c r="H369" s="3" t="inlineStr">
        <is>
          <t>1</t>
        </is>
      </c>
      <c r="I369" s="3" t="inlineStr">
        <is>
          <t>0</t>
        </is>
      </c>
      <c r="J369" s="3" t="inlineStr">
        <is>
          <t>1</t>
        </is>
      </c>
      <c r="K369" s="3" t="inlineStr">
        <is>
          <t>0</t>
        </is>
      </c>
      <c r="L369" s="3" t="inlineStr">
        <is>
          <t>1</t>
        </is>
      </c>
      <c r="M369" s="3" t="inlineStr">
        <is>
          <t>1</t>
        </is>
      </c>
      <c r="N369" s="3" t="inlineStr">
        <is>
          <t>1</t>
        </is>
      </c>
      <c r="O369" s="4">
        <f>IF(OR($B369="",D369=""),"",--(D369=$B369))</f>
        <v/>
      </c>
      <c r="P369" s="4">
        <f>IF(OR($B369="",D369=""),"",IF($B369=1,--(D369=1),""))</f>
        <v/>
      </c>
      <c r="Q369" s="4">
        <f>IF(OR($B369="",D369=""),"",IF($B369=0,--(D369=0),""))</f>
        <v/>
      </c>
      <c r="R369" s="4">
        <f>IF(D369="","",--(D369=1))</f>
        <v/>
      </c>
      <c r="S369" s="4">
        <f>IF(OR($B369="",E369=""),"",--(E369=$B369))</f>
        <v/>
      </c>
      <c r="T369" s="4">
        <f>IF(OR($B369="",E369=""),"",IF($B369=1,--(E369=1),""))</f>
        <v/>
      </c>
      <c r="U369" s="4">
        <f>IF(OR($B369="",E369=""),"",IF($B369=0,--(E369=0),""))</f>
        <v/>
      </c>
      <c r="V369" s="4">
        <f>IF(E369="","",--(E369=1))</f>
        <v/>
      </c>
      <c r="W369" s="4">
        <f>IF(OR($B369="",F369=""),"",--(F369=$B369))</f>
        <v/>
      </c>
      <c r="X369" s="4">
        <f>IF(OR($B369="",F369=""),"",IF($B369=1,--(F369=1),""))</f>
        <v/>
      </c>
      <c r="Y369" s="4">
        <f>IF(OR($B369="",F369=""),"",IF($B369=0,--(F369=0),""))</f>
        <v/>
      </c>
      <c r="Z369" s="4">
        <f>IF(F369="","",--(F369=1))</f>
        <v/>
      </c>
      <c r="AA369" s="4">
        <f>IF(OR($B369="",G369=""),"",--(G369=$B369))</f>
        <v/>
      </c>
      <c r="AB369" s="4">
        <f>IF(OR($B369="",G369=""),"",IF($B369=1,--(G369=1),""))</f>
        <v/>
      </c>
      <c r="AC369" s="4">
        <f>IF(OR($B369="",G369=""),"",IF($B369=0,--(G369=0),""))</f>
        <v/>
      </c>
      <c r="AD369" s="4">
        <f>IF(G369="","",--(G369=1))</f>
        <v/>
      </c>
      <c r="AE369" s="4">
        <f>IF(OR($B369="",H369=""),"",--(H369=$B369))</f>
        <v/>
      </c>
      <c r="AF369" s="4">
        <f>IF(OR($B369="",H369=""),"",IF($B369=1,--(H369=1),""))</f>
        <v/>
      </c>
      <c r="AG369" s="4">
        <f>IF(OR($B369="",H369=""),"",IF($B369=0,--(H369=0),""))</f>
        <v/>
      </c>
      <c r="AH369" s="4">
        <f>IF(H369="","",--(H369=1))</f>
        <v/>
      </c>
      <c r="AI369" s="4">
        <f>IF(OR($B369="",I369=""),"",--(I369=$B369))</f>
        <v/>
      </c>
      <c r="AJ369" s="4">
        <f>IF(OR($B369="",I369=""),"",IF($B369=1,--(I369=1),""))</f>
        <v/>
      </c>
      <c r="AK369" s="4">
        <f>IF(OR($B369="",I369=""),"",IF($B369=0,--(I369=0),""))</f>
        <v/>
      </c>
      <c r="AL369" s="4">
        <f>IF(I369="","",--(I369=1))</f>
        <v/>
      </c>
      <c r="AM369" s="4">
        <f>IF(OR($B369="",J369=""),"",--(J369=$B369))</f>
        <v/>
      </c>
      <c r="AN369" s="4">
        <f>IF(OR($B369="",J369=""),"",IF($B369=1,--(J369=1),""))</f>
        <v/>
      </c>
      <c r="AO369" s="4">
        <f>IF(OR($B369="",J369=""),"",IF($B369=0,--(J369=0),""))</f>
        <v/>
      </c>
      <c r="AP369" s="4">
        <f>IF(J369="","",--(J369=1))</f>
        <v/>
      </c>
      <c r="AQ369" s="4">
        <f>IF(OR($B369="",K369=""),"",--(K369=$B369))</f>
        <v/>
      </c>
      <c r="AR369" s="4">
        <f>IF(OR($B369="",K369=""),"",IF($B369=1,--(K369=1),""))</f>
        <v/>
      </c>
      <c r="AS369" s="4">
        <f>IF(OR($B369="",K369=""),"",IF($B369=0,--(K369=0),""))</f>
        <v/>
      </c>
      <c r="AT369" s="4">
        <f>IF(K369="","",--(K369=1))</f>
        <v/>
      </c>
      <c r="AU369" s="4">
        <f>IF(OR($B369="",L369=""),"",--(L369=$B369))</f>
        <v/>
      </c>
      <c r="AV369" s="4">
        <f>IF(OR($B369="",L369=""),"",IF($B369=1,--(L369=1),""))</f>
        <v/>
      </c>
      <c r="AW369" s="4">
        <f>IF(OR($B369="",L369=""),"",IF($B369=0,--(L369=0),""))</f>
        <v/>
      </c>
      <c r="AX369" s="4">
        <f>IF(L369="","",--(L369=1))</f>
        <v/>
      </c>
      <c r="AY369" s="4">
        <f>IF(OR($B369="",M369=""),"",--(M369=$B369))</f>
        <v/>
      </c>
      <c r="AZ369" s="4">
        <f>IF(OR($B369="",M369=""),"",IF($B369=1,--(M369=1),""))</f>
        <v/>
      </c>
      <c r="BA369" s="4">
        <f>IF(OR($B369="",M369=""),"",IF($B369=0,--(M369=0),""))</f>
        <v/>
      </c>
      <c r="BB369" s="4">
        <f>IF(M369="","",--(M369=1))</f>
        <v/>
      </c>
      <c r="BC369" s="4">
        <f>IF(OR($B369="",N369=""),"",--(N369=$B369))</f>
        <v/>
      </c>
      <c r="BD369" s="4">
        <f>IF(OR($B369="",N369=""),"",IF($B369=1,--(N369=1),""))</f>
        <v/>
      </c>
      <c r="BE369" s="4">
        <f>IF(OR($B369="",N369=""),"",IF($B369=0,--(N369=0),""))</f>
        <v/>
      </c>
      <c r="BF369" s="4">
        <f>IF(N369="","",--(N369=1))</f>
        <v/>
      </c>
    </row>
    <row r="370">
      <c r="A370" s="3" t="inlineStr">
        <is>
          <t>2021850</t>
        </is>
      </c>
      <c r="B370" s="3" t="inlineStr">
        <is>
          <t>0</t>
        </is>
      </c>
      <c r="C370" s="3" t="inlineStr">
        <is>
          <t>Direct</t>
        </is>
      </c>
      <c r="D370" s="3" t="inlineStr">
        <is>
          <t>1</t>
        </is>
      </c>
      <c r="E370" s="3" t="inlineStr">
        <is>
          <t>0</t>
        </is>
      </c>
      <c r="F370" s="3" t="inlineStr">
        <is>
          <t>0</t>
        </is>
      </c>
      <c r="G370" s="3" t="inlineStr">
        <is>
          <t>1</t>
        </is>
      </c>
      <c r="H370" s="3" t="inlineStr">
        <is>
          <t>1</t>
        </is>
      </c>
      <c r="I370" s="3" t="inlineStr">
        <is>
          <t>1</t>
        </is>
      </c>
      <c r="J370" s="3" t="inlineStr">
        <is>
          <t>1</t>
        </is>
      </c>
      <c r="K370" s="3" t="inlineStr">
        <is>
          <t>0</t>
        </is>
      </c>
      <c r="L370" s="3" t="inlineStr">
        <is>
          <t>1</t>
        </is>
      </c>
      <c r="M370" s="3" t="inlineStr">
        <is>
          <t>1</t>
        </is>
      </c>
      <c r="N370" s="3" t="inlineStr">
        <is>
          <t>1</t>
        </is>
      </c>
      <c r="O370" s="4">
        <f>IF(OR($B370="",D370=""),"",--(D370=$B370))</f>
        <v/>
      </c>
      <c r="P370" s="4">
        <f>IF(OR($B370="",D370=""),"",IF($B370=1,--(D370=1),""))</f>
        <v/>
      </c>
      <c r="Q370" s="4">
        <f>IF(OR($B370="",D370=""),"",IF($B370=0,--(D370=0),""))</f>
        <v/>
      </c>
      <c r="R370" s="4">
        <f>IF(D370="","",--(D370=1))</f>
        <v/>
      </c>
      <c r="S370" s="4">
        <f>IF(OR($B370="",E370=""),"",--(E370=$B370))</f>
        <v/>
      </c>
      <c r="T370" s="4">
        <f>IF(OR($B370="",E370=""),"",IF($B370=1,--(E370=1),""))</f>
        <v/>
      </c>
      <c r="U370" s="4">
        <f>IF(OR($B370="",E370=""),"",IF($B370=0,--(E370=0),""))</f>
        <v/>
      </c>
      <c r="V370" s="4">
        <f>IF(E370="","",--(E370=1))</f>
        <v/>
      </c>
      <c r="W370" s="4">
        <f>IF(OR($B370="",F370=""),"",--(F370=$B370))</f>
        <v/>
      </c>
      <c r="X370" s="4">
        <f>IF(OR($B370="",F370=""),"",IF($B370=1,--(F370=1),""))</f>
        <v/>
      </c>
      <c r="Y370" s="4">
        <f>IF(OR($B370="",F370=""),"",IF($B370=0,--(F370=0),""))</f>
        <v/>
      </c>
      <c r="Z370" s="4">
        <f>IF(F370="","",--(F370=1))</f>
        <v/>
      </c>
      <c r="AA370" s="4">
        <f>IF(OR($B370="",G370=""),"",--(G370=$B370))</f>
        <v/>
      </c>
      <c r="AB370" s="4">
        <f>IF(OR($B370="",G370=""),"",IF($B370=1,--(G370=1),""))</f>
        <v/>
      </c>
      <c r="AC370" s="4">
        <f>IF(OR($B370="",G370=""),"",IF($B370=0,--(G370=0),""))</f>
        <v/>
      </c>
      <c r="AD370" s="4">
        <f>IF(G370="","",--(G370=1))</f>
        <v/>
      </c>
      <c r="AE370" s="4">
        <f>IF(OR($B370="",H370=""),"",--(H370=$B370))</f>
        <v/>
      </c>
      <c r="AF370" s="4">
        <f>IF(OR($B370="",H370=""),"",IF($B370=1,--(H370=1),""))</f>
        <v/>
      </c>
      <c r="AG370" s="4">
        <f>IF(OR($B370="",H370=""),"",IF($B370=0,--(H370=0),""))</f>
        <v/>
      </c>
      <c r="AH370" s="4">
        <f>IF(H370="","",--(H370=1))</f>
        <v/>
      </c>
      <c r="AI370" s="4">
        <f>IF(OR($B370="",I370=""),"",--(I370=$B370))</f>
        <v/>
      </c>
      <c r="AJ370" s="4">
        <f>IF(OR($B370="",I370=""),"",IF($B370=1,--(I370=1),""))</f>
        <v/>
      </c>
      <c r="AK370" s="4">
        <f>IF(OR($B370="",I370=""),"",IF($B370=0,--(I370=0),""))</f>
        <v/>
      </c>
      <c r="AL370" s="4">
        <f>IF(I370="","",--(I370=1))</f>
        <v/>
      </c>
      <c r="AM370" s="4">
        <f>IF(OR($B370="",J370=""),"",--(J370=$B370))</f>
        <v/>
      </c>
      <c r="AN370" s="4">
        <f>IF(OR($B370="",J370=""),"",IF($B370=1,--(J370=1),""))</f>
        <v/>
      </c>
      <c r="AO370" s="4">
        <f>IF(OR($B370="",J370=""),"",IF($B370=0,--(J370=0),""))</f>
        <v/>
      </c>
      <c r="AP370" s="4">
        <f>IF(J370="","",--(J370=1))</f>
        <v/>
      </c>
      <c r="AQ370" s="4">
        <f>IF(OR($B370="",K370=""),"",--(K370=$B370))</f>
        <v/>
      </c>
      <c r="AR370" s="4">
        <f>IF(OR($B370="",K370=""),"",IF($B370=1,--(K370=1),""))</f>
        <v/>
      </c>
      <c r="AS370" s="4">
        <f>IF(OR($B370="",K370=""),"",IF($B370=0,--(K370=0),""))</f>
        <v/>
      </c>
      <c r="AT370" s="4">
        <f>IF(K370="","",--(K370=1))</f>
        <v/>
      </c>
      <c r="AU370" s="4">
        <f>IF(OR($B370="",L370=""),"",--(L370=$B370))</f>
        <v/>
      </c>
      <c r="AV370" s="4">
        <f>IF(OR($B370="",L370=""),"",IF($B370=1,--(L370=1),""))</f>
        <v/>
      </c>
      <c r="AW370" s="4">
        <f>IF(OR($B370="",L370=""),"",IF($B370=0,--(L370=0),""))</f>
        <v/>
      </c>
      <c r="AX370" s="4">
        <f>IF(L370="","",--(L370=1))</f>
        <v/>
      </c>
      <c r="AY370" s="4">
        <f>IF(OR($B370="",M370=""),"",--(M370=$B370))</f>
        <v/>
      </c>
      <c r="AZ370" s="4">
        <f>IF(OR($B370="",M370=""),"",IF($B370=1,--(M370=1),""))</f>
        <v/>
      </c>
      <c r="BA370" s="4">
        <f>IF(OR($B370="",M370=""),"",IF($B370=0,--(M370=0),""))</f>
        <v/>
      </c>
      <c r="BB370" s="4">
        <f>IF(M370="","",--(M370=1))</f>
        <v/>
      </c>
      <c r="BC370" s="4">
        <f>IF(OR($B370="",N370=""),"",--(N370=$B370))</f>
        <v/>
      </c>
      <c r="BD370" s="4">
        <f>IF(OR($B370="",N370=""),"",IF($B370=1,--(N370=1),""))</f>
        <v/>
      </c>
      <c r="BE370" s="4">
        <f>IF(OR($B370="",N370=""),"",IF($B370=0,--(N370=0),""))</f>
        <v/>
      </c>
      <c r="BF370" s="4">
        <f>IF(N370="","",--(N370=1))</f>
        <v/>
      </c>
    </row>
    <row r="371">
      <c r="A371" s="3" t="inlineStr">
        <is>
          <t>20219925</t>
        </is>
      </c>
      <c r="B371" s="3" t="inlineStr">
        <is>
          <t>0</t>
        </is>
      </c>
      <c r="C371" s="3" t="inlineStr">
        <is>
          <t>Direct</t>
        </is>
      </c>
      <c r="D371" s="3" t="inlineStr">
        <is>
          <t>0</t>
        </is>
      </c>
      <c r="E371" s="3" t="inlineStr">
        <is>
          <t>1</t>
        </is>
      </c>
      <c r="F371" s="3" t="inlineStr">
        <is>
          <t>0</t>
        </is>
      </c>
      <c r="G371" s="3" t="inlineStr">
        <is>
          <t>0</t>
        </is>
      </c>
      <c r="H371" s="3" t="inlineStr">
        <is>
          <t>0</t>
        </is>
      </c>
      <c r="I371" s="3" t="inlineStr">
        <is>
          <t>0</t>
        </is>
      </c>
      <c r="J371" s="3" t="inlineStr">
        <is>
          <t>0</t>
        </is>
      </c>
      <c r="K371" s="3" t="inlineStr">
        <is>
          <t>0</t>
        </is>
      </c>
      <c r="L371" s="3" t="inlineStr">
        <is>
          <t>1</t>
        </is>
      </c>
      <c r="M371" s="3" t="inlineStr">
        <is>
          <t>0</t>
        </is>
      </c>
      <c r="N371" s="3" t="inlineStr">
        <is>
          <t>0</t>
        </is>
      </c>
      <c r="O371" s="4">
        <f>IF(OR($B371="",D371=""),"",--(D371=$B371))</f>
        <v/>
      </c>
      <c r="P371" s="4">
        <f>IF(OR($B371="",D371=""),"",IF($B371=1,--(D371=1),""))</f>
        <v/>
      </c>
      <c r="Q371" s="4">
        <f>IF(OR($B371="",D371=""),"",IF($B371=0,--(D371=0),""))</f>
        <v/>
      </c>
      <c r="R371" s="4">
        <f>IF(D371="","",--(D371=1))</f>
        <v/>
      </c>
      <c r="S371" s="4">
        <f>IF(OR($B371="",E371=""),"",--(E371=$B371))</f>
        <v/>
      </c>
      <c r="T371" s="4">
        <f>IF(OR($B371="",E371=""),"",IF($B371=1,--(E371=1),""))</f>
        <v/>
      </c>
      <c r="U371" s="4">
        <f>IF(OR($B371="",E371=""),"",IF($B371=0,--(E371=0),""))</f>
        <v/>
      </c>
      <c r="V371" s="4">
        <f>IF(E371="","",--(E371=1))</f>
        <v/>
      </c>
      <c r="W371" s="4">
        <f>IF(OR($B371="",F371=""),"",--(F371=$B371))</f>
        <v/>
      </c>
      <c r="X371" s="4">
        <f>IF(OR($B371="",F371=""),"",IF($B371=1,--(F371=1),""))</f>
        <v/>
      </c>
      <c r="Y371" s="4">
        <f>IF(OR($B371="",F371=""),"",IF($B371=0,--(F371=0),""))</f>
        <v/>
      </c>
      <c r="Z371" s="4">
        <f>IF(F371="","",--(F371=1))</f>
        <v/>
      </c>
      <c r="AA371" s="4">
        <f>IF(OR($B371="",G371=""),"",--(G371=$B371))</f>
        <v/>
      </c>
      <c r="AB371" s="4">
        <f>IF(OR($B371="",G371=""),"",IF($B371=1,--(G371=1),""))</f>
        <v/>
      </c>
      <c r="AC371" s="4">
        <f>IF(OR($B371="",G371=""),"",IF($B371=0,--(G371=0),""))</f>
        <v/>
      </c>
      <c r="AD371" s="4">
        <f>IF(G371="","",--(G371=1))</f>
        <v/>
      </c>
      <c r="AE371" s="4">
        <f>IF(OR($B371="",H371=""),"",--(H371=$B371))</f>
        <v/>
      </c>
      <c r="AF371" s="4">
        <f>IF(OR($B371="",H371=""),"",IF($B371=1,--(H371=1),""))</f>
        <v/>
      </c>
      <c r="AG371" s="4">
        <f>IF(OR($B371="",H371=""),"",IF($B371=0,--(H371=0),""))</f>
        <v/>
      </c>
      <c r="AH371" s="4">
        <f>IF(H371="","",--(H371=1))</f>
        <v/>
      </c>
      <c r="AI371" s="4">
        <f>IF(OR($B371="",I371=""),"",--(I371=$B371))</f>
        <v/>
      </c>
      <c r="AJ371" s="4">
        <f>IF(OR($B371="",I371=""),"",IF($B371=1,--(I371=1),""))</f>
        <v/>
      </c>
      <c r="AK371" s="4">
        <f>IF(OR($B371="",I371=""),"",IF($B371=0,--(I371=0),""))</f>
        <v/>
      </c>
      <c r="AL371" s="4">
        <f>IF(I371="","",--(I371=1))</f>
        <v/>
      </c>
      <c r="AM371" s="4">
        <f>IF(OR($B371="",J371=""),"",--(J371=$B371))</f>
        <v/>
      </c>
      <c r="AN371" s="4">
        <f>IF(OR($B371="",J371=""),"",IF($B371=1,--(J371=1),""))</f>
        <v/>
      </c>
      <c r="AO371" s="4">
        <f>IF(OR($B371="",J371=""),"",IF($B371=0,--(J371=0),""))</f>
        <v/>
      </c>
      <c r="AP371" s="4">
        <f>IF(J371="","",--(J371=1))</f>
        <v/>
      </c>
      <c r="AQ371" s="4">
        <f>IF(OR($B371="",K371=""),"",--(K371=$B371))</f>
        <v/>
      </c>
      <c r="AR371" s="4">
        <f>IF(OR($B371="",K371=""),"",IF($B371=1,--(K371=1),""))</f>
        <v/>
      </c>
      <c r="AS371" s="4">
        <f>IF(OR($B371="",K371=""),"",IF($B371=0,--(K371=0),""))</f>
        <v/>
      </c>
      <c r="AT371" s="4">
        <f>IF(K371="","",--(K371=1))</f>
        <v/>
      </c>
      <c r="AU371" s="4">
        <f>IF(OR($B371="",L371=""),"",--(L371=$B371))</f>
        <v/>
      </c>
      <c r="AV371" s="4">
        <f>IF(OR($B371="",L371=""),"",IF($B371=1,--(L371=1),""))</f>
        <v/>
      </c>
      <c r="AW371" s="4">
        <f>IF(OR($B371="",L371=""),"",IF($B371=0,--(L371=0),""))</f>
        <v/>
      </c>
      <c r="AX371" s="4">
        <f>IF(L371="","",--(L371=1))</f>
        <v/>
      </c>
      <c r="AY371" s="4">
        <f>IF(OR($B371="",M371=""),"",--(M371=$B371))</f>
        <v/>
      </c>
      <c r="AZ371" s="4">
        <f>IF(OR($B371="",M371=""),"",IF($B371=1,--(M371=1),""))</f>
        <v/>
      </c>
      <c r="BA371" s="4">
        <f>IF(OR($B371="",M371=""),"",IF($B371=0,--(M371=0),""))</f>
        <v/>
      </c>
      <c r="BB371" s="4">
        <f>IF(M371="","",--(M371=1))</f>
        <v/>
      </c>
      <c r="BC371" s="4">
        <f>IF(OR($B371="",N371=""),"",--(N371=$B371))</f>
        <v/>
      </c>
      <c r="BD371" s="4">
        <f>IF(OR($B371="",N371=""),"",IF($B371=1,--(N371=1),""))</f>
        <v/>
      </c>
      <c r="BE371" s="4">
        <f>IF(OR($B371="",N371=""),"",IF($B371=0,--(N371=0),""))</f>
        <v/>
      </c>
      <c r="BF371" s="4">
        <f>IF(N371="","",--(N371=1))</f>
        <v/>
      </c>
    </row>
    <row r="372">
      <c r="A372" s="3" t="inlineStr">
        <is>
          <t>20219937</t>
        </is>
      </c>
      <c r="B372" s="3" t="inlineStr">
        <is>
          <t>1</t>
        </is>
      </c>
      <c r="C372" s="3" t="inlineStr">
        <is>
          <t>Direct</t>
        </is>
      </c>
      <c r="D372" s="3" t="inlineStr">
        <is>
          <t>1</t>
        </is>
      </c>
      <c r="E372" s="3" t="inlineStr">
        <is>
          <t>1</t>
        </is>
      </c>
      <c r="F372" s="3" t="inlineStr">
        <is>
          <t>0</t>
        </is>
      </c>
      <c r="G372" s="3" t="inlineStr">
        <is>
          <t>0</t>
        </is>
      </c>
      <c r="H372" s="3" t="inlineStr">
        <is>
          <t>0</t>
        </is>
      </c>
      <c r="I372" s="3" t="inlineStr">
        <is>
          <t>0</t>
        </is>
      </c>
      <c r="J372" s="3" t="inlineStr">
        <is>
          <t>1</t>
        </is>
      </c>
      <c r="K372" s="3" t="inlineStr">
        <is>
          <t>1</t>
        </is>
      </c>
      <c r="L372" s="3" t="inlineStr">
        <is>
          <t>1</t>
        </is>
      </c>
      <c r="M372" s="3" t="inlineStr">
        <is>
          <t>1</t>
        </is>
      </c>
      <c r="N372" s="3" t="inlineStr">
        <is>
          <t>1</t>
        </is>
      </c>
      <c r="O372" s="4">
        <f>IF(OR($B372="",D372=""),"",--(D372=$B372))</f>
        <v/>
      </c>
      <c r="P372" s="4">
        <f>IF(OR($B372="",D372=""),"",IF($B372=1,--(D372=1),""))</f>
        <v/>
      </c>
      <c r="Q372" s="4">
        <f>IF(OR($B372="",D372=""),"",IF($B372=0,--(D372=0),""))</f>
        <v/>
      </c>
      <c r="R372" s="4">
        <f>IF(D372="","",--(D372=1))</f>
        <v/>
      </c>
      <c r="S372" s="4">
        <f>IF(OR($B372="",E372=""),"",--(E372=$B372))</f>
        <v/>
      </c>
      <c r="T372" s="4">
        <f>IF(OR($B372="",E372=""),"",IF($B372=1,--(E372=1),""))</f>
        <v/>
      </c>
      <c r="U372" s="4">
        <f>IF(OR($B372="",E372=""),"",IF($B372=0,--(E372=0),""))</f>
        <v/>
      </c>
      <c r="V372" s="4">
        <f>IF(E372="","",--(E372=1))</f>
        <v/>
      </c>
      <c r="W372" s="4">
        <f>IF(OR($B372="",F372=""),"",--(F372=$B372))</f>
        <v/>
      </c>
      <c r="X372" s="4">
        <f>IF(OR($B372="",F372=""),"",IF($B372=1,--(F372=1),""))</f>
        <v/>
      </c>
      <c r="Y372" s="4">
        <f>IF(OR($B372="",F372=""),"",IF($B372=0,--(F372=0),""))</f>
        <v/>
      </c>
      <c r="Z372" s="4">
        <f>IF(F372="","",--(F372=1))</f>
        <v/>
      </c>
      <c r="AA372" s="4">
        <f>IF(OR($B372="",G372=""),"",--(G372=$B372))</f>
        <v/>
      </c>
      <c r="AB372" s="4">
        <f>IF(OR($B372="",G372=""),"",IF($B372=1,--(G372=1),""))</f>
        <v/>
      </c>
      <c r="AC372" s="4">
        <f>IF(OR($B372="",G372=""),"",IF($B372=0,--(G372=0),""))</f>
        <v/>
      </c>
      <c r="AD372" s="4">
        <f>IF(G372="","",--(G372=1))</f>
        <v/>
      </c>
      <c r="AE372" s="4">
        <f>IF(OR($B372="",H372=""),"",--(H372=$B372))</f>
        <v/>
      </c>
      <c r="AF372" s="4">
        <f>IF(OR($B372="",H372=""),"",IF($B372=1,--(H372=1),""))</f>
        <v/>
      </c>
      <c r="AG372" s="4">
        <f>IF(OR($B372="",H372=""),"",IF($B372=0,--(H372=0),""))</f>
        <v/>
      </c>
      <c r="AH372" s="4">
        <f>IF(H372="","",--(H372=1))</f>
        <v/>
      </c>
      <c r="AI372" s="4">
        <f>IF(OR($B372="",I372=""),"",--(I372=$B372))</f>
        <v/>
      </c>
      <c r="AJ372" s="4">
        <f>IF(OR($B372="",I372=""),"",IF($B372=1,--(I372=1),""))</f>
        <v/>
      </c>
      <c r="AK372" s="4">
        <f>IF(OR($B372="",I372=""),"",IF($B372=0,--(I372=0),""))</f>
        <v/>
      </c>
      <c r="AL372" s="4">
        <f>IF(I372="","",--(I372=1))</f>
        <v/>
      </c>
      <c r="AM372" s="4">
        <f>IF(OR($B372="",J372=""),"",--(J372=$B372))</f>
        <v/>
      </c>
      <c r="AN372" s="4">
        <f>IF(OR($B372="",J372=""),"",IF($B372=1,--(J372=1),""))</f>
        <v/>
      </c>
      <c r="AO372" s="4">
        <f>IF(OR($B372="",J372=""),"",IF($B372=0,--(J372=0),""))</f>
        <v/>
      </c>
      <c r="AP372" s="4">
        <f>IF(J372="","",--(J372=1))</f>
        <v/>
      </c>
      <c r="AQ372" s="4">
        <f>IF(OR($B372="",K372=""),"",--(K372=$B372))</f>
        <v/>
      </c>
      <c r="AR372" s="4">
        <f>IF(OR($B372="",K372=""),"",IF($B372=1,--(K372=1),""))</f>
        <v/>
      </c>
      <c r="AS372" s="4">
        <f>IF(OR($B372="",K372=""),"",IF($B372=0,--(K372=0),""))</f>
        <v/>
      </c>
      <c r="AT372" s="4">
        <f>IF(K372="","",--(K372=1))</f>
        <v/>
      </c>
      <c r="AU372" s="4">
        <f>IF(OR($B372="",L372=""),"",--(L372=$B372))</f>
        <v/>
      </c>
      <c r="AV372" s="4">
        <f>IF(OR($B372="",L372=""),"",IF($B372=1,--(L372=1),""))</f>
        <v/>
      </c>
      <c r="AW372" s="4">
        <f>IF(OR($B372="",L372=""),"",IF($B372=0,--(L372=0),""))</f>
        <v/>
      </c>
      <c r="AX372" s="4">
        <f>IF(L372="","",--(L372=1))</f>
        <v/>
      </c>
      <c r="AY372" s="4">
        <f>IF(OR($B372="",M372=""),"",--(M372=$B372))</f>
        <v/>
      </c>
      <c r="AZ372" s="4">
        <f>IF(OR($B372="",M372=""),"",IF($B372=1,--(M372=1),""))</f>
        <v/>
      </c>
      <c r="BA372" s="4">
        <f>IF(OR($B372="",M372=""),"",IF($B372=0,--(M372=0),""))</f>
        <v/>
      </c>
      <c r="BB372" s="4">
        <f>IF(M372="","",--(M372=1))</f>
        <v/>
      </c>
      <c r="BC372" s="4">
        <f>IF(OR($B372="",N372=""),"",--(N372=$B372))</f>
        <v/>
      </c>
      <c r="BD372" s="4">
        <f>IF(OR($B372="",N372=""),"",IF($B372=1,--(N372=1),""))</f>
        <v/>
      </c>
      <c r="BE372" s="4">
        <f>IF(OR($B372="",N372=""),"",IF($B372=0,--(N372=0),""))</f>
        <v/>
      </c>
      <c r="BF372" s="4">
        <f>IF(N372="","",--(N372=1))</f>
        <v/>
      </c>
    </row>
    <row r="373">
      <c r="A373" s="3" t="inlineStr">
        <is>
          <t>2022100618</t>
        </is>
      </c>
      <c r="B373" s="3" t="inlineStr">
        <is>
          <t>1</t>
        </is>
      </c>
      <c r="C373" s="3" t="inlineStr">
        <is>
          <t>Direct</t>
        </is>
      </c>
      <c r="D373" s="3" t="inlineStr">
        <is>
          <t>1</t>
        </is>
      </c>
      <c r="E373" s="3" t="inlineStr">
        <is>
          <t>1</t>
        </is>
      </c>
      <c r="F373" s="3" t="inlineStr">
        <is>
          <t>0</t>
        </is>
      </c>
      <c r="G373" s="3" t="inlineStr">
        <is>
          <t>0</t>
        </is>
      </c>
      <c r="H373" s="3" t="inlineStr">
        <is>
          <t>1</t>
        </is>
      </c>
      <c r="I373" s="3" t="inlineStr">
        <is>
          <t>0</t>
        </is>
      </c>
      <c r="J373" s="3" t="inlineStr">
        <is>
          <t>0</t>
        </is>
      </c>
      <c r="K373" s="3" t="inlineStr">
        <is>
          <t>1</t>
        </is>
      </c>
      <c r="L373" s="3" t="inlineStr">
        <is>
          <t>1</t>
        </is>
      </c>
      <c r="M373" s="3" t="inlineStr">
        <is>
          <t>1</t>
        </is>
      </c>
      <c r="N373" s="3" t="inlineStr">
        <is>
          <t>1</t>
        </is>
      </c>
      <c r="O373" s="4">
        <f>IF(OR($B373="",D373=""),"",--(D373=$B373))</f>
        <v/>
      </c>
      <c r="P373" s="4">
        <f>IF(OR($B373="",D373=""),"",IF($B373=1,--(D373=1),""))</f>
        <v/>
      </c>
      <c r="Q373" s="4">
        <f>IF(OR($B373="",D373=""),"",IF($B373=0,--(D373=0),""))</f>
        <v/>
      </c>
      <c r="R373" s="4">
        <f>IF(D373="","",--(D373=1))</f>
        <v/>
      </c>
      <c r="S373" s="4">
        <f>IF(OR($B373="",E373=""),"",--(E373=$B373))</f>
        <v/>
      </c>
      <c r="T373" s="4">
        <f>IF(OR($B373="",E373=""),"",IF($B373=1,--(E373=1),""))</f>
        <v/>
      </c>
      <c r="U373" s="4">
        <f>IF(OR($B373="",E373=""),"",IF($B373=0,--(E373=0),""))</f>
        <v/>
      </c>
      <c r="V373" s="4">
        <f>IF(E373="","",--(E373=1))</f>
        <v/>
      </c>
      <c r="W373" s="4">
        <f>IF(OR($B373="",F373=""),"",--(F373=$B373))</f>
        <v/>
      </c>
      <c r="X373" s="4">
        <f>IF(OR($B373="",F373=""),"",IF($B373=1,--(F373=1),""))</f>
        <v/>
      </c>
      <c r="Y373" s="4">
        <f>IF(OR($B373="",F373=""),"",IF($B373=0,--(F373=0),""))</f>
        <v/>
      </c>
      <c r="Z373" s="4">
        <f>IF(F373="","",--(F373=1))</f>
        <v/>
      </c>
      <c r="AA373" s="4">
        <f>IF(OR($B373="",G373=""),"",--(G373=$B373))</f>
        <v/>
      </c>
      <c r="AB373" s="4">
        <f>IF(OR($B373="",G373=""),"",IF($B373=1,--(G373=1),""))</f>
        <v/>
      </c>
      <c r="AC373" s="4">
        <f>IF(OR($B373="",G373=""),"",IF($B373=0,--(G373=0),""))</f>
        <v/>
      </c>
      <c r="AD373" s="4">
        <f>IF(G373="","",--(G373=1))</f>
        <v/>
      </c>
      <c r="AE373" s="4">
        <f>IF(OR($B373="",H373=""),"",--(H373=$B373))</f>
        <v/>
      </c>
      <c r="AF373" s="4">
        <f>IF(OR($B373="",H373=""),"",IF($B373=1,--(H373=1),""))</f>
        <v/>
      </c>
      <c r="AG373" s="4">
        <f>IF(OR($B373="",H373=""),"",IF($B373=0,--(H373=0),""))</f>
        <v/>
      </c>
      <c r="AH373" s="4">
        <f>IF(H373="","",--(H373=1))</f>
        <v/>
      </c>
      <c r="AI373" s="4">
        <f>IF(OR($B373="",I373=""),"",--(I373=$B373))</f>
        <v/>
      </c>
      <c r="AJ373" s="4">
        <f>IF(OR($B373="",I373=""),"",IF($B373=1,--(I373=1),""))</f>
        <v/>
      </c>
      <c r="AK373" s="4">
        <f>IF(OR($B373="",I373=""),"",IF($B373=0,--(I373=0),""))</f>
        <v/>
      </c>
      <c r="AL373" s="4">
        <f>IF(I373="","",--(I373=1))</f>
        <v/>
      </c>
      <c r="AM373" s="4">
        <f>IF(OR($B373="",J373=""),"",--(J373=$B373))</f>
        <v/>
      </c>
      <c r="AN373" s="4">
        <f>IF(OR($B373="",J373=""),"",IF($B373=1,--(J373=1),""))</f>
        <v/>
      </c>
      <c r="AO373" s="4">
        <f>IF(OR($B373="",J373=""),"",IF($B373=0,--(J373=0),""))</f>
        <v/>
      </c>
      <c r="AP373" s="4">
        <f>IF(J373="","",--(J373=1))</f>
        <v/>
      </c>
      <c r="AQ373" s="4">
        <f>IF(OR($B373="",K373=""),"",--(K373=$B373))</f>
        <v/>
      </c>
      <c r="AR373" s="4">
        <f>IF(OR($B373="",K373=""),"",IF($B373=1,--(K373=1),""))</f>
        <v/>
      </c>
      <c r="AS373" s="4">
        <f>IF(OR($B373="",K373=""),"",IF($B373=0,--(K373=0),""))</f>
        <v/>
      </c>
      <c r="AT373" s="4">
        <f>IF(K373="","",--(K373=1))</f>
        <v/>
      </c>
      <c r="AU373" s="4">
        <f>IF(OR($B373="",L373=""),"",--(L373=$B373))</f>
        <v/>
      </c>
      <c r="AV373" s="4">
        <f>IF(OR($B373="",L373=""),"",IF($B373=1,--(L373=1),""))</f>
        <v/>
      </c>
      <c r="AW373" s="4">
        <f>IF(OR($B373="",L373=""),"",IF($B373=0,--(L373=0),""))</f>
        <v/>
      </c>
      <c r="AX373" s="4">
        <f>IF(L373="","",--(L373=1))</f>
        <v/>
      </c>
      <c r="AY373" s="4">
        <f>IF(OR($B373="",M373=""),"",--(M373=$B373))</f>
        <v/>
      </c>
      <c r="AZ373" s="4">
        <f>IF(OR($B373="",M373=""),"",IF($B373=1,--(M373=1),""))</f>
        <v/>
      </c>
      <c r="BA373" s="4">
        <f>IF(OR($B373="",M373=""),"",IF($B373=0,--(M373=0),""))</f>
        <v/>
      </c>
      <c r="BB373" s="4">
        <f>IF(M373="","",--(M373=1))</f>
        <v/>
      </c>
      <c r="BC373" s="4">
        <f>IF(OR($B373="",N373=""),"",--(N373=$B373))</f>
        <v/>
      </c>
      <c r="BD373" s="4">
        <f>IF(OR($B373="",N373=""),"",IF($B373=1,--(N373=1),""))</f>
        <v/>
      </c>
      <c r="BE373" s="4">
        <f>IF(OR($B373="",N373=""),"",IF($B373=0,--(N373=0),""))</f>
        <v/>
      </c>
      <c r="BF373" s="4">
        <f>IF(N373="","",--(N373=1))</f>
        <v/>
      </c>
    </row>
    <row r="374">
      <c r="A374" s="3" t="inlineStr">
        <is>
          <t>202210492</t>
        </is>
      </c>
      <c r="B374" s="3" t="inlineStr">
        <is>
          <t>0</t>
        </is>
      </c>
      <c r="C374" s="3" t="inlineStr">
        <is>
          <t>Direct</t>
        </is>
      </c>
      <c r="D374" s="3" t="inlineStr">
        <is>
          <t>1</t>
        </is>
      </c>
      <c r="E374" s="3" t="inlineStr">
        <is>
          <t>0</t>
        </is>
      </c>
      <c r="F374" s="3" t="inlineStr">
        <is>
          <t>0</t>
        </is>
      </c>
      <c r="G374" s="3" t="inlineStr">
        <is>
          <t>0</t>
        </is>
      </c>
      <c r="H374" s="3" t="inlineStr">
        <is>
          <t>1</t>
        </is>
      </c>
      <c r="I374" s="3" t="inlineStr">
        <is>
          <t>0</t>
        </is>
      </c>
      <c r="J374" s="3" t="inlineStr">
        <is>
          <t>0</t>
        </is>
      </c>
      <c r="K374" s="3" t="inlineStr">
        <is>
          <t>0</t>
        </is>
      </c>
      <c r="L374" s="3" t="inlineStr">
        <is>
          <t>1</t>
        </is>
      </c>
      <c r="M374" s="3" t="inlineStr">
        <is>
          <t>1</t>
        </is>
      </c>
      <c r="N374" s="3" t="inlineStr">
        <is>
          <t>1</t>
        </is>
      </c>
      <c r="O374" s="4">
        <f>IF(OR($B374="",D374=""),"",--(D374=$B374))</f>
        <v/>
      </c>
      <c r="P374" s="4">
        <f>IF(OR($B374="",D374=""),"",IF($B374=1,--(D374=1),""))</f>
        <v/>
      </c>
      <c r="Q374" s="4">
        <f>IF(OR($B374="",D374=""),"",IF($B374=0,--(D374=0),""))</f>
        <v/>
      </c>
      <c r="R374" s="4">
        <f>IF(D374="","",--(D374=1))</f>
        <v/>
      </c>
      <c r="S374" s="4">
        <f>IF(OR($B374="",E374=""),"",--(E374=$B374))</f>
        <v/>
      </c>
      <c r="T374" s="4">
        <f>IF(OR($B374="",E374=""),"",IF($B374=1,--(E374=1),""))</f>
        <v/>
      </c>
      <c r="U374" s="4">
        <f>IF(OR($B374="",E374=""),"",IF($B374=0,--(E374=0),""))</f>
        <v/>
      </c>
      <c r="V374" s="4">
        <f>IF(E374="","",--(E374=1))</f>
        <v/>
      </c>
      <c r="W374" s="4">
        <f>IF(OR($B374="",F374=""),"",--(F374=$B374))</f>
        <v/>
      </c>
      <c r="X374" s="4">
        <f>IF(OR($B374="",F374=""),"",IF($B374=1,--(F374=1),""))</f>
        <v/>
      </c>
      <c r="Y374" s="4">
        <f>IF(OR($B374="",F374=""),"",IF($B374=0,--(F374=0),""))</f>
        <v/>
      </c>
      <c r="Z374" s="4">
        <f>IF(F374="","",--(F374=1))</f>
        <v/>
      </c>
      <c r="AA374" s="4">
        <f>IF(OR($B374="",G374=""),"",--(G374=$B374))</f>
        <v/>
      </c>
      <c r="AB374" s="4">
        <f>IF(OR($B374="",G374=""),"",IF($B374=1,--(G374=1),""))</f>
        <v/>
      </c>
      <c r="AC374" s="4">
        <f>IF(OR($B374="",G374=""),"",IF($B374=0,--(G374=0),""))</f>
        <v/>
      </c>
      <c r="AD374" s="4">
        <f>IF(G374="","",--(G374=1))</f>
        <v/>
      </c>
      <c r="AE374" s="4">
        <f>IF(OR($B374="",H374=""),"",--(H374=$B374))</f>
        <v/>
      </c>
      <c r="AF374" s="4">
        <f>IF(OR($B374="",H374=""),"",IF($B374=1,--(H374=1),""))</f>
        <v/>
      </c>
      <c r="AG374" s="4">
        <f>IF(OR($B374="",H374=""),"",IF($B374=0,--(H374=0),""))</f>
        <v/>
      </c>
      <c r="AH374" s="4">
        <f>IF(H374="","",--(H374=1))</f>
        <v/>
      </c>
      <c r="AI374" s="4">
        <f>IF(OR($B374="",I374=""),"",--(I374=$B374))</f>
        <v/>
      </c>
      <c r="AJ374" s="4">
        <f>IF(OR($B374="",I374=""),"",IF($B374=1,--(I374=1),""))</f>
        <v/>
      </c>
      <c r="AK374" s="4">
        <f>IF(OR($B374="",I374=""),"",IF($B374=0,--(I374=0),""))</f>
        <v/>
      </c>
      <c r="AL374" s="4">
        <f>IF(I374="","",--(I374=1))</f>
        <v/>
      </c>
      <c r="AM374" s="4">
        <f>IF(OR($B374="",J374=""),"",--(J374=$B374))</f>
        <v/>
      </c>
      <c r="AN374" s="4">
        <f>IF(OR($B374="",J374=""),"",IF($B374=1,--(J374=1),""))</f>
        <v/>
      </c>
      <c r="AO374" s="4">
        <f>IF(OR($B374="",J374=""),"",IF($B374=0,--(J374=0),""))</f>
        <v/>
      </c>
      <c r="AP374" s="4">
        <f>IF(J374="","",--(J374=1))</f>
        <v/>
      </c>
      <c r="AQ374" s="4">
        <f>IF(OR($B374="",K374=""),"",--(K374=$B374))</f>
        <v/>
      </c>
      <c r="AR374" s="4">
        <f>IF(OR($B374="",K374=""),"",IF($B374=1,--(K374=1),""))</f>
        <v/>
      </c>
      <c r="AS374" s="4">
        <f>IF(OR($B374="",K374=""),"",IF($B374=0,--(K374=0),""))</f>
        <v/>
      </c>
      <c r="AT374" s="4">
        <f>IF(K374="","",--(K374=1))</f>
        <v/>
      </c>
      <c r="AU374" s="4">
        <f>IF(OR($B374="",L374=""),"",--(L374=$B374))</f>
        <v/>
      </c>
      <c r="AV374" s="4">
        <f>IF(OR($B374="",L374=""),"",IF($B374=1,--(L374=1),""))</f>
        <v/>
      </c>
      <c r="AW374" s="4">
        <f>IF(OR($B374="",L374=""),"",IF($B374=0,--(L374=0),""))</f>
        <v/>
      </c>
      <c r="AX374" s="4">
        <f>IF(L374="","",--(L374=1))</f>
        <v/>
      </c>
      <c r="AY374" s="4">
        <f>IF(OR($B374="",M374=""),"",--(M374=$B374))</f>
        <v/>
      </c>
      <c r="AZ374" s="4">
        <f>IF(OR($B374="",M374=""),"",IF($B374=1,--(M374=1),""))</f>
        <v/>
      </c>
      <c r="BA374" s="4">
        <f>IF(OR($B374="",M374=""),"",IF($B374=0,--(M374=0),""))</f>
        <v/>
      </c>
      <c r="BB374" s="4">
        <f>IF(M374="","",--(M374=1))</f>
        <v/>
      </c>
      <c r="BC374" s="4">
        <f>IF(OR($B374="",N374=""),"",--(N374=$B374))</f>
        <v/>
      </c>
      <c r="BD374" s="4">
        <f>IF(OR($B374="",N374=""),"",IF($B374=1,--(N374=1),""))</f>
        <v/>
      </c>
      <c r="BE374" s="4">
        <f>IF(OR($B374="",N374=""),"",IF($B374=0,--(N374=0),""))</f>
        <v/>
      </c>
      <c r="BF374" s="4">
        <f>IF(N374="","",--(N374=1))</f>
        <v/>
      </c>
    </row>
    <row r="375">
      <c r="A375" s="3" t="inlineStr">
        <is>
          <t>2022106362</t>
        </is>
      </c>
      <c r="B375" s="3" t="inlineStr">
        <is>
          <t>0</t>
        </is>
      </c>
      <c r="C375" s="3" t="inlineStr">
        <is>
          <t>Direct</t>
        </is>
      </c>
      <c r="D375" s="3" t="inlineStr">
        <is>
          <t>1</t>
        </is>
      </c>
      <c r="E375" s="3" t="inlineStr">
        <is>
          <t>0</t>
        </is>
      </c>
      <c r="F375" s="3" t="inlineStr">
        <is>
          <t>1</t>
        </is>
      </c>
      <c r="G375" s="3" t="inlineStr">
        <is>
          <t>1</t>
        </is>
      </c>
      <c r="H375" s="3" t="inlineStr">
        <is>
          <t>1</t>
        </is>
      </c>
      <c r="I375" s="3" t="inlineStr">
        <is>
          <t>1</t>
        </is>
      </c>
      <c r="J375" s="3" t="inlineStr">
        <is>
          <t>1</t>
        </is>
      </c>
      <c r="K375" s="3" t="inlineStr">
        <is>
          <t>0</t>
        </is>
      </c>
      <c r="L375" s="3" t="inlineStr">
        <is>
          <t>0</t>
        </is>
      </c>
      <c r="M375" s="3" t="inlineStr">
        <is>
          <t>1</t>
        </is>
      </c>
      <c r="N375" s="3" t="inlineStr">
        <is>
          <t>1</t>
        </is>
      </c>
      <c r="O375" s="4">
        <f>IF(OR($B375="",D375=""),"",--(D375=$B375))</f>
        <v/>
      </c>
      <c r="P375" s="4">
        <f>IF(OR($B375="",D375=""),"",IF($B375=1,--(D375=1),""))</f>
        <v/>
      </c>
      <c r="Q375" s="4">
        <f>IF(OR($B375="",D375=""),"",IF($B375=0,--(D375=0),""))</f>
        <v/>
      </c>
      <c r="R375" s="4">
        <f>IF(D375="","",--(D375=1))</f>
        <v/>
      </c>
      <c r="S375" s="4">
        <f>IF(OR($B375="",E375=""),"",--(E375=$B375))</f>
        <v/>
      </c>
      <c r="T375" s="4">
        <f>IF(OR($B375="",E375=""),"",IF($B375=1,--(E375=1),""))</f>
        <v/>
      </c>
      <c r="U375" s="4">
        <f>IF(OR($B375="",E375=""),"",IF($B375=0,--(E375=0),""))</f>
        <v/>
      </c>
      <c r="V375" s="4">
        <f>IF(E375="","",--(E375=1))</f>
        <v/>
      </c>
      <c r="W375" s="4">
        <f>IF(OR($B375="",F375=""),"",--(F375=$B375))</f>
        <v/>
      </c>
      <c r="X375" s="4">
        <f>IF(OR($B375="",F375=""),"",IF($B375=1,--(F375=1),""))</f>
        <v/>
      </c>
      <c r="Y375" s="4">
        <f>IF(OR($B375="",F375=""),"",IF($B375=0,--(F375=0),""))</f>
        <v/>
      </c>
      <c r="Z375" s="4">
        <f>IF(F375="","",--(F375=1))</f>
        <v/>
      </c>
      <c r="AA375" s="4">
        <f>IF(OR($B375="",G375=""),"",--(G375=$B375))</f>
        <v/>
      </c>
      <c r="AB375" s="4">
        <f>IF(OR($B375="",G375=""),"",IF($B375=1,--(G375=1),""))</f>
        <v/>
      </c>
      <c r="AC375" s="4">
        <f>IF(OR($B375="",G375=""),"",IF($B375=0,--(G375=0),""))</f>
        <v/>
      </c>
      <c r="AD375" s="4">
        <f>IF(G375="","",--(G375=1))</f>
        <v/>
      </c>
      <c r="AE375" s="4">
        <f>IF(OR($B375="",H375=""),"",--(H375=$B375))</f>
        <v/>
      </c>
      <c r="AF375" s="4">
        <f>IF(OR($B375="",H375=""),"",IF($B375=1,--(H375=1),""))</f>
        <v/>
      </c>
      <c r="AG375" s="4">
        <f>IF(OR($B375="",H375=""),"",IF($B375=0,--(H375=0),""))</f>
        <v/>
      </c>
      <c r="AH375" s="4">
        <f>IF(H375="","",--(H375=1))</f>
        <v/>
      </c>
      <c r="AI375" s="4">
        <f>IF(OR($B375="",I375=""),"",--(I375=$B375))</f>
        <v/>
      </c>
      <c r="AJ375" s="4">
        <f>IF(OR($B375="",I375=""),"",IF($B375=1,--(I375=1),""))</f>
        <v/>
      </c>
      <c r="AK375" s="4">
        <f>IF(OR($B375="",I375=""),"",IF($B375=0,--(I375=0),""))</f>
        <v/>
      </c>
      <c r="AL375" s="4">
        <f>IF(I375="","",--(I375=1))</f>
        <v/>
      </c>
      <c r="AM375" s="4">
        <f>IF(OR($B375="",J375=""),"",--(J375=$B375))</f>
        <v/>
      </c>
      <c r="AN375" s="4">
        <f>IF(OR($B375="",J375=""),"",IF($B375=1,--(J375=1),""))</f>
        <v/>
      </c>
      <c r="AO375" s="4">
        <f>IF(OR($B375="",J375=""),"",IF($B375=0,--(J375=0),""))</f>
        <v/>
      </c>
      <c r="AP375" s="4">
        <f>IF(J375="","",--(J375=1))</f>
        <v/>
      </c>
      <c r="AQ375" s="4">
        <f>IF(OR($B375="",K375=""),"",--(K375=$B375))</f>
        <v/>
      </c>
      <c r="AR375" s="4">
        <f>IF(OR($B375="",K375=""),"",IF($B375=1,--(K375=1),""))</f>
        <v/>
      </c>
      <c r="AS375" s="4">
        <f>IF(OR($B375="",K375=""),"",IF($B375=0,--(K375=0),""))</f>
        <v/>
      </c>
      <c r="AT375" s="4">
        <f>IF(K375="","",--(K375=1))</f>
        <v/>
      </c>
      <c r="AU375" s="4">
        <f>IF(OR($B375="",L375=""),"",--(L375=$B375))</f>
        <v/>
      </c>
      <c r="AV375" s="4">
        <f>IF(OR($B375="",L375=""),"",IF($B375=1,--(L375=1),""))</f>
        <v/>
      </c>
      <c r="AW375" s="4">
        <f>IF(OR($B375="",L375=""),"",IF($B375=0,--(L375=0),""))</f>
        <v/>
      </c>
      <c r="AX375" s="4">
        <f>IF(L375="","",--(L375=1))</f>
        <v/>
      </c>
      <c r="AY375" s="4">
        <f>IF(OR($B375="",M375=""),"",--(M375=$B375))</f>
        <v/>
      </c>
      <c r="AZ375" s="4">
        <f>IF(OR($B375="",M375=""),"",IF($B375=1,--(M375=1),""))</f>
        <v/>
      </c>
      <c r="BA375" s="4">
        <f>IF(OR($B375="",M375=""),"",IF($B375=0,--(M375=0),""))</f>
        <v/>
      </c>
      <c r="BB375" s="4">
        <f>IF(M375="","",--(M375=1))</f>
        <v/>
      </c>
      <c r="BC375" s="4">
        <f>IF(OR($B375="",N375=""),"",--(N375=$B375))</f>
        <v/>
      </c>
      <c r="BD375" s="4">
        <f>IF(OR($B375="",N375=""),"",IF($B375=1,--(N375=1),""))</f>
        <v/>
      </c>
      <c r="BE375" s="4">
        <f>IF(OR($B375="",N375=""),"",IF($B375=0,--(N375=0),""))</f>
        <v/>
      </c>
      <c r="BF375" s="4">
        <f>IF(N375="","",--(N375=1))</f>
        <v/>
      </c>
    </row>
    <row r="376">
      <c r="A376" s="3" t="inlineStr">
        <is>
          <t>2022108643</t>
        </is>
      </c>
      <c r="B376" s="3" t="inlineStr">
        <is>
          <t>0</t>
        </is>
      </c>
      <c r="C376" s="3" t="inlineStr">
        <is>
          <t>Direct</t>
        </is>
      </c>
      <c r="D376" s="3" t="inlineStr">
        <is>
          <t>1</t>
        </is>
      </c>
      <c r="E376" s="3" t="inlineStr">
        <is>
          <t>0</t>
        </is>
      </c>
      <c r="F376" s="3" t="inlineStr">
        <is>
          <t>0</t>
        </is>
      </c>
      <c r="G376" s="3" t="inlineStr">
        <is>
          <t>0</t>
        </is>
      </c>
      <c r="H376" s="3" t="inlineStr">
        <is>
          <t>0</t>
        </is>
      </c>
      <c r="I376" s="3" t="inlineStr">
        <is>
          <t>1</t>
        </is>
      </c>
      <c r="J376" s="3" t="inlineStr">
        <is>
          <t>1</t>
        </is>
      </c>
      <c r="K376" s="3" t="inlineStr">
        <is>
          <t>1</t>
        </is>
      </c>
      <c r="L376" s="3" t="inlineStr">
        <is>
          <t>1</t>
        </is>
      </c>
      <c r="M376" s="3" t="inlineStr">
        <is>
          <t>1</t>
        </is>
      </c>
      <c r="N376" s="3" t="inlineStr">
        <is>
          <t>1</t>
        </is>
      </c>
      <c r="O376" s="4">
        <f>IF(OR($B376="",D376=""),"",--(D376=$B376))</f>
        <v/>
      </c>
      <c r="P376" s="4">
        <f>IF(OR($B376="",D376=""),"",IF($B376=1,--(D376=1),""))</f>
        <v/>
      </c>
      <c r="Q376" s="4">
        <f>IF(OR($B376="",D376=""),"",IF($B376=0,--(D376=0),""))</f>
        <v/>
      </c>
      <c r="R376" s="4">
        <f>IF(D376="","",--(D376=1))</f>
        <v/>
      </c>
      <c r="S376" s="4">
        <f>IF(OR($B376="",E376=""),"",--(E376=$B376))</f>
        <v/>
      </c>
      <c r="T376" s="4">
        <f>IF(OR($B376="",E376=""),"",IF($B376=1,--(E376=1),""))</f>
        <v/>
      </c>
      <c r="U376" s="4">
        <f>IF(OR($B376="",E376=""),"",IF($B376=0,--(E376=0),""))</f>
        <v/>
      </c>
      <c r="V376" s="4">
        <f>IF(E376="","",--(E376=1))</f>
        <v/>
      </c>
      <c r="W376" s="4">
        <f>IF(OR($B376="",F376=""),"",--(F376=$B376))</f>
        <v/>
      </c>
      <c r="X376" s="4">
        <f>IF(OR($B376="",F376=""),"",IF($B376=1,--(F376=1),""))</f>
        <v/>
      </c>
      <c r="Y376" s="4">
        <f>IF(OR($B376="",F376=""),"",IF($B376=0,--(F376=0),""))</f>
        <v/>
      </c>
      <c r="Z376" s="4">
        <f>IF(F376="","",--(F376=1))</f>
        <v/>
      </c>
      <c r="AA376" s="4">
        <f>IF(OR($B376="",G376=""),"",--(G376=$B376))</f>
        <v/>
      </c>
      <c r="AB376" s="4">
        <f>IF(OR($B376="",G376=""),"",IF($B376=1,--(G376=1),""))</f>
        <v/>
      </c>
      <c r="AC376" s="4">
        <f>IF(OR($B376="",G376=""),"",IF($B376=0,--(G376=0),""))</f>
        <v/>
      </c>
      <c r="AD376" s="4">
        <f>IF(G376="","",--(G376=1))</f>
        <v/>
      </c>
      <c r="AE376" s="4">
        <f>IF(OR($B376="",H376=""),"",--(H376=$B376))</f>
        <v/>
      </c>
      <c r="AF376" s="4">
        <f>IF(OR($B376="",H376=""),"",IF($B376=1,--(H376=1),""))</f>
        <v/>
      </c>
      <c r="AG376" s="4">
        <f>IF(OR($B376="",H376=""),"",IF($B376=0,--(H376=0),""))</f>
        <v/>
      </c>
      <c r="AH376" s="4">
        <f>IF(H376="","",--(H376=1))</f>
        <v/>
      </c>
      <c r="AI376" s="4">
        <f>IF(OR($B376="",I376=""),"",--(I376=$B376))</f>
        <v/>
      </c>
      <c r="AJ376" s="4">
        <f>IF(OR($B376="",I376=""),"",IF($B376=1,--(I376=1),""))</f>
        <v/>
      </c>
      <c r="AK376" s="4">
        <f>IF(OR($B376="",I376=""),"",IF($B376=0,--(I376=0),""))</f>
        <v/>
      </c>
      <c r="AL376" s="4">
        <f>IF(I376="","",--(I376=1))</f>
        <v/>
      </c>
      <c r="AM376" s="4">
        <f>IF(OR($B376="",J376=""),"",--(J376=$B376))</f>
        <v/>
      </c>
      <c r="AN376" s="4">
        <f>IF(OR($B376="",J376=""),"",IF($B376=1,--(J376=1),""))</f>
        <v/>
      </c>
      <c r="AO376" s="4">
        <f>IF(OR($B376="",J376=""),"",IF($B376=0,--(J376=0),""))</f>
        <v/>
      </c>
      <c r="AP376" s="4">
        <f>IF(J376="","",--(J376=1))</f>
        <v/>
      </c>
      <c r="AQ376" s="4">
        <f>IF(OR($B376="",K376=""),"",--(K376=$B376))</f>
        <v/>
      </c>
      <c r="AR376" s="4">
        <f>IF(OR($B376="",K376=""),"",IF($B376=1,--(K376=1),""))</f>
        <v/>
      </c>
      <c r="AS376" s="4">
        <f>IF(OR($B376="",K376=""),"",IF($B376=0,--(K376=0),""))</f>
        <v/>
      </c>
      <c r="AT376" s="4">
        <f>IF(K376="","",--(K376=1))</f>
        <v/>
      </c>
      <c r="AU376" s="4">
        <f>IF(OR($B376="",L376=""),"",--(L376=$B376))</f>
        <v/>
      </c>
      <c r="AV376" s="4">
        <f>IF(OR($B376="",L376=""),"",IF($B376=1,--(L376=1),""))</f>
        <v/>
      </c>
      <c r="AW376" s="4">
        <f>IF(OR($B376="",L376=""),"",IF($B376=0,--(L376=0),""))</f>
        <v/>
      </c>
      <c r="AX376" s="4">
        <f>IF(L376="","",--(L376=1))</f>
        <v/>
      </c>
      <c r="AY376" s="4">
        <f>IF(OR($B376="",M376=""),"",--(M376=$B376))</f>
        <v/>
      </c>
      <c r="AZ376" s="4">
        <f>IF(OR($B376="",M376=""),"",IF($B376=1,--(M376=1),""))</f>
        <v/>
      </c>
      <c r="BA376" s="4">
        <f>IF(OR($B376="",M376=""),"",IF($B376=0,--(M376=0),""))</f>
        <v/>
      </c>
      <c r="BB376" s="4">
        <f>IF(M376="","",--(M376=1))</f>
        <v/>
      </c>
      <c r="BC376" s="4">
        <f>IF(OR($B376="",N376=""),"",--(N376=$B376))</f>
        <v/>
      </c>
      <c r="BD376" s="4">
        <f>IF(OR($B376="",N376=""),"",IF($B376=1,--(N376=1),""))</f>
        <v/>
      </c>
      <c r="BE376" s="4">
        <f>IF(OR($B376="",N376=""),"",IF($B376=0,--(N376=0),""))</f>
        <v/>
      </c>
      <c r="BF376" s="4">
        <f>IF(N376="","",--(N376=1))</f>
        <v/>
      </c>
    </row>
    <row r="377">
      <c r="A377" s="3" t="inlineStr">
        <is>
          <t>2022108785</t>
        </is>
      </c>
      <c r="B377" s="3" t="inlineStr">
        <is>
          <t>0</t>
        </is>
      </c>
      <c r="C377" s="3" t="inlineStr">
        <is>
          <t>Direct</t>
        </is>
      </c>
      <c r="D377" s="3" t="inlineStr">
        <is>
          <t>1</t>
        </is>
      </c>
      <c r="E377" s="3" t="inlineStr">
        <is>
          <t>1</t>
        </is>
      </c>
      <c r="F377" s="3" t="inlineStr">
        <is>
          <t>1</t>
        </is>
      </c>
      <c r="G377" s="3" t="inlineStr">
        <is>
          <t>1</t>
        </is>
      </c>
      <c r="H377" s="3" t="inlineStr">
        <is>
          <t>0</t>
        </is>
      </c>
      <c r="I377" s="3" t="inlineStr">
        <is>
          <t>1</t>
        </is>
      </c>
      <c r="J377" s="3" t="inlineStr">
        <is>
          <t>1</t>
        </is>
      </c>
      <c r="K377" s="3" t="inlineStr">
        <is>
          <t>1</t>
        </is>
      </c>
      <c r="L377" s="3" t="inlineStr">
        <is>
          <t>1</t>
        </is>
      </c>
      <c r="M377" s="3" t="inlineStr">
        <is>
          <t>1</t>
        </is>
      </c>
      <c r="N377" s="3" t="inlineStr">
        <is>
          <t>1</t>
        </is>
      </c>
      <c r="O377" s="4">
        <f>IF(OR($B377="",D377=""),"",--(D377=$B377))</f>
        <v/>
      </c>
      <c r="P377" s="4">
        <f>IF(OR($B377="",D377=""),"",IF($B377=1,--(D377=1),""))</f>
        <v/>
      </c>
      <c r="Q377" s="4">
        <f>IF(OR($B377="",D377=""),"",IF($B377=0,--(D377=0),""))</f>
        <v/>
      </c>
      <c r="R377" s="4">
        <f>IF(D377="","",--(D377=1))</f>
        <v/>
      </c>
      <c r="S377" s="4">
        <f>IF(OR($B377="",E377=""),"",--(E377=$B377))</f>
        <v/>
      </c>
      <c r="T377" s="4">
        <f>IF(OR($B377="",E377=""),"",IF($B377=1,--(E377=1),""))</f>
        <v/>
      </c>
      <c r="U377" s="4">
        <f>IF(OR($B377="",E377=""),"",IF($B377=0,--(E377=0),""))</f>
        <v/>
      </c>
      <c r="V377" s="4">
        <f>IF(E377="","",--(E377=1))</f>
        <v/>
      </c>
      <c r="W377" s="4">
        <f>IF(OR($B377="",F377=""),"",--(F377=$B377))</f>
        <v/>
      </c>
      <c r="X377" s="4">
        <f>IF(OR($B377="",F377=""),"",IF($B377=1,--(F377=1),""))</f>
        <v/>
      </c>
      <c r="Y377" s="4">
        <f>IF(OR($B377="",F377=""),"",IF($B377=0,--(F377=0),""))</f>
        <v/>
      </c>
      <c r="Z377" s="4">
        <f>IF(F377="","",--(F377=1))</f>
        <v/>
      </c>
      <c r="AA377" s="4">
        <f>IF(OR($B377="",G377=""),"",--(G377=$B377))</f>
        <v/>
      </c>
      <c r="AB377" s="4">
        <f>IF(OR($B377="",G377=""),"",IF($B377=1,--(G377=1),""))</f>
        <v/>
      </c>
      <c r="AC377" s="4">
        <f>IF(OR($B377="",G377=""),"",IF($B377=0,--(G377=0),""))</f>
        <v/>
      </c>
      <c r="AD377" s="4">
        <f>IF(G377="","",--(G377=1))</f>
        <v/>
      </c>
      <c r="AE377" s="4">
        <f>IF(OR($B377="",H377=""),"",--(H377=$B377))</f>
        <v/>
      </c>
      <c r="AF377" s="4">
        <f>IF(OR($B377="",H377=""),"",IF($B377=1,--(H377=1),""))</f>
        <v/>
      </c>
      <c r="AG377" s="4">
        <f>IF(OR($B377="",H377=""),"",IF($B377=0,--(H377=0),""))</f>
        <v/>
      </c>
      <c r="AH377" s="4">
        <f>IF(H377="","",--(H377=1))</f>
        <v/>
      </c>
      <c r="AI377" s="4">
        <f>IF(OR($B377="",I377=""),"",--(I377=$B377))</f>
        <v/>
      </c>
      <c r="AJ377" s="4">
        <f>IF(OR($B377="",I377=""),"",IF($B377=1,--(I377=1),""))</f>
        <v/>
      </c>
      <c r="AK377" s="4">
        <f>IF(OR($B377="",I377=""),"",IF($B377=0,--(I377=0),""))</f>
        <v/>
      </c>
      <c r="AL377" s="4">
        <f>IF(I377="","",--(I377=1))</f>
        <v/>
      </c>
      <c r="AM377" s="4">
        <f>IF(OR($B377="",J377=""),"",--(J377=$B377))</f>
        <v/>
      </c>
      <c r="AN377" s="4">
        <f>IF(OR($B377="",J377=""),"",IF($B377=1,--(J377=1),""))</f>
        <v/>
      </c>
      <c r="AO377" s="4">
        <f>IF(OR($B377="",J377=""),"",IF($B377=0,--(J377=0),""))</f>
        <v/>
      </c>
      <c r="AP377" s="4">
        <f>IF(J377="","",--(J377=1))</f>
        <v/>
      </c>
      <c r="AQ377" s="4">
        <f>IF(OR($B377="",K377=""),"",--(K377=$B377))</f>
        <v/>
      </c>
      <c r="AR377" s="4">
        <f>IF(OR($B377="",K377=""),"",IF($B377=1,--(K377=1),""))</f>
        <v/>
      </c>
      <c r="AS377" s="4">
        <f>IF(OR($B377="",K377=""),"",IF($B377=0,--(K377=0),""))</f>
        <v/>
      </c>
      <c r="AT377" s="4">
        <f>IF(K377="","",--(K377=1))</f>
        <v/>
      </c>
      <c r="AU377" s="4">
        <f>IF(OR($B377="",L377=""),"",--(L377=$B377))</f>
        <v/>
      </c>
      <c r="AV377" s="4">
        <f>IF(OR($B377="",L377=""),"",IF($B377=1,--(L377=1),""))</f>
        <v/>
      </c>
      <c r="AW377" s="4">
        <f>IF(OR($B377="",L377=""),"",IF($B377=0,--(L377=0),""))</f>
        <v/>
      </c>
      <c r="AX377" s="4">
        <f>IF(L377="","",--(L377=1))</f>
        <v/>
      </c>
      <c r="AY377" s="4">
        <f>IF(OR($B377="",M377=""),"",--(M377=$B377))</f>
        <v/>
      </c>
      <c r="AZ377" s="4">
        <f>IF(OR($B377="",M377=""),"",IF($B377=1,--(M377=1),""))</f>
        <v/>
      </c>
      <c r="BA377" s="4">
        <f>IF(OR($B377="",M377=""),"",IF($B377=0,--(M377=0),""))</f>
        <v/>
      </c>
      <c r="BB377" s="4">
        <f>IF(M377="","",--(M377=1))</f>
        <v/>
      </c>
      <c r="BC377" s="4">
        <f>IF(OR($B377="",N377=""),"",--(N377=$B377))</f>
        <v/>
      </c>
      <c r="BD377" s="4">
        <f>IF(OR($B377="",N377=""),"",IF($B377=1,--(N377=1),""))</f>
        <v/>
      </c>
      <c r="BE377" s="4">
        <f>IF(OR($B377="",N377=""),"",IF($B377=0,--(N377=0),""))</f>
        <v/>
      </c>
      <c r="BF377" s="4">
        <f>IF(N377="","",--(N377=1))</f>
        <v/>
      </c>
    </row>
    <row r="378">
      <c r="A378" s="3" t="inlineStr">
        <is>
          <t>2022109219</t>
        </is>
      </c>
      <c r="B378" s="3" t="inlineStr">
        <is>
          <t>0</t>
        </is>
      </c>
      <c r="C378" s="3" t="inlineStr">
        <is>
          <t>Direct</t>
        </is>
      </c>
      <c r="D378" s="3" t="inlineStr">
        <is>
          <t>1</t>
        </is>
      </c>
      <c r="E378" s="3" t="inlineStr">
        <is>
          <t>0</t>
        </is>
      </c>
      <c r="F378" s="3" t="inlineStr">
        <is>
          <t>0</t>
        </is>
      </c>
      <c r="G378" s="3" t="inlineStr">
        <is>
          <t>1</t>
        </is>
      </c>
      <c r="H378" s="3" t="inlineStr">
        <is>
          <t>1</t>
        </is>
      </c>
      <c r="I378" s="3" t="inlineStr">
        <is>
          <t>1</t>
        </is>
      </c>
      <c r="J378" s="3" t="inlineStr">
        <is>
          <t>1</t>
        </is>
      </c>
      <c r="K378" s="3" t="inlineStr">
        <is>
          <t>1</t>
        </is>
      </c>
      <c r="L378" s="3" t="inlineStr">
        <is>
          <t>1</t>
        </is>
      </c>
      <c r="M378" s="3" t="inlineStr">
        <is>
          <t>1</t>
        </is>
      </c>
      <c r="N378" s="3" t="inlineStr">
        <is>
          <t>1</t>
        </is>
      </c>
      <c r="O378" s="4">
        <f>IF(OR($B378="",D378=""),"",--(D378=$B378))</f>
        <v/>
      </c>
      <c r="P378" s="4">
        <f>IF(OR($B378="",D378=""),"",IF($B378=1,--(D378=1),""))</f>
        <v/>
      </c>
      <c r="Q378" s="4">
        <f>IF(OR($B378="",D378=""),"",IF($B378=0,--(D378=0),""))</f>
        <v/>
      </c>
      <c r="R378" s="4">
        <f>IF(D378="","",--(D378=1))</f>
        <v/>
      </c>
      <c r="S378" s="4">
        <f>IF(OR($B378="",E378=""),"",--(E378=$B378))</f>
        <v/>
      </c>
      <c r="T378" s="4">
        <f>IF(OR($B378="",E378=""),"",IF($B378=1,--(E378=1),""))</f>
        <v/>
      </c>
      <c r="U378" s="4">
        <f>IF(OR($B378="",E378=""),"",IF($B378=0,--(E378=0),""))</f>
        <v/>
      </c>
      <c r="V378" s="4">
        <f>IF(E378="","",--(E378=1))</f>
        <v/>
      </c>
      <c r="W378" s="4">
        <f>IF(OR($B378="",F378=""),"",--(F378=$B378))</f>
        <v/>
      </c>
      <c r="X378" s="4">
        <f>IF(OR($B378="",F378=""),"",IF($B378=1,--(F378=1),""))</f>
        <v/>
      </c>
      <c r="Y378" s="4">
        <f>IF(OR($B378="",F378=""),"",IF($B378=0,--(F378=0),""))</f>
        <v/>
      </c>
      <c r="Z378" s="4">
        <f>IF(F378="","",--(F378=1))</f>
        <v/>
      </c>
      <c r="AA378" s="4">
        <f>IF(OR($B378="",G378=""),"",--(G378=$B378))</f>
        <v/>
      </c>
      <c r="AB378" s="4">
        <f>IF(OR($B378="",G378=""),"",IF($B378=1,--(G378=1),""))</f>
        <v/>
      </c>
      <c r="AC378" s="4">
        <f>IF(OR($B378="",G378=""),"",IF($B378=0,--(G378=0),""))</f>
        <v/>
      </c>
      <c r="AD378" s="4">
        <f>IF(G378="","",--(G378=1))</f>
        <v/>
      </c>
      <c r="AE378" s="4">
        <f>IF(OR($B378="",H378=""),"",--(H378=$B378))</f>
        <v/>
      </c>
      <c r="AF378" s="4">
        <f>IF(OR($B378="",H378=""),"",IF($B378=1,--(H378=1),""))</f>
        <v/>
      </c>
      <c r="AG378" s="4">
        <f>IF(OR($B378="",H378=""),"",IF($B378=0,--(H378=0),""))</f>
        <v/>
      </c>
      <c r="AH378" s="4">
        <f>IF(H378="","",--(H378=1))</f>
        <v/>
      </c>
      <c r="AI378" s="4">
        <f>IF(OR($B378="",I378=""),"",--(I378=$B378))</f>
        <v/>
      </c>
      <c r="AJ378" s="4">
        <f>IF(OR($B378="",I378=""),"",IF($B378=1,--(I378=1),""))</f>
        <v/>
      </c>
      <c r="AK378" s="4">
        <f>IF(OR($B378="",I378=""),"",IF($B378=0,--(I378=0),""))</f>
        <v/>
      </c>
      <c r="AL378" s="4">
        <f>IF(I378="","",--(I378=1))</f>
        <v/>
      </c>
      <c r="AM378" s="4">
        <f>IF(OR($B378="",J378=""),"",--(J378=$B378))</f>
        <v/>
      </c>
      <c r="AN378" s="4">
        <f>IF(OR($B378="",J378=""),"",IF($B378=1,--(J378=1),""))</f>
        <v/>
      </c>
      <c r="AO378" s="4">
        <f>IF(OR($B378="",J378=""),"",IF($B378=0,--(J378=0),""))</f>
        <v/>
      </c>
      <c r="AP378" s="4">
        <f>IF(J378="","",--(J378=1))</f>
        <v/>
      </c>
      <c r="AQ378" s="4">
        <f>IF(OR($B378="",K378=""),"",--(K378=$B378))</f>
        <v/>
      </c>
      <c r="AR378" s="4">
        <f>IF(OR($B378="",K378=""),"",IF($B378=1,--(K378=1),""))</f>
        <v/>
      </c>
      <c r="AS378" s="4">
        <f>IF(OR($B378="",K378=""),"",IF($B378=0,--(K378=0),""))</f>
        <v/>
      </c>
      <c r="AT378" s="4">
        <f>IF(K378="","",--(K378=1))</f>
        <v/>
      </c>
      <c r="AU378" s="4">
        <f>IF(OR($B378="",L378=""),"",--(L378=$B378))</f>
        <v/>
      </c>
      <c r="AV378" s="4">
        <f>IF(OR($B378="",L378=""),"",IF($B378=1,--(L378=1),""))</f>
        <v/>
      </c>
      <c r="AW378" s="4">
        <f>IF(OR($B378="",L378=""),"",IF($B378=0,--(L378=0),""))</f>
        <v/>
      </c>
      <c r="AX378" s="4">
        <f>IF(L378="","",--(L378=1))</f>
        <v/>
      </c>
      <c r="AY378" s="4">
        <f>IF(OR($B378="",M378=""),"",--(M378=$B378))</f>
        <v/>
      </c>
      <c r="AZ378" s="4">
        <f>IF(OR($B378="",M378=""),"",IF($B378=1,--(M378=1),""))</f>
        <v/>
      </c>
      <c r="BA378" s="4">
        <f>IF(OR($B378="",M378=""),"",IF($B378=0,--(M378=0),""))</f>
        <v/>
      </c>
      <c r="BB378" s="4">
        <f>IF(M378="","",--(M378=1))</f>
        <v/>
      </c>
      <c r="BC378" s="4">
        <f>IF(OR($B378="",N378=""),"",--(N378=$B378))</f>
        <v/>
      </c>
      <c r="BD378" s="4">
        <f>IF(OR($B378="",N378=""),"",IF($B378=1,--(N378=1),""))</f>
        <v/>
      </c>
      <c r="BE378" s="4">
        <f>IF(OR($B378="",N378=""),"",IF($B378=0,--(N378=0),""))</f>
        <v/>
      </c>
      <c r="BF378" s="4">
        <f>IF(N378="","",--(N378=1))</f>
        <v/>
      </c>
    </row>
    <row r="379">
      <c r="A379" s="3" t="inlineStr">
        <is>
          <t>202211475</t>
        </is>
      </c>
      <c r="B379" s="3" t="inlineStr">
        <is>
          <t>0</t>
        </is>
      </c>
      <c r="C379" s="3" t="inlineStr">
        <is>
          <t>Direct</t>
        </is>
      </c>
      <c r="D379" s="3" t="inlineStr">
        <is>
          <t>1</t>
        </is>
      </c>
      <c r="E379" s="3" t="inlineStr">
        <is>
          <t>1</t>
        </is>
      </c>
      <c r="F379" s="3" t="inlineStr">
        <is>
          <t>1</t>
        </is>
      </c>
      <c r="G379" s="3" t="inlineStr">
        <is>
          <t>0</t>
        </is>
      </c>
      <c r="H379" s="3" t="inlineStr">
        <is>
          <t>1</t>
        </is>
      </c>
      <c r="I379" s="3" t="inlineStr">
        <is>
          <t>1</t>
        </is>
      </c>
      <c r="J379" s="3" t="inlineStr">
        <is>
          <t>1</t>
        </is>
      </c>
      <c r="K379" s="3" t="inlineStr">
        <is>
          <t>1</t>
        </is>
      </c>
      <c r="L379" s="3" t="inlineStr">
        <is>
          <t>1</t>
        </is>
      </c>
      <c r="M379" s="3" t="inlineStr">
        <is>
          <t>1</t>
        </is>
      </c>
      <c r="N379" s="3" t="inlineStr">
        <is>
          <t>1</t>
        </is>
      </c>
      <c r="O379" s="4">
        <f>IF(OR($B379="",D379=""),"",--(D379=$B379))</f>
        <v/>
      </c>
      <c r="P379" s="4">
        <f>IF(OR($B379="",D379=""),"",IF($B379=1,--(D379=1),""))</f>
        <v/>
      </c>
      <c r="Q379" s="4">
        <f>IF(OR($B379="",D379=""),"",IF($B379=0,--(D379=0),""))</f>
        <v/>
      </c>
      <c r="R379" s="4">
        <f>IF(D379="","",--(D379=1))</f>
        <v/>
      </c>
      <c r="S379" s="4">
        <f>IF(OR($B379="",E379=""),"",--(E379=$B379))</f>
        <v/>
      </c>
      <c r="T379" s="4">
        <f>IF(OR($B379="",E379=""),"",IF($B379=1,--(E379=1),""))</f>
        <v/>
      </c>
      <c r="U379" s="4">
        <f>IF(OR($B379="",E379=""),"",IF($B379=0,--(E379=0),""))</f>
        <v/>
      </c>
      <c r="V379" s="4">
        <f>IF(E379="","",--(E379=1))</f>
        <v/>
      </c>
      <c r="W379" s="4">
        <f>IF(OR($B379="",F379=""),"",--(F379=$B379))</f>
        <v/>
      </c>
      <c r="X379" s="4">
        <f>IF(OR($B379="",F379=""),"",IF($B379=1,--(F379=1),""))</f>
        <v/>
      </c>
      <c r="Y379" s="4">
        <f>IF(OR($B379="",F379=""),"",IF($B379=0,--(F379=0),""))</f>
        <v/>
      </c>
      <c r="Z379" s="4">
        <f>IF(F379="","",--(F379=1))</f>
        <v/>
      </c>
      <c r="AA379" s="4">
        <f>IF(OR($B379="",G379=""),"",--(G379=$B379))</f>
        <v/>
      </c>
      <c r="AB379" s="4">
        <f>IF(OR($B379="",G379=""),"",IF($B379=1,--(G379=1),""))</f>
        <v/>
      </c>
      <c r="AC379" s="4">
        <f>IF(OR($B379="",G379=""),"",IF($B379=0,--(G379=0),""))</f>
        <v/>
      </c>
      <c r="AD379" s="4">
        <f>IF(G379="","",--(G379=1))</f>
        <v/>
      </c>
      <c r="AE379" s="4">
        <f>IF(OR($B379="",H379=""),"",--(H379=$B379))</f>
        <v/>
      </c>
      <c r="AF379" s="4">
        <f>IF(OR($B379="",H379=""),"",IF($B379=1,--(H379=1),""))</f>
        <v/>
      </c>
      <c r="AG379" s="4">
        <f>IF(OR($B379="",H379=""),"",IF($B379=0,--(H379=0),""))</f>
        <v/>
      </c>
      <c r="AH379" s="4">
        <f>IF(H379="","",--(H379=1))</f>
        <v/>
      </c>
      <c r="AI379" s="4">
        <f>IF(OR($B379="",I379=""),"",--(I379=$B379))</f>
        <v/>
      </c>
      <c r="AJ379" s="4">
        <f>IF(OR($B379="",I379=""),"",IF($B379=1,--(I379=1),""))</f>
        <v/>
      </c>
      <c r="AK379" s="4">
        <f>IF(OR($B379="",I379=""),"",IF($B379=0,--(I379=0),""))</f>
        <v/>
      </c>
      <c r="AL379" s="4">
        <f>IF(I379="","",--(I379=1))</f>
        <v/>
      </c>
      <c r="AM379" s="4">
        <f>IF(OR($B379="",J379=""),"",--(J379=$B379))</f>
        <v/>
      </c>
      <c r="AN379" s="4">
        <f>IF(OR($B379="",J379=""),"",IF($B379=1,--(J379=1),""))</f>
        <v/>
      </c>
      <c r="AO379" s="4">
        <f>IF(OR($B379="",J379=""),"",IF($B379=0,--(J379=0),""))</f>
        <v/>
      </c>
      <c r="AP379" s="4">
        <f>IF(J379="","",--(J379=1))</f>
        <v/>
      </c>
      <c r="AQ379" s="4">
        <f>IF(OR($B379="",K379=""),"",--(K379=$B379))</f>
        <v/>
      </c>
      <c r="AR379" s="4">
        <f>IF(OR($B379="",K379=""),"",IF($B379=1,--(K379=1),""))</f>
        <v/>
      </c>
      <c r="AS379" s="4">
        <f>IF(OR($B379="",K379=""),"",IF($B379=0,--(K379=0),""))</f>
        <v/>
      </c>
      <c r="AT379" s="4">
        <f>IF(K379="","",--(K379=1))</f>
        <v/>
      </c>
      <c r="AU379" s="4">
        <f>IF(OR($B379="",L379=""),"",--(L379=$B379))</f>
        <v/>
      </c>
      <c r="AV379" s="4">
        <f>IF(OR($B379="",L379=""),"",IF($B379=1,--(L379=1),""))</f>
        <v/>
      </c>
      <c r="AW379" s="4">
        <f>IF(OR($B379="",L379=""),"",IF($B379=0,--(L379=0),""))</f>
        <v/>
      </c>
      <c r="AX379" s="4">
        <f>IF(L379="","",--(L379=1))</f>
        <v/>
      </c>
      <c r="AY379" s="4">
        <f>IF(OR($B379="",M379=""),"",--(M379=$B379))</f>
        <v/>
      </c>
      <c r="AZ379" s="4">
        <f>IF(OR($B379="",M379=""),"",IF($B379=1,--(M379=1),""))</f>
        <v/>
      </c>
      <c r="BA379" s="4">
        <f>IF(OR($B379="",M379=""),"",IF($B379=0,--(M379=0),""))</f>
        <v/>
      </c>
      <c r="BB379" s="4">
        <f>IF(M379="","",--(M379=1))</f>
        <v/>
      </c>
      <c r="BC379" s="4">
        <f>IF(OR($B379="",N379=""),"",--(N379=$B379))</f>
        <v/>
      </c>
      <c r="BD379" s="4">
        <f>IF(OR($B379="",N379=""),"",IF($B379=1,--(N379=1),""))</f>
        <v/>
      </c>
      <c r="BE379" s="4">
        <f>IF(OR($B379="",N379=""),"",IF($B379=0,--(N379=0),""))</f>
        <v/>
      </c>
      <c r="BF379" s="4">
        <f>IF(N379="","",--(N379=1))</f>
        <v/>
      </c>
    </row>
    <row r="380">
      <c r="A380" s="3" t="inlineStr">
        <is>
          <t>202211731</t>
        </is>
      </c>
      <c r="B380" s="3" t="inlineStr">
        <is>
          <t>0</t>
        </is>
      </c>
      <c r="C380" s="3" t="inlineStr">
        <is>
          <t>Direct</t>
        </is>
      </c>
      <c r="D380" s="3" t="inlineStr">
        <is>
          <t>0</t>
        </is>
      </c>
      <c r="E380" s="3" t="inlineStr">
        <is>
          <t>1</t>
        </is>
      </c>
      <c r="F380" s="3" t="inlineStr">
        <is>
          <t>0</t>
        </is>
      </c>
      <c r="G380" s="3" t="inlineStr">
        <is>
          <t>0</t>
        </is>
      </c>
      <c r="H380" s="3" t="inlineStr">
        <is>
          <t>0</t>
        </is>
      </c>
      <c r="I380" s="3" t="inlineStr">
        <is>
          <t>0</t>
        </is>
      </c>
      <c r="J380" s="3" t="inlineStr">
        <is>
          <t>0</t>
        </is>
      </c>
      <c r="K380" s="3" t="inlineStr">
        <is>
          <t>0</t>
        </is>
      </c>
      <c r="L380" s="3" t="inlineStr">
        <is>
          <t>0</t>
        </is>
      </c>
      <c r="M380" s="3" t="inlineStr">
        <is>
          <t>0</t>
        </is>
      </c>
      <c r="N380" s="3" t="inlineStr">
        <is>
          <t>1</t>
        </is>
      </c>
      <c r="O380" s="4">
        <f>IF(OR($B380="",D380=""),"",--(D380=$B380))</f>
        <v/>
      </c>
      <c r="P380" s="4">
        <f>IF(OR($B380="",D380=""),"",IF($B380=1,--(D380=1),""))</f>
        <v/>
      </c>
      <c r="Q380" s="4">
        <f>IF(OR($B380="",D380=""),"",IF($B380=0,--(D380=0),""))</f>
        <v/>
      </c>
      <c r="R380" s="4">
        <f>IF(D380="","",--(D380=1))</f>
        <v/>
      </c>
      <c r="S380" s="4">
        <f>IF(OR($B380="",E380=""),"",--(E380=$B380))</f>
        <v/>
      </c>
      <c r="T380" s="4">
        <f>IF(OR($B380="",E380=""),"",IF($B380=1,--(E380=1),""))</f>
        <v/>
      </c>
      <c r="U380" s="4">
        <f>IF(OR($B380="",E380=""),"",IF($B380=0,--(E380=0),""))</f>
        <v/>
      </c>
      <c r="V380" s="4">
        <f>IF(E380="","",--(E380=1))</f>
        <v/>
      </c>
      <c r="W380" s="4">
        <f>IF(OR($B380="",F380=""),"",--(F380=$B380))</f>
        <v/>
      </c>
      <c r="X380" s="4">
        <f>IF(OR($B380="",F380=""),"",IF($B380=1,--(F380=1),""))</f>
        <v/>
      </c>
      <c r="Y380" s="4">
        <f>IF(OR($B380="",F380=""),"",IF($B380=0,--(F380=0),""))</f>
        <v/>
      </c>
      <c r="Z380" s="4">
        <f>IF(F380="","",--(F380=1))</f>
        <v/>
      </c>
      <c r="AA380" s="4">
        <f>IF(OR($B380="",G380=""),"",--(G380=$B380))</f>
        <v/>
      </c>
      <c r="AB380" s="4">
        <f>IF(OR($B380="",G380=""),"",IF($B380=1,--(G380=1),""))</f>
        <v/>
      </c>
      <c r="AC380" s="4">
        <f>IF(OR($B380="",G380=""),"",IF($B380=0,--(G380=0),""))</f>
        <v/>
      </c>
      <c r="AD380" s="4">
        <f>IF(G380="","",--(G380=1))</f>
        <v/>
      </c>
      <c r="AE380" s="4">
        <f>IF(OR($B380="",H380=""),"",--(H380=$B380))</f>
        <v/>
      </c>
      <c r="AF380" s="4">
        <f>IF(OR($B380="",H380=""),"",IF($B380=1,--(H380=1),""))</f>
        <v/>
      </c>
      <c r="AG380" s="4">
        <f>IF(OR($B380="",H380=""),"",IF($B380=0,--(H380=0),""))</f>
        <v/>
      </c>
      <c r="AH380" s="4">
        <f>IF(H380="","",--(H380=1))</f>
        <v/>
      </c>
      <c r="AI380" s="4">
        <f>IF(OR($B380="",I380=""),"",--(I380=$B380))</f>
        <v/>
      </c>
      <c r="AJ380" s="4">
        <f>IF(OR($B380="",I380=""),"",IF($B380=1,--(I380=1),""))</f>
        <v/>
      </c>
      <c r="AK380" s="4">
        <f>IF(OR($B380="",I380=""),"",IF($B380=0,--(I380=0),""))</f>
        <v/>
      </c>
      <c r="AL380" s="4">
        <f>IF(I380="","",--(I380=1))</f>
        <v/>
      </c>
      <c r="AM380" s="4">
        <f>IF(OR($B380="",J380=""),"",--(J380=$B380))</f>
        <v/>
      </c>
      <c r="AN380" s="4">
        <f>IF(OR($B380="",J380=""),"",IF($B380=1,--(J380=1),""))</f>
        <v/>
      </c>
      <c r="AO380" s="4">
        <f>IF(OR($B380="",J380=""),"",IF($B380=0,--(J380=0),""))</f>
        <v/>
      </c>
      <c r="AP380" s="4">
        <f>IF(J380="","",--(J380=1))</f>
        <v/>
      </c>
      <c r="AQ380" s="4">
        <f>IF(OR($B380="",K380=""),"",--(K380=$B380))</f>
        <v/>
      </c>
      <c r="AR380" s="4">
        <f>IF(OR($B380="",K380=""),"",IF($B380=1,--(K380=1),""))</f>
        <v/>
      </c>
      <c r="AS380" s="4">
        <f>IF(OR($B380="",K380=""),"",IF($B380=0,--(K380=0),""))</f>
        <v/>
      </c>
      <c r="AT380" s="4">
        <f>IF(K380="","",--(K380=1))</f>
        <v/>
      </c>
      <c r="AU380" s="4">
        <f>IF(OR($B380="",L380=""),"",--(L380=$B380))</f>
        <v/>
      </c>
      <c r="AV380" s="4">
        <f>IF(OR($B380="",L380=""),"",IF($B380=1,--(L380=1),""))</f>
        <v/>
      </c>
      <c r="AW380" s="4">
        <f>IF(OR($B380="",L380=""),"",IF($B380=0,--(L380=0),""))</f>
        <v/>
      </c>
      <c r="AX380" s="4">
        <f>IF(L380="","",--(L380=1))</f>
        <v/>
      </c>
      <c r="AY380" s="4">
        <f>IF(OR($B380="",M380=""),"",--(M380=$B380))</f>
        <v/>
      </c>
      <c r="AZ380" s="4">
        <f>IF(OR($B380="",M380=""),"",IF($B380=1,--(M380=1),""))</f>
        <v/>
      </c>
      <c r="BA380" s="4">
        <f>IF(OR($B380="",M380=""),"",IF($B380=0,--(M380=0),""))</f>
        <v/>
      </c>
      <c r="BB380" s="4">
        <f>IF(M380="","",--(M380=1))</f>
        <v/>
      </c>
      <c r="BC380" s="4">
        <f>IF(OR($B380="",N380=""),"",--(N380=$B380))</f>
        <v/>
      </c>
      <c r="BD380" s="4">
        <f>IF(OR($B380="",N380=""),"",IF($B380=1,--(N380=1),""))</f>
        <v/>
      </c>
      <c r="BE380" s="4">
        <f>IF(OR($B380="",N380=""),"",IF($B380=0,--(N380=0),""))</f>
        <v/>
      </c>
      <c r="BF380" s="4">
        <f>IF(N380="","",--(N380=1))</f>
        <v/>
      </c>
    </row>
    <row r="381">
      <c r="A381" s="3" t="inlineStr">
        <is>
          <t>202214506</t>
        </is>
      </c>
      <c r="B381" s="3" t="inlineStr">
        <is>
          <t>1</t>
        </is>
      </c>
      <c r="C381" s="3" t="inlineStr">
        <is>
          <t>Direct</t>
        </is>
      </c>
      <c r="D381" s="3" t="inlineStr">
        <is>
          <t>1</t>
        </is>
      </c>
      <c r="E381" s="3" t="inlineStr">
        <is>
          <t>1</t>
        </is>
      </c>
      <c r="F381" s="3" t="inlineStr">
        <is>
          <t>0</t>
        </is>
      </c>
      <c r="G381" s="3" t="inlineStr">
        <is>
          <t>1</t>
        </is>
      </c>
      <c r="H381" s="3" t="inlineStr">
        <is>
          <t>1</t>
        </is>
      </c>
      <c r="I381" s="3" t="inlineStr">
        <is>
          <t>1</t>
        </is>
      </c>
      <c r="J381" s="3" t="inlineStr">
        <is>
          <t>1</t>
        </is>
      </c>
      <c r="K381" s="3" t="inlineStr">
        <is>
          <t>1</t>
        </is>
      </c>
      <c r="L381" s="3" t="inlineStr">
        <is>
          <t>1</t>
        </is>
      </c>
      <c r="M381" s="3" t="inlineStr">
        <is>
          <t>1</t>
        </is>
      </c>
      <c r="N381" s="3" t="inlineStr">
        <is>
          <t>1</t>
        </is>
      </c>
      <c r="O381" s="4">
        <f>IF(OR($B381="",D381=""),"",--(D381=$B381))</f>
        <v/>
      </c>
      <c r="P381" s="4">
        <f>IF(OR($B381="",D381=""),"",IF($B381=1,--(D381=1),""))</f>
        <v/>
      </c>
      <c r="Q381" s="4">
        <f>IF(OR($B381="",D381=""),"",IF($B381=0,--(D381=0),""))</f>
        <v/>
      </c>
      <c r="R381" s="4">
        <f>IF(D381="","",--(D381=1))</f>
        <v/>
      </c>
      <c r="S381" s="4">
        <f>IF(OR($B381="",E381=""),"",--(E381=$B381))</f>
        <v/>
      </c>
      <c r="T381" s="4">
        <f>IF(OR($B381="",E381=""),"",IF($B381=1,--(E381=1),""))</f>
        <v/>
      </c>
      <c r="U381" s="4">
        <f>IF(OR($B381="",E381=""),"",IF($B381=0,--(E381=0),""))</f>
        <v/>
      </c>
      <c r="V381" s="4">
        <f>IF(E381="","",--(E381=1))</f>
        <v/>
      </c>
      <c r="W381" s="4">
        <f>IF(OR($B381="",F381=""),"",--(F381=$B381))</f>
        <v/>
      </c>
      <c r="X381" s="4">
        <f>IF(OR($B381="",F381=""),"",IF($B381=1,--(F381=1),""))</f>
        <v/>
      </c>
      <c r="Y381" s="4">
        <f>IF(OR($B381="",F381=""),"",IF($B381=0,--(F381=0),""))</f>
        <v/>
      </c>
      <c r="Z381" s="4">
        <f>IF(F381="","",--(F381=1))</f>
        <v/>
      </c>
      <c r="AA381" s="4">
        <f>IF(OR($B381="",G381=""),"",--(G381=$B381))</f>
        <v/>
      </c>
      <c r="AB381" s="4">
        <f>IF(OR($B381="",G381=""),"",IF($B381=1,--(G381=1),""))</f>
        <v/>
      </c>
      <c r="AC381" s="4">
        <f>IF(OR($B381="",G381=""),"",IF($B381=0,--(G381=0),""))</f>
        <v/>
      </c>
      <c r="AD381" s="4">
        <f>IF(G381="","",--(G381=1))</f>
        <v/>
      </c>
      <c r="AE381" s="4">
        <f>IF(OR($B381="",H381=""),"",--(H381=$B381))</f>
        <v/>
      </c>
      <c r="AF381" s="4">
        <f>IF(OR($B381="",H381=""),"",IF($B381=1,--(H381=1),""))</f>
        <v/>
      </c>
      <c r="AG381" s="4">
        <f>IF(OR($B381="",H381=""),"",IF($B381=0,--(H381=0),""))</f>
        <v/>
      </c>
      <c r="AH381" s="4">
        <f>IF(H381="","",--(H381=1))</f>
        <v/>
      </c>
      <c r="AI381" s="4">
        <f>IF(OR($B381="",I381=""),"",--(I381=$B381))</f>
        <v/>
      </c>
      <c r="AJ381" s="4">
        <f>IF(OR($B381="",I381=""),"",IF($B381=1,--(I381=1),""))</f>
        <v/>
      </c>
      <c r="AK381" s="4">
        <f>IF(OR($B381="",I381=""),"",IF($B381=0,--(I381=0),""))</f>
        <v/>
      </c>
      <c r="AL381" s="4">
        <f>IF(I381="","",--(I381=1))</f>
        <v/>
      </c>
      <c r="AM381" s="4">
        <f>IF(OR($B381="",J381=""),"",--(J381=$B381))</f>
        <v/>
      </c>
      <c r="AN381" s="4">
        <f>IF(OR($B381="",J381=""),"",IF($B381=1,--(J381=1),""))</f>
        <v/>
      </c>
      <c r="AO381" s="4">
        <f>IF(OR($B381="",J381=""),"",IF($B381=0,--(J381=0),""))</f>
        <v/>
      </c>
      <c r="AP381" s="4">
        <f>IF(J381="","",--(J381=1))</f>
        <v/>
      </c>
      <c r="AQ381" s="4">
        <f>IF(OR($B381="",K381=""),"",--(K381=$B381))</f>
        <v/>
      </c>
      <c r="AR381" s="4">
        <f>IF(OR($B381="",K381=""),"",IF($B381=1,--(K381=1),""))</f>
        <v/>
      </c>
      <c r="AS381" s="4">
        <f>IF(OR($B381="",K381=""),"",IF($B381=0,--(K381=0),""))</f>
        <v/>
      </c>
      <c r="AT381" s="4">
        <f>IF(K381="","",--(K381=1))</f>
        <v/>
      </c>
      <c r="AU381" s="4">
        <f>IF(OR($B381="",L381=""),"",--(L381=$B381))</f>
        <v/>
      </c>
      <c r="AV381" s="4">
        <f>IF(OR($B381="",L381=""),"",IF($B381=1,--(L381=1),""))</f>
        <v/>
      </c>
      <c r="AW381" s="4">
        <f>IF(OR($B381="",L381=""),"",IF($B381=0,--(L381=0),""))</f>
        <v/>
      </c>
      <c r="AX381" s="4">
        <f>IF(L381="","",--(L381=1))</f>
        <v/>
      </c>
      <c r="AY381" s="4">
        <f>IF(OR($B381="",M381=""),"",--(M381=$B381))</f>
        <v/>
      </c>
      <c r="AZ381" s="4">
        <f>IF(OR($B381="",M381=""),"",IF($B381=1,--(M381=1),""))</f>
        <v/>
      </c>
      <c r="BA381" s="4">
        <f>IF(OR($B381="",M381=""),"",IF($B381=0,--(M381=0),""))</f>
        <v/>
      </c>
      <c r="BB381" s="4">
        <f>IF(M381="","",--(M381=1))</f>
        <v/>
      </c>
      <c r="BC381" s="4">
        <f>IF(OR($B381="",N381=""),"",--(N381=$B381))</f>
        <v/>
      </c>
      <c r="BD381" s="4">
        <f>IF(OR($B381="",N381=""),"",IF($B381=1,--(N381=1),""))</f>
        <v/>
      </c>
      <c r="BE381" s="4">
        <f>IF(OR($B381="",N381=""),"",IF($B381=0,--(N381=0),""))</f>
        <v/>
      </c>
      <c r="BF381" s="4">
        <f>IF(N381="","",--(N381=1))</f>
        <v/>
      </c>
    </row>
    <row r="382">
      <c r="A382" s="3" t="inlineStr">
        <is>
          <t>20221471</t>
        </is>
      </c>
      <c r="B382" s="3" t="inlineStr">
        <is>
          <t>0</t>
        </is>
      </c>
      <c r="C382" s="3" t="inlineStr">
        <is>
          <t>Direct</t>
        </is>
      </c>
      <c r="D382" s="3" t="inlineStr">
        <is>
          <t>0</t>
        </is>
      </c>
      <c r="E382" s="3" t="inlineStr">
        <is>
          <t>0</t>
        </is>
      </c>
      <c r="F382" s="3" t="inlineStr">
        <is>
          <t>0</t>
        </is>
      </c>
      <c r="G382" s="3" t="inlineStr">
        <is>
          <t>0</t>
        </is>
      </c>
      <c r="H382" s="3" t="inlineStr">
        <is>
          <t>0</t>
        </is>
      </c>
      <c r="I382" s="3" t="inlineStr">
        <is>
          <t>0</t>
        </is>
      </c>
      <c r="J382" s="3" t="inlineStr">
        <is>
          <t>0</t>
        </is>
      </c>
      <c r="K382" s="3" t="inlineStr">
        <is>
          <t>0</t>
        </is>
      </c>
      <c r="L382" s="3" t="inlineStr">
        <is>
          <t>0</t>
        </is>
      </c>
      <c r="M382" s="3" t="inlineStr">
        <is>
          <t>0</t>
        </is>
      </c>
      <c r="N382" s="3" t="inlineStr">
        <is>
          <t>0</t>
        </is>
      </c>
      <c r="O382" s="4">
        <f>IF(OR($B382="",D382=""),"",--(D382=$B382))</f>
        <v/>
      </c>
      <c r="P382" s="4">
        <f>IF(OR($B382="",D382=""),"",IF($B382=1,--(D382=1),""))</f>
        <v/>
      </c>
      <c r="Q382" s="4">
        <f>IF(OR($B382="",D382=""),"",IF($B382=0,--(D382=0),""))</f>
        <v/>
      </c>
      <c r="R382" s="4">
        <f>IF(D382="","",--(D382=1))</f>
        <v/>
      </c>
      <c r="S382" s="4">
        <f>IF(OR($B382="",E382=""),"",--(E382=$B382))</f>
        <v/>
      </c>
      <c r="T382" s="4">
        <f>IF(OR($B382="",E382=""),"",IF($B382=1,--(E382=1),""))</f>
        <v/>
      </c>
      <c r="U382" s="4">
        <f>IF(OR($B382="",E382=""),"",IF($B382=0,--(E382=0),""))</f>
        <v/>
      </c>
      <c r="V382" s="4">
        <f>IF(E382="","",--(E382=1))</f>
        <v/>
      </c>
      <c r="W382" s="4">
        <f>IF(OR($B382="",F382=""),"",--(F382=$B382))</f>
        <v/>
      </c>
      <c r="X382" s="4">
        <f>IF(OR($B382="",F382=""),"",IF($B382=1,--(F382=1),""))</f>
        <v/>
      </c>
      <c r="Y382" s="4">
        <f>IF(OR($B382="",F382=""),"",IF($B382=0,--(F382=0),""))</f>
        <v/>
      </c>
      <c r="Z382" s="4">
        <f>IF(F382="","",--(F382=1))</f>
        <v/>
      </c>
      <c r="AA382" s="4">
        <f>IF(OR($B382="",G382=""),"",--(G382=$B382))</f>
        <v/>
      </c>
      <c r="AB382" s="4">
        <f>IF(OR($B382="",G382=""),"",IF($B382=1,--(G382=1),""))</f>
        <v/>
      </c>
      <c r="AC382" s="4">
        <f>IF(OR($B382="",G382=""),"",IF($B382=0,--(G382=0),""))</f>
        <v/>
      </c>
      <c r="AD382" s="4">
        <f>IF(G382="","",--(G382=1))</f>
        <v/>
      </c>
      <c r="AE382" s="4">
        <f>IF(OR($B382="",H382=""),"",--(H382=$B382))</f>
        <v/>
      </c>
      <c r="AF382" s="4">
        <f>IF(OR($B382="",H382=""),"",IF($B382=1,--(H382=1),""))</f>
        <v/>
      </c>
      <c r="AG382" s="4">
        <f>IF(OR($B382="",H382=""),"",IF($B382=0,--(H382=0),""))</f>
        <v/>
      </c>
      <c r="AH382" s="4">
        <f>IF(H382="","",--(H382=1))</f>
        <v/>
      </c>
      <c r="AI382" s="4">
        <f>IF(OR($B382="",I382=""),"",--(I382=$B382))</f>
        <v/>
      </c>
      <c r="AJ382" s="4">
        <f>IF(OR($B382="",I382=""),"",IF($B382=1,--(I382=1),""))</f>
        <v/>
      </c>
      <c r="AK382" s="4">
        <f>IF(OR($B382="",I382=""),"",IF($B382=0,--(I382=0),""))</f>
        <v/>
      </c>
      <c r="AL382" s="4">
        <f>IF(I382="","",--(I382=1))</f>
        <v/>
      </c>
      <c r="AM382" s="4">
        <f>IF(OR($B382="",J382=""),"",--(J382=$B382))</f>
        <v/>
      </c>
      <c r="AN382" s="4">
        <f>IF(OR($B382="",J382=""),"",IF($B382=1,--(J382=1),""))</f>
        <v/>
      </c>
      <c r="AO382" s="4">
        <f>IF(OR($B382="",J382=""),"",IF($B382=0,--(J382=0),""))</f>
        <v/>
      </c>
      <c r="AP382" s="4">
        <f>IF(J382="","",--(J382=1))</f>
        <v/>
      </c>
      <c r="AQ382" s="4">
        <f>IF(OR($B382="",K382=""),"",--(K382=$B382))</f>
        <v/>
      </c>
      <c r="AR382" s="4">
        <f>IF(OR($B382="",K382=""),"",IF($B382=1,--(K382=1),""))</f>
        <v/>
      </c>
      <c r="AS382" s="4">
        <f>IF(OR($B382="",K382=""),"",IF($B382=0,--(K382=0),""))</f>
        <v/>
      </c>
      <c r="AT382" s="4">
        <f>IF(K382="","",--(K382=1))</f>
        <v/>
      </c>
      <c r="AU382" s="4">
        <f>IF(OR($B382="",L382=""),"",--(L382=$B382))</f>
        <v/>
      </c>
      <c r="AV382" s="4">
        <f>IF(OR($B382="",L382=""),"",IF($B382=1,--(L382=1),""))</f>
        <v/>
      </c>
      <c r="AW382" s="4">
        <f>IF(OR($B382="",L382=""),"",IF($B382=0,--(L382=0),""))</f>
        <v/>
      </c>
      <c r="AX382" s="4">
        <f>IF(L382="","",--(L382=1))</f>
        <v/>
      </c>
      <c r="AY382" s="4">
        <f>IF(OR($B382="",M382=""),"",--(M382=$B382))</f>
        <v/>
      </c>
      <c r="AZ382" s="4">
        <f>IF(OR($B382="",M382=""),"",IF($B382=1,--(M382=1),""))</f>
        <v/>
      </c>
      <c r="BA382" s="4">
        <f>IF(OR($B382="",M382=""),"",IF($B382=0,--(M382=0),""))</f>
        <v/>
      </c>
      <c r="BB382" s="4">
        <f>IF(M382="","",--(M382=1))</f>
        <v/>
      </c>
      <c r="BC382" s="4">
        <f>IF(OR($B382="",N382=""),"",--(N382=$B382))</f>
        <v/>
      </c>
      <c r="BD382" s="4">
        <f>IF(OR($B382="",N382=""),"",IF($B382=1,--(N382=1),""))</f>
        <v/>
      </c>
      <c r="BE382" s="4">
        <f>IF(OR($B382="",N382=""),"",IF($B382=0,--(N382=0),""))</f>
        <v/>
      </c>
      <c r="BF382" s="4">
        <f>IF(N382="","",--(N382=1))</f>
        <v/>
      </c>
    </row>
    <row r="383">
      <c r="A383" s="3" t="inlineStr">
        <is>
          <t>202215062</t>
        </is>
      </c>
      <c r="B383" s="3" t="inlineStr">
        <is>
          <t>0</t>
        </is>
      </c>
      <c r="C383" s="3" t="inlineStr">
        <is>
          <t>Direct</t>
        </is>
      </c>
      <c r="D383" s="3" t="inlineStr">
        <is>
          <t>0</t>
        </is>
      </c>
      <c r="E383" s="3" t="inlineStr">
        <is>
          <t>1</t>
        </is>
      </c>
      <c r="F383" s="3" t="inlineStr">
        <is>
          <t>0</t>
        </is>
      </c>
      <c r="G383" s="3" t="inlineStr">
        <is>
          <t>0</t>
        </is>
      </c>
      <c r="H383" s="3" t="inlineStr">
        <is>
          <t>0</t>
        </is>
      </c>
      <c r="I383" s="3" t="inlineStr">
        <is>
          <t>0</t>
        </is>
      </c>
      <c r="J383" s="3" t="inlineStr">
        <is>
          <t>0</t>
        </is>
      </c>
      <c r="K383" s="3" t="inlineStr">
        <is>
          <t>0</t>
        </is>
      </c>
      <c r="L383" s="3" t="inlineStr">
        <is>
          <t>0</t>
        </is>
      </c>
      <c r="M383" s="3" t="inlineStr">
        <is>
          <t>0</t>
        </is>
      </c>
      <c r="N383" s="3" t="inlineStr">
        <is>
          <t>0</t>
        </is>
      </c>
      <c r="O383" s="4">
        <f>IF(OR($B383="",D383=""),"",--(D383=$B383))</f>
        <v/>
      </c>
      <c r="P383" s="4">
        <f>IF(OR($B383="",D383=""),"",IF($B383=1,--(D383=1),""))</f>
        <v/>
      </c>
      <c r="Q383" s="4">
        <f>IF(OR($B383="",D383=""),"",IF($B383=0,--(D383=0),""))</f>
        <v/>
      </c>
      <c r="R383" s="4">
        <f>IF(D383="","",--(D383=1))</f>
        <v/>
      </c>
      <c r="S383" s="4">
        <f>IF(OR($B383="",E383=""),"",--(E383=$B383))</f>
        <v/>
      </c>
      <c r="T383" s="4">
        <f>IF(OR($B383="",E383=""),"",IF($B383=1,--(E383=1),""))</f>
        <v/>
      </c>
      <c r="U383" s="4">
        <f>IF(OR($B383="",E383=""),"",IF($B383=0,--(E383=0),""))</f>
        <v/>
      </c>
      <c r="V383" s="4">
        <f>IF(E383="","",--(E383=1))</f>
        <v/>
      </c>
      <c r="W383" s="4">
        <f>IF(OR($B383="",F383=""),"",--(F383=$B383))</f>
        <v/>
      </c>
      <c r="X383" s="4">
        <f>IF(OR($B383="",F383=""),"",IF($B383=1,--(F383=1),""))</f>
        <v/>
      </c>
      <c r="Y383" s="4">
        <f>IF(OR($B383="",F383=""),"",IF($B383=0,--(F383=0),""))</f>
        <v/>
      </c>
      <c r="Z383" s="4">
        <f>IF(F383="","",--(F383=1))</f>
        <v/>
      </c>
      <c r="AA383" s="4">
        <f>IF(OR($B383="",G383=""),"",--(G383=$B383))</f>
        <v/>
      </c>
      <c r="AB383" s="4">
        <f>IF(OR($B383="",G383=""),"",IF($B383=1,--(G383=1),""))</f>
        <v/>
      </c>
      <c r="AC383" s="4">
        <f>IF(OR($B383="",G383=""),"",IF($B383=0,--(G383=0),""))</f>
        <v/>
      </c>
      <c r="AD383" s="4">
        <f>IF(G383="","",--(G383=1))</f>
        <v/>
      </c>
      <c r="AE383" s="4">
        <f>IF(OR($B383="",H383=""),"",--(H383=$B383))</f>
        <v/>
      </c>
      <c r="AF383" s="4">
        <f>IF(OR($B383="",H383=""),"",IF($B383=1,--(H383=1),""))</f>
        <v/>
      </c>
      <c r="AG383" s="4">
        <f>IF(OR($B383="",H383=""),"",IF($B383=0,--(H383=0),""))</f>
        <v/>
      </c>
      <c r="AH383" s="4">
        <f>IF(H383="","",--(H383=1))</f>
        <v/>
      </c>
      <c r="AI383" s="4">
        <f>IF(OR($B383="",I383=""),"",--(I383=$B383))</f>
        <v/>
      </c>
      <c r="AJ383" s="4">
        <f>IF(OR($B383="",I383=""),"",IF($B383=1,--(I383=1),""))</f>
        <v/>
      </c>
      <c r="AK383" s="4">
        <f>IF(OR($B383="",I383=""),"",IF($B383=0,--(I383=0),""))</f>
        <v/>
      </c>
      <c r="AL383" s="4">
        <f>IF(I383="","",--(I383=1))</f>
        <v/>
      </c>
      <c r="AM383" s="4">
        <f>IF(OR($B383="",J383=""),"",--(J383=$B383))</f>
        <v/>
      </c>
      <c r="AN383" s="4">
        <f>IF(OR($B383="",J383=""),"",IF($B383=1,--(J383=1),""))</f>
        <v/>
      </c>
      <c r="AO383" s="4">
        <f>IF(OR($B383="",J383=""),"",IF($B383=0,--(J383=0),""))</f>
        <v/>
      </c>
      <c r="AP383" s="4">
        <f>IF(J383="","",--(J383=1))</f>
        <v/>
      </c>
      <c r="AQ383" s="4">
        <f>IF(OR($B383="",K383=""),"",--(K383=$B383))</f>
        <v/>
      </c>
      <c r="AR383" s="4">
        <f>IF(OR($B383="",K383=""),"",IF($B383=1,--(K383=1),""))</f>
        <v/>
      </c>
      <c r="AS383" s="4">
        <f>IF(OR($B383="",K383=""),"",IF($B383=0,--(K383=0),""))</f>
        <v/>
      </c>
      <c r="AT383" s="4">
        <f>IF(K383="","",--(K383=1))</f>
        <v/>
      </c>
      <c r="AU383" s="4">
        <f>IF(OR($B383="",L383=""),"",--(L383=$B383))</f>
        <v/>
      </c>
      <c r="AV383" s="4">
        <f>IF(OR($B383="",L383=""),"",IF($B383=1,--(L383=1),""))</f>
        <v/>
      </c>
      <c r="AW383" s="4">
        <f>IF(OR($B383="",L383=""),"",IF($B383=0,--(L383=0),""))</f>
        <v/>
      </c>
      <c r="AX383" s="4">
        <f>IF(L383="","",--(L383=1))</f>
        <v/>
      </c>
      <c r="AY383" s="4">
        <f>IF(OR($B383="",M383=""),"",--(M383=$B383))</f>
        <v/>
      </c>
      <c r="AZ383" s="4">
        <f>IF(OR($B383="",M383=""),"",IF($B383=1,--(M383=1),""))</f>
        <v/>
      </c>
      <c r="BA383" s="4">
        <f>IF(OR($B383="",M383=""),"",IF($B383=0,--(M383=0),""))</f>
        <v/>
      </c>
      <c r="BB383" s="4">
        <f>IF(M383="","",--(M383=1))</f>
        <v/>
      </c>
      <c r="BC383" s="4">
        <f>IF(OR($B383="",N383=""),"",--(N383=$B383))</f>
        <v/>
      </c>
      <c r="BD383" s="4">
        <f>IF(OR($B383="",N383=""),"",IF($B383=1,--(N383=1),""))</f>
        <v/>
      </c>
      <c r="BE383" s="4">
        <f>IF(OR($B383="",N383=""),"",IF($B383=0,--(N383=0),""))</f>
        <v/>
      </c>
      <c r="BF383" s="4">
        <f>IF(N383="","",--(N383=1))</f>
        <v/>
      </c>
    </row>
    <row r="384">
      <c r="A384" s="3" t="inlineStr">
        <is>
          <t>202215111</t>
        </is>
      </c>
      <c r="B384" s="3" t="inlineStr">
        <is>
          <t>0</t>
        </is>
      </c>
      <c r="C384" s="3" t="inlineStr">
        <is>
          <t>Direct</t>
        </is>
      </c>
      <c r="D384" s="3" t="inlineStr">
        <is>
          <t>0</t>
        </is>
      </c>
      <c r="E384" s="3" t="inlineStr">
        <is>
          <t>1</t>
        </is>
      </c>
      <c r="F384" s="3" t="inlineStr">
        <is>
          <t>0</t>
        </is>
      </c>
      <c r="G384" s="3" t="inlineStr">
        <is>
          <t>0</t>
        </is>
      </c>
      <c r="H384" s="3" t="inlineStr">
        <is>
          <t>0</t>
        </is>
      </c>
      <c r="I384" s="3" t="inlineStr">
        <is>
          <t>0</t>
        </is>
      </c>
      <c r="J384" s="3" t="inlineStr">
        <is>
          <t>0</t>
        </is>
      </c>
      <c r="K384" s="3" t="inlineStr">
        <is>
          <t>0</t>
        </is>
      </c>
      <c r="L384" s="3" t="inlineStr">
        <is>
          <t>0</t>
        </is>
      </c>
      <c r="M384" s="3" t="inlineStr">
        <is>
          <t>0</t>
        </is>
      </c>
      <c r="N384" s="3" t="inlineStr">
        <is>
          <t>0</t>
        </is>
      </c>
      <c r="O384" s="4">
        <f>IF(OR($B384="",D384=""),"",--(D384=$B384))</f>
        <v/>
      </c>
      <c r="P384" s="4">
        <f>IF(OR($B384="",D384=""),"",IF($B384=1,--(D384=1),""))</f>
        <v/>
      </c>
      <c r="Q384" s="4">
        <f>IF(OR($B384="",D384=""),"",IF($B384=0,--(D384=0),""))</f>
        <v/>
      </c>
      <c r="R384" s="4">
        <f>IF(D384="","",--(D384=1))</f>
        <v/>
      </c>
      <c r="S384" s="4">
        <f>IF(OR($B384="",E384=""),"",--(E384=$B384))</f>
        <v/>
      </c>
      <c r="T384" s="4">
        <f>IF(OR($B384="",E384=""),"",IF($B384=1,--(E384=1),""))</f>
        <v/>
      </c>
      <c r="U384" s="4">
        <f>IF(OR($B384="",E384=""),"",IF($B384=0,--(E384=0),""))</f>
        <v/>
      </c>
      <c r="V384" s="4">
        <f>IF(E384="","",--(E384=1))</f>
        <v/>
      </c>
      <c r="W384" s="4">
        <f>IF(OR($B384="",F384=""),"",--(F384=$B384))</f>
        <v/>
      </c>
      <c r="X384" s="4">
        <f>IF(OR($B384="",F384=""),"",IF($B384=1,--(F384=1),""))</f>
        <v/>
      </c>
      <c r="Y384" s="4">
        <f>IF(OR($B384="",F384=""),"",IF($B384=0,--(F384=0),""))</f>
        <v/>
      </c>
      <c r="Z384" s="4">
        <f>IF(F384="","",--(F384=1))</f>
        <v/>
      </c>
      <c r="AA384" s="4">
        <f>IF(OR($B384="",G384=""),"",--(G384=$B384))</f>
        <v/>
      </c>
      <c r="AB384" s="4">
        <f>IF(OR($B384="",G384=""),"",IF($B384=1,--(G384=1),""))</f>
        <v/>
      </c>
      <c r="AC384" s="4">
        <f>IF(OR($B384="",G384=""),"",IF($B384=0,--(G384=0),""))</f>
        <v/>
      </c>
      <c r="AD384" s="4">
        <f>IF(G384="","",--(G384=1))</f>
        <v/>
      </c>
      <c r="AE384" s="4">
        <f>IF(OR($B384="",H384=""),"",--(H384=$B384))</f>
        <v/>
      </c>
      <c r="AF384" s="4">
        <f>IF(OR($B384="",H384=""),"",IF($B384=1,--(H384=1),""))</f>
        <v/>
      </c>
      <c r="AG384" s="4">
        <f>IF(OR($B384="",H384=""),"",IF($B384=0,--(H384=0),""))</f>
        <v/>
      </c>
      <c r="AH384" s="4">
        <f>IF(H384="","",--(H384=1))</f>
        <v/>
      </c>
      <c r="AI384" s="4">
        <f>IF(OR($B384="",I384=""),"",--(I384=$B384))</f>
        <v/>
      </c>
      <c r="AJ384" s="4">
        <f>IF(OR($B384="",I384=""),"",IF($B384=1,--(I384=1),""))</f>
        <v/>
      </c>
      <c r="AK384" s="4">
        <f>IF(OR($B384="",I384=""),"",IF($B384=0,--(I384=0),""))</f>
        <v/>
      </c>
      <c r="AL384" s="4">
        <f>IF(I384="","",--(I384=1))</f>
        <v/>
      </c>
      <c r="AM384" s="4">
        <f>IF(OR($B384="",J384=""),"",--(J384=$B384))</f>
        <v/>
      </c>
      <c r="AN384" s="4">
        <f>IF(OR($B384="",J384=""),"",IF($B384=1,--(J384=1),""))</f>
        <v/>
      </c>
      <c r="AO384" s="4">
        <f>IF(OR($B384="",J384=""),"",IF($B384=0,--(J384=0),""))</f>
        <v/>
      </c>
      <c r="AP384" s="4">
        <f>IF(J384="","",--(J384=1))</f>
        <v/>
      </c>
      <c r="AQ384" s="4">
        <f>IF(OR($B384="",K384=""),"",--(K384=$B384))</f>
        <v/>
      </c>
      <c r="AR384" s="4">
        <f>IF(OR($B384="",K384=""),"",IF($B384=1,--(K384=1),""))</f>
        <v/>
      </c>
      <c r="AS384" s="4">
        <f>IF(OR($B384="",K384=""),"",IF($B384=0,--(K384=0),""))</f>
        <v/>
      </c>
      <c r="AT384" s="4">
        <f>IF(K384="","",--(K384=1))</f>
        <v/>
      </c>
      <c r="AU384" s="4">
        <f>IF(OR($B384="",L384=""),"",--(L384=$B384))</f>
        <v/>
      </c>
      <c r="AV384" s="4">
        <f>IF(OR($B384="",L384=""),"",IF($B384=1,--(L384=1),""))</f>
        <v/>
      </c>
      <c r="AW384" s="4">
        <f>IF(OR($B384="",L384=""),"",IF($B384=0,--(L384=0),""))</f>
        <v/>
      </c>
      <c r="AX384" s="4">
        <f>IF(L384="","",--(L384=1))</f>
        <v/>
      </c>
      <c r="AY384" s="4">
        <f>IF(OR($B384="",M384=""),"",--(M384=$B384))</f>
        <v/>
      </c>
      <c r="AZ384" s="4">
        <f>IF(OR($B384="",M384=""),"",IF($B384=1,--(M384=1),""))</f>
        <v/>
      </c>
      <c r="BA384" s="4">
        <f>IF(OR($B384="",M384=""),"",IF($B384=0,--(M384=0),""))</f>
        <v/>
      </c>
      <c r="BB384" s="4">
        <f>IF(M384="","",--(M384=1))</f>
        <v/>
      </c>
      <c r="BC384" s="4">
        <f>IF(OR($B384="",N384=""),"",--(N384=$B384))</f>
        <v/>
      </c>
      <c r="BD384" s="4">
        <f>IF(OR($B384="",N384=""),"",IF($B384=1,--(N384=1),""))</f>
        <v/>
      </c>
      <c r="BE384" s="4">
        <f>IF(OR($B384="",N384=""),"",IF($B384=0,--(N384=0),""))</f>
        <v/>
      </c>
      <c r="BF384" s="4">
        <f>IF(N384="","",--(N384=1))</f>
        <v/>
      </c>
    </row>
    <row r="385">
      <c r="A385" s="3" t="inlineStr">
        <is>
          <t>202215209</t>
        </is>
      </c>
      <c r="B385" s="3" t="inlineStr">
        <is>
          <t>0</t>
        </is>
      </c>
      <c r="C385" s="3" t="inlineStr">
        <is>
          <t>Direct</t>
        </is>
      </c>
      <c r="D385" s="3" t="inlineStr">
        <is>
          <t>0</t>
        </is>
      </c>
      <c r="E385" s="3" t="inlineStr">
        <is>
          <t>0</t>
        </is>
      </c>
      <c r="F385" s="3" t="inlineStr">
        <is>
          <t>0</t>
        </is>
      </c>
      <c r="G385" s="3" t="inlineStr">
        <is>
          <t>0</t>
        </is>
      </c>
      <c r="H385" s="3" t="inlineStr">
        <is>
          <t>0</t>
        </is>
      </c>
      <c r="I385" s="3" t="inlineStr">
        <is>
          <t>0</t>
        </is>
      </c>
      <c r="J385" s="3" t="inlineStr">
        <is>
          <t>0</t>
        </is>
      </c>
      <c r="K385" s="3" t="inlineStr">
        <is>
          <t>0</t>
        </is>
      </c>
      <c r="L385" s="3" t="inlineStr">
        <is>
          <t>0</t>
        </is>
      </c>
      <c r="M385" s="3" t="inlineStr">
        <is>
          <t>0</t>
        </is>
      </c>
      <c r="N385" s="3" t="inlineStr">
        <is>
          <t>0</t>
        </is>
      </c>
      <c r="O385" s="4">
        <f>IF(OR($B385="",D385=""),"",--(D385=$B385))</f>
        <v/>
      </c>
      <c r="P385" s="4">
        <f>IF(OR($B385="",D385=""),"",IF($B385=1,--(D385=1),""))</f>
        <v/>
      </c>
      <c r="Q385" s="4">
        <f>IF(OR($B385="",D385=""),"",IF($B385=0,--(D385=0),""))</f>
        <v/>
      </c>
      <c r="R385" s="4">
        <f>IF(D385="","",--(D385=1))</f>
        <v/>
      </c>
      <c r="S385" s="4">
        <f>IF(OR($B385="",E385=""),"",--(E385=$B385))</f>
        <v/>
      </c>
      <c r="T385" s="4">
        <f>IF(OR($B385="",E385=""),"",IF($B385=1,--(E385=1),""))</f>
        <v/>
      </c>
      <c r="U385" s="4">
        <f>IF(OR($B385="",E385=""),"",IF($B385=0,--(E385=0),""))</f>
        <v/>
      </c>
      <c r="V385" s="4">
        <f>IF(E385="","",--(E385=1))</f>
        <v/>
      </c>
      <c r="W385" s="4">
        <f>IF(OR($B385="",F385=""),"",--(F385=$B385))</f>
        <v/>
      </c>
      <c r="X385" s="4">
        <f>IF(OR($B385="",F385=""),"",IF($B385=1,--(F385=1),""))</f>
        <v/>
      </c>
      <c r="Y385" s="4">
        <f>IF(OR($B385="",F385=""),"",IF($B385=0,--(F385=0),""))</f>
        <v/>
      </c>
      <c r="Z385" s="4">
        <f>IF(F385="","",--(F385=1))</f>
        <v/>
      </c>
      <c r="AA385" s="4">
        <f>IF(OR($B385="",G385=""),"",--(G385=$B385))</f>
        <v/>
      </c>
      <c r="AB385" s="4">
        <f>IF(OR($B385="",G385=""),"",IF($B385=1,--(G385=1),""))</f>
        <v/>
      </c>
      <c r="AC385" s="4">
        <f>IF(OR($B385="",G385=""),"",IF($B385=0,--(G385=0),""))</f>
        <v/>
      </c>
      <c r="AD385" s="4">
        <f>IF(G385="","",--(G385=1))</f>
        <v/>
      </c>
      <c r="AE385" s="4">
        <f>IF(OR($B385="",H385=""),"",--(H385=$B385))</f>
        <v/>
      </c>
      <c r="AF385" s="4">
        <f>IF(OR($B385="",H385=""),"",IF($B385=1,--(H385=1),""))</f>
        <v/>
      </c>
      <c r="AG385" s="4">
        <f>IF(OR($B385="",H385=""),"",IF($B385=0,--(H385=0),""))</f>
        <v/>
      </c>
      <c r="AH385" s="4">
        <f>IF(H385="","",--(H385=1))</f>
        <v/>
      </c>
      <c r="AI385" s="4">
        <f>IF(OR($B385="",I385=""),"",--(I385=$B385))</f>
        <v/>
      </c>
      <c r="AJ385" s="4">
        <f>IF(OR($B385="",I385=""),"",IF($B385=1,--(I385=1),""))</f>
        <v/>
      </c>
      <c r="AK385" s="4">
        <f>IF(OR($B385="",I385=""),"",IF($B385=0,--(I385=0),""))</f>
        <v/>
      </c>
      <c r="AL385" s="4">
        <f>IF(I385="","",--(I385=1))</f>
        <v/>
      </c>
      <c r="AM385" s="4">
        <f>IF(OR($B385="",J385=""),"",--(J385=$B385))</f>
        <v/>
      </c>
      <c r="AN385" s="4">
        <f>IF(OR($B385="",J385=""),"",IF($B385=1,--(J385=1),""))</f>
        <v/>
      </c>
      <c r="AO385" s="4">
        <f>IF(OR($B385="",J385=""),"",IF($B385=0,--(J385=0),""))</f>
        <v/>
      </c>
      <c r="AP385" s="4">
        <f>IF(J385="","",--(J385=1))</f>
        <v/>
      </c>
      <c r="AQ385" s="4">
        <f>IF(OR($B385="",K385=""),"",--(K385=$B385))</f>
        <v/>
      </c>
      <c r="AR385" s="4">
        <f>IF(OR($B385="",K385=""),"",IF($B385=1,--(K385=1),""))</f>
        <v/>
      </c>
      <c r="AS385" s="4">
        <f>IF(OR($B385="",K385=""),"",IF($B385=0,--(K385=0),""))</f>
        <v/>
      </c>
      <c r="AT385" s="4">
        <f>IF(K385="","",--(K385=1))</f>
        <v/>
      </c>
      <c r="AU385" s="4">
        <f>IF(OR($B385="",L385=""),"",--(L385=$B385))</f>
        <v/>
      </c>
      <c r="AV385" s="4">
        <f>IF(OR($B385="",L385=""),"",IF($B385=1,--(L385=1),""))</f>
        <v/>
      </c>
      <c r="AW385" s="4">
        <f>IF(OR($B385="",L385=""),"",IF($B385=0,--(L385=0),""))</f>
        <v/>
      </c>
      <c r="AX385" s="4">
        <f>IF(L385="","",--(L385=1))</f>
        <v/>
      </c>
      <c r="AY385" s="4">
        <f>IF(OR($B385="",M385=""),"",--(M385=$B385))</f>
        <v/>
      </c>
      <c r="AZ385" s="4">
        <f>IF(OR($B385="",M385=""),"",IF($B385=1,--(M385=1),""))</f>
        <v/>
      </c>
      <c r="BA385" s="4">
        <f>IF(OR($B385="",M385=""),"",IF($B385=0,--(M385=0),""))</f>
        <v/>
      </c>
      <c r="BB385" s="4">
        <f>IF(M385="","",--(M385=1))</f>
        <v/>
      </c>
      <c r="BC385" s="4">
        <f>IF(OR($B385="",N385=""),"",--(N385=$B385))</f>
        <v/>
      </c>
      <c r="BD385" s="4">
        <f>IF(OR($B385="",N385=""),"",IF($B385=1,--(N385=1),""))</f>
        <v/>
      </c>
      <c r="BE385" s="4">
        <f>IF(OR($B385="",N385=""),"",IF($B385=0,--(N385=0),""))</f>
        <v/>
      </c>
      <c r="BF385" s="4">
        <f>IF(N385="","",--(N385=1))</f>
        <v/>
      </c>
    </row>
    <row r="386">
      <c r="A386" s="3" t="inlineStr">
        <is>
          <t>202215663</t>
        </is>
      </c>
      <c r="B386" s="3" t="inlineStr">
        <is>
          <t>0</t>
        </is>
      </c>
      <c r="C386" s="3" t="inlineStr">
        <is>
          <t>Direct</t>
        </is>
      </c>
      <c r="D386" s="3" t="inlineStr">
        <is>
          <t>0</t>
        </is>
      </c>
      <c r="E386" s="3" t="inlineStr">
        <is>
          <t>1</t>
        </is>
      </c>
      <c r="F386" s="3" t="inlineStr">
        <is>
          <t>0</t>
        </is>
      </c>
      <c r="G386" s="3" t="inlineStr">
        <is>
          <t>0</t>
        </is>
      </c>
      <c r="H386" s="3" t="inlineStr">
        <is>
          <t>0</t>
        </is>
      </c>
      <c r="I386" s="3" t="inlineStr">
        <is>
          <t>0</t>
        </is>
      </c>
      <c r="J386" s="3" t="inlineStr">
        <is>
          <t>0</t>
        </is>
      </c>
      <c r="K386" s="3" t="inlineStr">
        <is>
          <t>0</t>
        </is>
      </c>
      <c r="L386" s="3" t="inlineStr">
        <is>
          <t>0</t>
        </is>
      </c>
      <c r="M386" s="3" t="inlineStr">
        <is>
          <t>0</t>
        </is>
      </c>
      <c r="N386" s="3" t="inlineStr">
        <is>
          <t>0</t>
        </is>
      </c>
      <c r="O386" s="4">
        <f>IF(OR($B386="",D386=""),"",--(D386=$B386))</f>
        <v/>
      </c>
      <c r="P386" s="4">
        <f>IF(OR($B386="",D386=""),"",IF($B386=1,--(D386=1),""))</f>
        <v/>
      </c>
      <c r="Q386" s="4">
        <f>IF(OR($B386="",D386=""),"",IF($B386=0,--(D386=0),""))</f>
        <v/>
      </c>
      <c r="R386" s="4">
        <f>IF(D386="","",--(D386=1))</f>
        <v/>
      </c>
      <c r="S386" s="4">
        <f>IF(OR($B386="",E386=""),"",--(E386=$B386))</f>
        <v/>
      </c>
      <c r="T386" s="4">
        <f>IF(OR($B386="",E386=""),"",IF($B386=1,--(E386=1),""))</f>
        <v/>
      </c>
      <c r="U386" s="4">
        <f>IF(OR($B386="",E386=""),"",IF($B386=0,--(E386=0),""))</f>
        <v/>
      </c>
      <c r="V386" s="4">
        <f>IF(E386="","",--(E386=1))</f>
        <v/>
      </c>
      <c r="W386" s="4">
        <f>IF(OR($B386="",F386=""),"",--(F386=$B386))</f>
        <v/>
      </c>
      <c r="X386" s="4">
        <f>IF(OR($B386="",F386=""),"",IF($B386=1,--(F386=1),""))</f>
        <v/>
      </c>
      <c r="Y386" s="4">
        <f>IF(OR($B386="",F386=""),"",IF($B386=0,--(F386=0),""))</f>
        <v/>
      </c>
      <c r="Z386" s="4">
        <f>IF(F386="","",--(F386=1))</f>
        <v/>
      </c>
      <c r="AA386" s="4">
        <f>IF(OR($B386="",G386=""),"",--(G386=$B386))</f>
        <v/>
      </c>
      <c r="AB386" s="4">
        <f>IF(OR($B386="",G386=""),"",IF($B386=1,--(G386=1),""))</f>
        <v/>
      </c>
      <c r="AC386" s="4">
        <f>IF(OR($B386="",G386=""),"",IF($B386=0,--(G386=0),""))</f>
        <v/>
      </c>
      <c r="AD386" s="4">
        <f>IF(G386="","",--(G386=1))</f>
        <v/>
      </c>
      <c r="AE386" s="4">
        <f>IF(OR($B386="",H386=""),"",--(H386=$B386))</f>
        <v/>
      </c>
      <c r="AF386" s="4">
        <f>IF(OR($B386="",H386=""),"",IF($B386=1,--(H386=1),""))</f>
        <v/>
      </c>
      <c r="AG386" s="4">
        <f>IF(OR($B386="",H386=""),"",IF($B386=0,--(H386=0),""))</f>
        <v/>
      </c>
      <c r="AH386" s="4">
        <f>IF(H386="","",--(H386=1))</f>
        <v/>
      </c>
      <c r="AI386" s="4">
        <f>IF(OR($B386="",I386=""),"",--(I386=$B386))</f>
        <v/>
      </c>
      <c r="AJ386" s="4">
        <f>IF(OR($B386="",I386=""),"",IF($B386=1,--(I386=1),""))</f>
        <v/>
      </c>
      <c r="AK386" s="4">
        <f>IF(OR($B386="",I386=""),"",IF($B386=0,--(I386=0),""))</f>
        <v/>
      </c>
      <c r="AL386" s="4">
        <f>IF(I386="","",--(I386=1))</f>
        <v/>
      </c>
      <c r="AM386" s="4">
        <f>IF(OR($B386="",J386=""),"",--(J386=$B386))</f>
        <v/>
      </c>
      <c r="AN386" s="4">
        <f>IF(OR($B386="",J386=""),"",IF($B386=1,--(J386=1),""))</f>
        <v/>
      </c>
      <c r="AO386" s="4">
        <f>IF(OR($B386="",J386=""),"",IF($B386=0,--(J386=0),""))</f>
        <v/>
      </c>
      <c r="AP386" s="4">
        <f>IF(J386="","",--(J386=1))</f>
        <v/>
      </c>
      <c r="AQ386" s="4">
        <f>IF(OR($B386="",K386=""),"",--(K386=$B386))</f>
        <v/>
      </c>
      <c r="AR386" s="4">
        <f>IF(OR($B386="",K386=""),"",IF($B386=1,--(K386=1),""))</f>
        <v/>
      </c>
      <c r="AS386" s="4">
        <f>IF(OR($B386="",K386=""),"",IF($B386=0,--(K386=0),""))</f>
        <v/>
      </c>
      <c r="AT386" s="4">
        <f>IF(K386="","",--(K386=1))</f>
        <v/>
      </c>
      <c r="AU386" s="4">
        <f>IF(OR($B386="",L386=""),"",--(L386=$B386))</f>
        <v/>
      </c>
      <c r="AV386" s="4">
        <f>IF(OR($B386="",L386=""),"",IF($B386=1,--(L386=1),""))</f>
        <v/>
      </c>
      <c r="AW386" s="4">
        <f>IF(OR($B386="",L386=""),"",IF($B386=0,--(L386=0),""))</f>
        <v/>
      </c>
      <c r="AX386" s="4">
        <f>IF(L386="","",--(L386=1))</f>
        <v/>
      </c>
      <c r="AY386" s="4">
        <f>IF(OR($B386="",M386=""),"",--(M386=$B386))</f>
        <v/>
      </c>
      <c r="AZ386" s="4">
        <f>IF(OR($B386="",M386=""),"",IF($B386=1,--(M386=1),""))</f>
        <v/>
      </c>
      <c r="BA386" s="4">
        <f>IF(OR($B386="",M386=""),"",IF($B386=0,--(M386=0),""))</f>
        <v/>
      </c>
      <c r="BB386" s="4">
        <f>IF(M386="","",--(M386=1))</f>
        <v/>
      </c>
      <c r="BC386" s="4">
        <f>IF(OR($B386="",N386=""),"",--(N386=$B386))</f>
        <v/>
      </c>
      <c r="BD386" s="4">
        <f>IF(OR($B386="",N386=""),"",IF($B386=1,--(N386=1),""))</f>
        <v/>
      </c>
      <c r="BE386" s="4">
        <f>IF(OR($B386="",N386=""),"",IF($B386=0,--(N386=0),""))</f>
        <v/>
      </c>
      <c r="BF386" s="4">
        <f>IF(N386="","",--(N386=1))</f>
        <v/>
      </c>
    </row>
    <row r="387">
      <c r="A387" s="3" t="inlineStr">
        <is>
          <t>202215697</t>
        </is>
      </c>
      <c r="B387" s="3" t="inlineStr">
        <is>
          <t>0</t>
        </is>
      </c>
      <c r="C387" s="3" t="inlineStr">
        <is>
          <t>Direct</t>
        </is>
      </c>
      <c r="D387" s="3" t="inlineStr">
        <is>
          <t>0</t>
        </is>
      </c>
      <c r="E387" s="3" t="inlineStr">
        <is>
          <t>1</t>
        </is>
      </c>
      <c r="F387" s="3" t="inlineStr">
        <is>
          <t>0</t>
        </is>
      </c>
      <c r="G387" s="3" t="inlineStr">
        <is>
          <t>0</t>
        </is>
      </c>
      <c r="H387" s="3" t="inlineStr">
        <is>
          <t>0</t>
        </is>
      </c>
      <c r="I387" s="3" t="inlineStr">
        <is>
          <t>0</t>
        </is>
      </c>
      <c r="J387" s="3" t="inlineStr">
        <is>
          <t>0</t>
        </is>
      </c>
      <c r="K387" s="3" t="inlineStr">
        <is>
          <t>0</t>
        </is>
      </c>
      <c r="L387" s="3" t="inlineStr">
        <is>
          <t>0</t>
        </is>
      </c>
      <c r="M387" s="3" t="inlineStr">
        <is>
          <t>0</t>
        </is>
      </c>
      <c r="N387" s="3" t="inlineStr">
        <is>
          <t>0</t>
        </is>
      </c>
      <c r="O387" s="4">
        <f>IF(OR($B387="",D387=""),"",--(D387=$B387))</f>
        <v/>
      </c>
      <c r="P387" s="4">
        <f>IF(OR($B387="",D387=""),"",IF($B387=1,--(D387=1),""))</f>
        <v/>
      </c>
      <c r="Q387" s="4">
        <f>IF(OR($B387="",D387=""),"",IF($B387=0,--(D387=0),""))</f>
        <v/>
      </c>
      <c r="R387" s="4">
        <f>IF(D387="","",--(D387=1))</f>
        <v/>
      </c>
      <c r="S387" s="4">
        <f>IF(OR($B387="",E387=""),"",--(E387=$B387))</f>
        <v/>
      </c>
      <c r="T387" s="4">
        <f>IF(OR($B387="",E387=""),"",IF($B387=1,--(E387=1),""))</f>
        <v/>
      </c>
      <c r="U387" s="4">
        <f>IF(OR($B387="",E387=""),"",IF($B387=0,--(E387=0),""))</f>
        <v/>
      </c>
      <c r="V387" s="4">
        <f>IF(E387="","",--(E387=1))</f>
        <v/>
      </c>
      <c r="W387" s="4">
        <f>IF(OR($B387="",F387=""),"",--(F387=$B387))</f>
        <v/>
      </c>
      <c r="X387" s="4">
        <f>IF(OR($B387="",F387=""),"",IF($B387=1,--(F387=1),""))</f>
        <v/>
      </c>
      <c r="Y387" s="4">
        <f>IF(OR($B387="",F387=""),"",IF($B387=0,--(F387=0),""))</f>
        <v/>
      </c>
      <c r="Z387" s="4">
        <f>IF(F387="","",--(F387=1))</f>
        <v/>
      </c>
      <c r="AA387" s="4">
        <f>IF(OR($B387="",G387=""),"",--(G387=$B387))</f>
        <v/>
      </c>
      <c r="AB387" s="4">
        <f>IF(OR($B387="",G387=""),"",IF($B387=1,--(G387=1),""))</f>
        <v/>
      </c>
      <c r="AC387" s="4">
        <f>IF(OR($B387="",G387=""),"",IF($B387=0,--(G387=0),""))</f>
        <v/>
      </c>
      <c r="AD387" s="4">
        <f>IF(G387="","",--(G387=1))</f>
        <v/>
      </c>
      <c r="AE387" s="4">
        <f>IF(OR($B387="",H387=""),"",--(H387=$B387))</f>
        <v/>
      </c>
      <c r="AF387" s="4">
        <f>IF(OR($B387="",H387=""),"",IF($B387=1,--(H387=1),""))</f>
        <v/>
      </c>
      <c r="AG387" s="4">
        <f>IF(OR($B387="",H387=""),"",IF($B387=0,--(H387=0),""))</f>
        <v/>
      </c>
      <c r="AH387" s="4">
        <f>IF(H387="","",--(H387=1))</f>
        <v/>
      </c>
      <c r="AI387" s="4">
        <f>IF(OR($B387="",I387=""),"",--(I387=$B387))</f>
        <v/>
      </c>
      <c r="AJ387" s="4">
        <f>IF(OR($B387="",I387=""),"",IF($B387=1,--(I387=1),""))</f>
        <v/>
      </c>
      <c r="AK387" s="4">
        <f>IF(OR($B387="",I387=""),"",IF($B387=0,--(I387=0),""))</f>
        <v/>
      </c>
      <c r="AL387" s="4">
        <f>IF(I387="","",--(I387=1))</f>
        <v/>
      </c>
      <c r="AM387" s="4">
        <f>IF(OR($B387="",J387=""),"",--(J387=$B387))</f>
        <v/>
      </c>
      <c r="AN387" s="4">
        <f>IF(OR($B387="",J387=""),"",IF($B387=1,--(J387=1),""))</f>
        <v/>
      </c>
      <c r="AO387" s="4">
        <f>IF(OR($B387="",J387=""),"",IF($B387=0,--(J387=0),""))</f>
        <v/>
      </c>
      <c r="AP387" s="4">
        <f>IF(J387="","",--(J387=1))</f>
        <v/>
      </c>
      <c r="AQ387" s="4">
        <f>IF(OR($B387="",K387=""),"",--(K387=$B387))</f>
        <v/>
      </c>
      <c r="AR387" s="4">
        <f>IF(OR($B387="",K387=""),"",IF($B387=1,--(K387=1),""))</f>
        <v/>
      </c>
      <c r="AS387" s="4">
        <f>IF(OR($B387="",K387=""),"",IF($B387=0,--(K387=0),""))</f>
        <v/>
      </c>
      <c r="AT387" s="4">
        <f>IF(K387="","",--(K387=1))</f>
        <v/>
      </c>
      <c r="AU387" s="4">
        <f>IF(OR($B387="",L387=""),"",--(L387=$B387))</f>
        <v/>
      </c>
      <c r="AV387" s="4">
        <f>IF(OR($B387="",L387=""),"",IF($B387=1,--(L387=1),""))</f>
        <v/>
      </c>
      <c r="AW387" s="4">
        <f>IF(OR($B387="",L387=""),"",IF($B387=0,--(L387=0),""))</f>
        <v/>
      </c>
      <c r="AX387" s="4">
        <f>IF(L387="","",--(L387=1))</f>
        <v/>
      </c>
      <c r="AY387" s="4">
        <f>IF(OR($B387="",M387=""),"",--(M387=$B387))</f>
        <v/>
      </c>
      <c r="AZ387" s="4">
        <f>IF(OR($B387="",M387=""),"",IF($B387=1,--(M387=1),""))</f>
        <v/>
      </c>
      <c r="BA387" s="4">
        <f>IF(OR($B387="",M387=""),"",IF($B387=0,--(M387=0),""))</f>
        <v/>
      </c>
      <c r="BB387" s="4">
        <f>IF(M387="","",--(M387=1))</f>
        <v/>
      </c>
      <c r="BC387" s="4">
        <f>IF(OR($B387="",N387=""),"",--(N387=$B387))</f>
        <v/>
      </c>
      <c r="BD387" s="4">
        <f>IF(OR($B387="",N387=""),"",IF($B387=1,--(N387=1),""))</f>
        <v/>
      </c>
      <c r="BE387" s="4">
        <f>IF(OR($B387="",N387=""),"",IF($B387=0,--(N387=0),""))</f>
        <v/>
      </c>
      <c r="BF387" s="4">
        <f>IF(N387="","",--(N387=1))</f>
        <v/>
      </c>
    </row>
    <row r="388">
      <c r="A388" s="3" t="inlineStr">
        <is>
          <t>202215736</t>
        </is>
      </c>
      <c r="B388" s="3" t="inlineStr">
        <is>
          <t>0</t>
        </is>
      </c>
      <c r="C388" s="3" t="inlineStr">
        <is>
          <t>Direct</t>
        </is>
      </c>
      <c r="D388" s="3" t="inlineStr">
        <is>
          <t>0</t>
        </is>
      </c>
      <c r="E388" s="3" t="inlineStr">
        <is>
          <t>0</t>
        </is>
      </c>
      <c r="F388" s="3" t="inlineStr">
        <is>
          <t>0</t>
        </is>
      </c>
      <c r="G388" s="3" t="inlineStr">
        <is>
          <t>0</t>
        </is>
      </c>
      <c r="H388" s="3" t="inlineStr">
        <is>
          <t>0</t>
        </is>
      </c>
      <c r="I388" s="3" t="inlineStr">
        <is>
          <t>0</t>
        </is>
      </c>
      <c r="J388" s="3" t="inlineStr">
        <is>
          <t>0</t>
        </is>
      </c>
      <c r="K388" s="3" t="inlineStr">
        <is>
          <t>0</t>
        </is>
      </c>
      <c r="L388" s="3" t="inlineStr">
        <is>
          <t>0</t>
        </is>
      </c>
      <c r="M388" s="3" t="inlineStr">
        <is>
          <t>1</t>
        </is>
      </c>
      <c r="N388" s="3" t="inlineStr">
        <is>
          <t>0</t>
        </is>
      </c>
      <c r="O388" s="4">
        <f>IF(OR($B388="",D388=""),"",--(D388=$B388))</f>
        <v/>
      </c>
      <c r="P388" s="4">
        <f>IF(OR($B388="",D388=""),"",IF($B388=1,--(D388=1),""))</f>
        <v/>
      </c>
      <c r="Q388" s="4">
        <f>IF(OR($B388="",D388=""),"",IF($B388=0,--(D388=0),""))</f>
        <v/>
      </c>
      <c r="R388" s="4">
        <f>IF(D388="","",--(D388=1))</f>
        <v/>
      </c>
      <c r="S388" s="4">
        <f>IF(OR($B388="",E388=""),"",--(E388=$B388))</f>
        <v/>
      </c>
      <c r="T388" s="4">
        <f>IF(OR($B388="",E388=""),"",IF($B388=1,--(E388=1),""))</f>
        <v/>
      </c>
      <c r="U388" s="4">
        <f>IF(OR($B388="",E388=""),"",IF($B388=0,--(E388=0),""))</f>
        <v/>
      </c>
      <c r="V388" s="4">
        <f>IF(E388="","",--(E388=1))</f>
        <v/>
      </c>
      <c r="W388" s="4">
        <f>IF(OR($B388="",F388=""),"",--(F388=$B388))</f>
        <v/>
      </c>
      <c r="X388" s="4">
        <f>IF(OR($B388="",F388=""),"",IF($B388=1,--(F388=1),""))</f>
        <v/>
      </c>
      <c r="Y388" s="4">
        <f>IF(OR($B388="",F388=""),"",IF($B388=0,--(F388=0),""))</f>
        <v/>
      </c>
      <c r="Z388" s="4">
        <f>IF(F388="","",--(F388=1))</f>
        <v/>
      </c>
      <c r="AA388" s="4">
        <f>IF(OR($B388="",G388=""),"",--(G388=$B388))</f>
        <v/>
      </c>
      <c r="AB388" s="4">
        <f>IF(OR($B388="",G388=""),"",IF($B388=1,--(G388=1),""))</f>
        <v/>
      </c>
      <c r="AC388" s="4">
        <f>IF(OR($B388="",G388=""),"",IF($B388=0,--(G388=0),""))</f>
        <v/>
      </c>
      <c r="AD388" s="4">
        <f>IF(G388="","",--(G388=1))</f>
        <v/>
      </c>
      <c r="AE388" s="4">
        <f>IF(OR($B388="",H388=""),"",--(H388=$B388))</f>
        <v/>
      </c>
      <c r="AF388" s="4">
        <f>IF(OR($B388="",H388=""),"",IF($B388=1,--(H388=1),""))</f>
        <v/>
      </c>
      <c r="AG388" s="4">
        <f>IF(OR($B388="",H388=""),"",IF($B388=0,--(H388=0),""))</f>
        <v/>
      </c>
      <c r="AH388" s="4">
        <f>IF(H388="","",--(H388=1))</f>
        <v/>
      </c>
      <c r="AI388" s="4">
        <f>IF(OR($B388="",I388=""),"",--(I388=$B388))</f>
        <v/>
      </c>
      <c r="AJ388" s="4">
        <f>IF(OR($B388="",I388=""),"",IF($B388=1,--(I388=1),""))</f>
        <v/>
      </c>
      <c r="AK388" s="4">
        <f>IF(OR($B388="",I388=""),"",IF($B388=0,--(I388=0),""))</f>
        <v/>
      </c>
      <c r="AL388" s="4">
        <f>IF(I388="","",--(I388=1))</f>
        <v/>
      </c>
      <c r="AM388" s="4">
        <f>IF(OR($B388="",J388=""),"",--(J388=$B388))</f>
        <v/>
      </c>
      <c r="AN388" s="4">
        <f>IF(OR($B388="",J388=""),"",IF($B388=1,--(J388=1),""))</f>
        <v/>
      </c>
      <c r="AO388" s="4">
        <f>IF(OR($B388="",J388=""),"",IF($B388=0,--(J388=0),""))</f>
        <v/>
      </c>
      <c r="AP388" s="4">
        <f>IF(J388="","",--(J388=1))</f>
        <v/>
      </c>
      <c r="AQ388" s="4">
        <f>IF(OR($B388="",K388=""),"",--(K388=$B388))</f>
        <v/>
      </c>
      <c r="AR388" s="4">
        <f>IF(OR($B388="",K388=""),"",IF($B388=1,--(K388=1),""))</f>
        <v/>
      </c>
      <c r="AS388" s="4">
        <f>IF(OR($B388="",K388=""),"",IF($B388=0,--(K388=0),""))</f>
        <v/>
      </c>
      <c r="AT388" s="4">
        <f>IF(K388="","",--(K388=1))</f>
        <v/>
      </c>
      <c r="AU388" s="4">
        <f>IF(OR($B388="",L388=""),"",--(L388=$B388))</f>
        <v/>
      </c>
      <c r="AV388" s="4">
        <f>IF(OR($B388="",L388=""),"",IF($B388=1,--(L388=1),""))</f>
        <v/>
      </c>
      <c r="AW388" s="4">
        <f>IF(OR($B388="",L388=""),"",IF($B388=0,--(L388=0),""))</f>
        <v/>
      </c>
      <c r="AX388" s="4">
        <f>IF(L388="","",--(L388=1))</f>
        <v/>
      </c>
      <c r="AY388" s="4">
        <f>IF(OR($B388="",M388=""),"",--(M388=$B388))</f>
        <v/>
      </c>
      <c r="AZ388" s="4">
        <f>IF(OR($B388="",M388=""),"",IF($B388=1,--(M388=1),""))</f>
        <v/>
      </c>
      <c r="BA388" s="4">
        <f>IF(OR($B388="",M388=""),"",IF($B388=0,--(M388=0),""))</f>
        <v/>
      </c>
      <c r="BB388" s="4">
        <f>IF(M388="","",--(M388=1))</f>
        <v/>
      </c>
      <c r="BC388" s="4">
        <f>IF(OR($B388="",N388=""),"",--(N388=$B388))</f>
        <v/>
      </c>
      <c r="BD388" s="4">
        <f>IF(OR($B388="",N388=""),"",IF($B388=1,--(N388=1),""))</f>
        <v/>
      </c>
      <c r="BE388" s="4">
        <f>IF(OR($B388="",N388=""),"",IF($B388=0,--(N388=0),""))</f>
        <v/>
      </c>
      <c r="BF388" s="4">
        <f>IF(N388="","",--(N388=1))</f>
        <v/>
      </c>
    </row>
    <row r="389">
      <c r="A389" s="3" t="inlineStr">
        <is>
          <t>202217238</t>
        </is>
      </c>
      <c r="B389" s="3" t="inlineStr">
        <is>
          <t>0</t>
        </is>
      </c>
      <c r="C389" s="3" t="inlineStr">
        <is>
          <t>Direct</t>
        </is>
      </c>
      <c r="D389" s="3" t="inlineStr">
        <is>
          <t>1</t>
        </is>
      </c>
      <c r="E389" s="3" t="inlineStr">
        <is>
          <t>0</t>
        </is>
      </c>
      <c r="F389" s="3" t="inlineStr">
        <is>
          <t>0</t>
        </is>
      </c>
      <c r="G389" s="3" t="inlineStr">
        <is>
          <t>0</t>
        </is>
      </c>
      <c r="H389" s="3" t="inlineStr">
        <is>
          <t>1</t>
        </is>
      </c>
      <c r="I389" s="3" t="inlineStr">
        <is>
          <t>0</t>
        </is>
      </c>
      <c r="J389" s="3" t="inlineStr">
        <is>
          <t>0</t>
        </is>
      </c>
      <c r="K389" s="3" t="inlineStr">
        <is>
          <t>1</t>
        </is>
      </c>
      <c r="L389" s="3" t="inlineStr">
        <is>
          <t>1</t>
        </is>
      </c>
      <c r="M389" s="3" t="inlineStr">
        <is>
          <t>0</t>
        </is>
      </c>
      <c r="N389" s="3" t="inlineStr">
        <is>
          <t>1</t>
        </is>
      </c>
      <c r="O389" s="4">
        <f>IF(OR($B389="",D389=""),"",--(D389=$B389))</f>
        <v/>
      </c>
      <c r="P389" s="4">
        <f>IF(OR($B389="",D389=""),"",IF($B389=1,--(D389=1),""))</f>
        <v/>
      </c>
      <c r="Q389" s="4">
        <f>IF(OR($B389="",D389=""),"",IF($B389=0,--(D389=0),""))</f>
        <v/>
      </c>
      <c r="R389" s="4">
        <f>IF(D389="","",--(D389=1))</f>
        <v/>
      </c>
      <c r="S389" s="4">
        <f>IF(OR($B389="",E389=""),"",--(E389=$B389))</f>
        <v/>
      </c>
      <c r="T389" s="4">
        <f>IF(OR($B389="",E389=""),"",IF($B389=1,--(E389=1),""))</f>
        <v/>
      </c>
      <c r="U389" s="4">
        <f>IF(OR($B389="",E389=""),"",IF($B389=0,--(E389=0),""))</f>
        <v/>
      </c>
      <c r="V389" s="4">
        <f>IF(E389="","",--(E389=1))</f>
        <v/>
      </c>
      <c r="W389" s="4">
        <f>IF(OR($B389="",F389=""),"",--(F389=$B389))</f>
        <v/>
      </c>
      <c r="X389" s="4">
        <f>IF(OR($B389="",F389=""),"",IF($B389=1,--(F389=1),""))</f>
        <v/>
      </c>
      <c r="Y389" s="4">
        <f>IF(OR($B389="",F389=""),"",IF($B389=0,--(F389=0),""))</f>
        <v/>
      </c>
      <c r="Z389" s="4">
        <f>IF(F389="","",--(F389=1))</f>
        <v/>
      </c>
      <c r="AA389" s="4">
        <f>IF(OR($B389="",G389=""),"",--(G389=$B389))</f>
        <v/>
      </c>
      <c r="AB389" s="4">
        <f>IF(OR($B389="",G389=""),"",IF($B389=1,--(G389=1),""))</f>
        <v/>
      </c>
      <c r="AC389" s="4">
        <f>IF(OR($B389="",G389=""),"",IF($B389=0,--(G389=0),""))</f>
        <v/>
      </c>
      <c r="AD389" s="4">
        <f>IF(G389="","",--(G389=1))</f>
        <v/>
      </c>
      <c r="AE389" s="4">
        <f>IF(OR($B389="",H389=""),"",--(H389=$B389))</f>
        <v/>
      </c>
      <c r="AF389" s="4">
        <f>IF(OR($B389="",H389=""),"",IF($B389=1,--(H389=1),""))</f>
        <v/>
      </c>
      <c r="AG389" s="4">
        <f>IF(OR($B389="",H389=""),"",IF($B389=0,--(H389=0),""))</f>
        <v/>
      </c>
      <c r="AH389" s="4">
        <f>IF(H389="","",--(H389=1))</f>
        <v/>
      </c>
      <c r="AI389" s="4">
        <f>IF(OR($B389="",I389=""),"",--(I389=$B389))</f>
        <v/>
      </c>
      <c r="AJ389" s="4">
        <f>IF(OR($B389="",I389=""),"",IF($B389=1,--(I389=1),""))</f>
        <v/>
      </c>
      <c r="AK389" s="4">
        <f>IF(OR($B389="",I389=""),"",IF($B389=0,--(I389=0),""))</f>
        <v/>
      </c>
      <c r="AL389" s="4">
        <f>IF(I389="","",--(I389=1))</f>
        <v/>
      </c>
      <c r="AM389" s="4">
        <f>IF(OR($B389="",J389=""),"",--(J389=$B389))</f>
        <v/>
      </c>
      <c r="AN389" s="4">
        <f>IF(OR($B389="",J389=""),"",IF($B389=1,--(J389=1),""))</f>
        <v/>
      </c>
      <c r="AO389" s="4">
        <f>IF(OR($B389="",J389=""),"",IF($B389=0,--(J389=0),""))</f>
        <v/>
      </c>
      <c r="AP389" s="4">
        <f>IF(J389="","",--(J389=1))</f>
        <v/>
      </c>
      <c r="AQ389" s="4">
        <f>IF(OR($B389="",K389=""),"",--(K389=$B389))</f>
        <v/>
      </c>
      <c r="AR389" s="4">
        <f>IF(OR($B389="",K389=""),"",IF($B389=1,--(K389=1),""))</f>
        <v/>
      </c>
      <c r="AS389" s="4">
        <f>IF(OR($B389="",K389=""),"",IF($B389=0,--(K389=0),""))</f>
        <v/>
      </c>
      <c r="AT389" s="4">
        <f>IF(K389="","",--(K389=1))</f>
        <v/>
      </c>
      <c r="AU389" s="4">
        <f>IF(OR($B389="",L389=""),"",--(L389=$B389))</f>
        <v/>
      </c>
      <c r="AV389" s="4">
        <f>IF(OR($B389="",L389=""),"",IF($B389=1,--(L389=1),""))</f>
        <v/>
      </c>
      <c r="AW389" s="4">
        <f>IF(OR($B389="",L389=""),"",IF($B389=0,--(L389=0),""))</f>
        <v/>
      </c>
      <c r="AX389" s="4">
        <f>IF(L389="","",--(L389=1))</f>
        <v/>
      </c>
      <c r="AY389" s="4">
        <f>IF(OR($B389="",M389=""),"",--(M389=$B389))</f>
        <v/>
      </c>
      <c r="AZ389" s="4">
        <f>IF(OR($B389="",M389=""),"",IF($B389=1,--(M389=1),""))</f>
        <v/>
      </c>
      <c r="BA389" s="4">
        <f>IF(OR($B389="",M389=""),"",IF($B389=0,--(M389=0),""))</f>
        <v/>
      </c>
      <c r="BB389" s="4">
        <f>IF(M389="","",--(M389=1))</f>
        <v/>
      </c>
      <c r="BC389" s="4">
        <f>IF(OR($B389="",N389=""),"",--(N389=$B389))</f>
        <v/>
      </c>
      <c r="BD389" s="4">
        <f>IF(OR($B389="",N389=""),"",IF($B389=1,--(N389=1),""))</f>
        <v/>
      </c>
      <c r="BE389" s="4">
        <f>IF(OR($B389="",N389=""),"",IF($B389=0,--(N389=0),""))</f>
        <v/>
      </c>
      <c r="BF389" s="4">
        <f>IF(N389="","",--(N389=1))</f>
        <v/>
      </c>
    </row>
    <row r="390">
      <c r="A390" s="3" t="inlineStr">
        <is>
          <t>202217772</t>
        </is>
      </c>
      <c r="B390" s="3" t="inlineStr">
        <is>
          <t>0</t>
        </is>
      </c>
      <c r="C390" s="3" t="inlineStr">
        <is>
          <t>Direct</t>
        </is>
      </c>
      <c r="D390" s="3" t="inlineStr">
        <is>
          <t>1</t>
        </is>
      </c>
      <c r="E390" s="3" t="inlineStr">
        <is>
          <t>0</t>
        </is>
      </c>
      <c r="F390" s="3" t="inlineStr">
        <is>
          <t>0</t>
        </is>
      </c>
      <c r="G390" s="3" t="inlineStr">
        <is>
          <t>0</t>
        </is>
      </c>
      <c r="H390" s="3" t="inlineStr">
        <is>
          <t>0</t>
        </is>
      </c>
      <c r="I390" s="3" t="inlineStr">
        <is>
          <t>0</t>
        </is>
      </c>
      <c r="J390" s="3" t="inlineStr">
        <is>
          <t>0</t>
        </is>
      </c>
      <c r="K390" s="3" t="inlineStr">
        <is>
          <t>0</t>
        </is>
      </c>
      <c r="L390" s="3" t="inlineStr">
        <is>
          <t>0</t>
        </is>
      </c>
      <c r="M390" s="3" t="inlineStr">
        <is>
          <t>0</t>
        </is>
      </c>
      <c r="N390" s="3" t="inlineStr">
        <is>
          <t>0</t>
        </is>
      </c>
      <c r="O390" s="4">
        <f>IF(OR($B390="",D390=""),"",--(D390=$B390))</f>
        <v/>
      </c>
      <c r="P390" s="4">
        <f>IF(OR($B390="",D390=""),"",IF($B390=1,--(D390=1),""))</f>
        <v/>
      </c>
      <c r="Q390" s="4">
        <f>IF(OR($B390="",D390=""),"",IF($B390=0,--(D390=0),""))</f>
        <v/>
      </c>
      <c r="R390" s="4">
        <f>IF(D390="","",--(D390=1))</f>
        <v/>
      </c>
      <c r="S390" s="4">
        <f>IF(OR($B390="",E390=""),"",--(E390=$B390))</f>
        <v/>
      </c>
      <c r="T390" s="4">
        <f>IF(OR($B390="",E390=""),"",IF($B390=1,--(E390=1),""))</f>
        <v/>
      </c>
      <c r="U390" s="4">
        <f>IF(OR($B390="",E390=""),"",IF($B390=0,--(E390=0),""))</f>
        <v/>
      </c>
      <c r="V390" s="4">
        <f>IF(E390="","",--(E390=1))</f>
        <v/>
      </c>
      <c r="W390" s="4">
        <f>IF(OR($B390="",F390=""),"",--(F390=$B390))</f>
        <v/>
      </c>
      <c r="X390" s="4">
        <f>IF(OR($B390="",F390=""),"",IF($B390=1,--(F390=1),""))</f>
        <v/>
      </c>
      <c r="Y390" s="4">
        <f>IF(OR($B390="",F390=""),"",IF($B390=0,--(F390=0),""))</f>
        <v/>
      </c>
      <c r="Z390" s="4">
        <f>IF(F390="","",--(F390=1))</f>
        <v/>
      </c>
      <c r="AA390" s="4">
        <f>IF(OR($B390="",G390=""),"",--(G390=$B390))</f>
        <v/>
      </c>
      <c r="AB390" s="4">
        <f>IF(OR($B390="",G390=""),"",IF($B390=1,--(G390=1),""))</f>
        <v/>
      </c>
      <c r="AC390" s="4">
        <f>IF(OR($B390="",G390=""),"",IF($B390=0,--(G390=0),""))</f>
        <v/>
      </c>
      <c r="AD390" s="4">
        <f>IF(G390="","",--(G390=1))</f>
        <v/>
      </c>
      <c r="AE390" s="4">
        <f>IF(OR($B390="",H390=""),"",--(H390=$B390))</f>
        <v/>
      </c>
      <c r="AF390" s="4">
        <f>IF(OR($B390="",H390=""),"",IF($B390=1,--(H390=1),""))</f>
        <v/>
      </c>
      <c r="AG390" s="4">
        <f>IF(OR($B390="",H390=""),"",IF($B390=0,--(H390=0),""))</f>
        <v/>
      </c>
      <c r="AH390" s="4">
        <f>IF(H390="","",--(H390=1))</f>
        <v/>
      </c>
      <c r="AI390" s="4">
        <f>IF(OR($B390="",I390=""),"",--(I390=$B390))</f>
        <v/>
      </c>
      <c r="AJ390" s="4">
        <f>IF(OR($B390="",I390=""),"",IF($B390=1,--(I390=1),""))</f>
        <v/>
      </c>
      <c r="AK390" s="4">
        <f>IF(OR($B390="",I390=""),"",IF($B390=0,--(I390=0),""))</f>
        <v/>
      </c>
      <c r="AL390" s="4">
        <f>IF(I390="","",--(I390=1))</f>
        <v/>
      </c>
      <c r="AM390" s="4">
        <f>IF(OR($B390="",J390=""),"",--(J390=$B390))</f>
        <v/>
      </c>
      <c r="AN390" s="4">
        <f>IF(OR($B390="",J390=""),"",IF($B390=1,--(J390=1),""))</f>
        <v/>
      </c>
      <c r="AO390" s="4">
        <f>IF(OR($B390="",J390=""),"",IF($B390=0,--(J390=0),""))</f>
        <v/>
      </c>
      <c r="AP390" s="4">
        <f>IF(J390="","",--(J390=1))</f>
        <v/>
      </c>
      <c r="AQ390" s="4">
        <f>IF(OR($B390="",K390=""),"",--(K390=$B390))</f>
        <v/>
      </c>
      <c r="AR390" s="4">
        <f>IF(OR($B390="",K390=""),"",IF($B390=1,--(K390=1),""))</f>
        <v/>
      </c>
      <c r="AS390" s="4">
        <f>IF(OR($B390="",K390=""),"",IF($B390=0,--(K390=0),""))</f>
        <v/>
      </c>
      <c r="AT390" s="4">
        <f>IF(K390="","",--(K390=1))</f>
        <v/>
      </c>
      <c r="AU390" s="4">
        <f>IF(OR($B390="",L390=""),"",--(L390=$B390))</f>
        <v/>
      </c>
      <c r="AV390" s="4">
        <f>IF(OR($B390="",L390=""),"",IF($B390=1,--(L390=1),""))</f>
        <v/>
      </c>
      <c r="AW390" s="4">
        <f>IF(OR($B390="",L390=""),"",IF($B390=0,--(L390=0),""))</f>
        <v/>
      </c>
      <c r="AX390" s="4">
        <f>IF(L390="","",--(L390=1))</f>
        <v/>
      </c>
      <c r="AY390" s="4">
        <f>IF(OR($B390="",M390=""),"",--(M390=$B390))</f>
        <v/>
      </c>
      <c r="AZ390" s="4">
        <f>IF(OR($B390="",M390=""),"",IF($B390=1,--(M390=1),""))</f>
        <v/>
      </c>
      <c r="BA390" s="4">
        <f>IF(OR($B390="",M390=""),"",IF($B390=0,--(M390=0),""))</f>
        <v/>
      </c>
      <c r="BB390" s="4">
        <f>IF(M390="","",--(M390=1))</f>
        <v/>
      </c>
      <c r="BC390" s="4">
        <f>IF(OR($B390="",N390=""),"",--(N390=$B390))</f>
        <v/>
      </c>
      <c r="BD390" s="4">
        <f>IF(OR($B390="",N390=""),"",IF($B390=1,--(N390=1),""))</f>
        <v/>
      </c>
      <c r="BE390" s="4">
        <f>IF(OR($B390="",N390=""),"",IF($B390=0,--(N390=0),""))</f>
        <v/>
      </c>
      <c r="BF390" s="4">
        <f>IF(N390="","",--(N390=1))</f>
        <v/>
      </c>
    </row>
    <row r="391">
      <c r="A391" s="3" t="inlineStr">
        <is>
          <t>202217941</t>
        </is>
      </c>
      <c r="B391" s="3" t="inlineStr">
        <is>
          <t>0</t>
        </is>
      </c>
      <c r="C391" s="3" t="inlineStr">
        <is>
          <t>Direct</t>
        </is>
      </c>
      <c r="D391" s="3" t="inlineStr">
        <is>
          <t>1</t>
        </is>
      </c>
      <c r="E391" s="3" t="inlineStr">
        <is>
          <t>0</t>
        </is>
      </c>
      <c r="F391" s="3" t="inlineStr">
        <is>
          <t>0</t>
        </is>
      </c>
      <c r="G391" s="3" t="inlineStr">
        <is>
          <t>0</t>
        </is>
      </c>
      <c r="H391" s="3" t="inlineStr">
        <is>
          <t>0</t>
        </is>
      </c>
      <c r="I391" s="3" t="inlineStr">
        <is>
          <t>0</t>
        </is>
      </c>
      <c r="J391" s="3" t="inlineStr">
        <is>
          <t>0</t>
        </is>
      </c>
      <c r="K391" s="3" t="inlineStr">
        <is>
          <t>0</t>
        </is>
      </c>
      <c r="L391" s="3" t="inlineStr">
        <is>
          <t>0</t>
        </is>
      </c>
      <c r="M391" s="3" t="inlineStr">
        <is>
          <t>0</t>
        </is>
      </c>
      <c r="N391" s="3" t="inlineStr">
        <is>
          <t>0</t>
        </is>
      </c>
      <c r="O391" s="4">
        <f>IF(OR($B391="",D391=""),"",--(D391=$B391))</f>
        <v/>
      </c>
      <c r="P391" s="4">
        <f>IF(OR($B391="",D391=""),"",IF($B391=1,--(D391=1),""))</f>
        <v/>
      </c>
      <c r="Q391" s="4">
        <f>IF(OR($B391="",D391=""),"",IF($B391=0,--(D391=0),""))</f>
        <v/>
      </c>
      <c r="R391" s="4">
        <f>IF(D391="","",--(D391=1))</f>
        <v/>
      </c>
      <c r="S391" s="4">
        <f>IF(OR($B391="",E391=""),"",--(E391=$B391))</f>
        <v/>
      </c>
      <c r="T391" s="4">
        <f>IF(OR($B391="",E391=""),"",IF($B391=1,--(E391=1),""))</f>
        <v/>
      </c>
      <c r="U391" s="4">
        <f>IF(OR($B391="",E391=""),"",IF($B391=0,--(E391=0),""))</f>
        <v/>
      </c>
      <c r="V391" s="4">
        <f>IF(E391="","",--(E391=1))</f>
        <v/>
      </c>
      <c r="W391" s="4">
        <f>IF(OR($B391="",F391=""),"",--(F391=$B391))</f>
        <v/>
      </c>
      <c r="X391" s="4">
        <f>IF(OR($B391="",F391=""),"",IF($B391=1,--(F391=1),""))</f>
        <v/>
      </c>
      <c r="Y391" s="4">
        <f>IF(OR($B391="",F391=""),"",IF($B391=0,--(F391=0),""))</f>
        <v/>
      </c>
      <c r="Z391" s="4">
        <f>IF(F391="","",--(F391=1))</f>
        <v/>
      </c>
      <c r="AA391" s="4">
        <f>IF(OR($B391="",G391=""),"",--(G391=$B391))</f>
        <v/>
      </c>
      <c r="AB391" s="4">
        <f>IF(OR($B391="",G391=""),"",IF($B391=1,--(G391=1),""))</f>
        <v/>
      </c>
      <c r="AC391" s="4">
        <f>IF(OR($B391="",G391=""),"",IF($B391=0,--(G391=0),""))</f>
        <v/>
      </c>
      <c r="AD391" s="4">
        <f>IF(G391="","",--(G391=1))</f>
        <v/>
      </c>
      <c r="AE391" s="4">
        <f>IF(OR($B391="",H391=""),"",--(H391=$B391))</f>
        <v/>
      </c>
      <c r="AF391" s="4">
        <f>IF(OR($B391="",H391=""),"",IF($B391=1,--(H391=1),""))</f>
        <v/>
      </c>
      <c r="AG391" s="4">
        <f>IF(OR($B391="",H391=""),"",IF($B391=0,--(H391=0),""))</f>
        <v/>
      </c>
      <c r="AH391" s="4">
        <f>IF(H391="","",--(H391=1))</f>
        <v/>
      </c>
      <c r="AI391" s="4">
        <f>IF(OR($B391="",I391=""),"",--(I391=$B391))</f>
        <v/>
      </c>
      <c r="AJ391" s="4">
        <f>IF(OR($B391="",I391=""),"",IF($B391=1,--(I391=1),""))</f>
        <v/>
      </c>
      <c r="AK391" s="4">
        <f>IF(OR($B391="",I391=""),"",IF($B391=0,--(I391=0),""))</f>
        <v/>
      </c>
      <c r="AL391" s="4">
        <f>IF(I391="","",--(I391=1))</f>
        <v/>
      </c>
      <c r="AM391" s="4">
        <f>IF(OR($B391="",J391=""),"",--(J391=$B391))</f>
        <v/>
      </c>
      <c r="AN391" s="4">
        <f>IF(OR($B391="",J391=""),"",IF($B391=1,--(J391=1),""))</f>
        <v/>
      </c>
      <c r="AO391" s="4">
        <f>IF(OR($B391="",J391=""),"",IF($B391=0,--(J391=0),""))</f>
        <v/>
      </c>
      <c r="AP391" s="4">
        <f>IF(J391="","",--(J391=1))</f>
        <v/>
      </c>
      <c r="AQ391" s="4">
        <f>IF(OR($B391="",K391=""),"",--(K391=$B391))</f>
        <v/>
      </c>
      <c r="AR391" s="4">
        <f>IF(OR($B391="",K391=""),"",IF($B391=1,--(K391=1),""))</f>
        <v/>
      </c>
      <c r="AS391" s="4">
        <f>IF(OR($B391="",K391=""),"",IF($B391=0,--(K391=0),""))</f>
        <v/>
      </c>
      <c r="AT391" s="4">
        <f>IF(K391="","",--(K391=1))</f>
        <v/>
      </c>
      <c r="AU391" s="4">
        <f>IF(OR($B391="",L391=""),"",--(L391=$B391))</f>
        <v/>
      </c>
      <c r="AV391" s="4">
        <f>IF(OR($B391="",L391=""),"",IF($B391=1,--(L391=1),""))</f>
        <v/>
      </c>
      <c r="AW391" s="4">
        <f>IF(OR($B391="",L391=""),"",IF($B391=0,--(L391=0),""))</f>
        <v/>
      </c>
      <c r="AX391" s="4">
        <f>IF(L391="","",--(L391=1))</f>
        <v/>
      </c>
      <c r="AY391" s="4">
        <f>IF(OR($B391="",M391=""),"",--(M391=$B391))</f>
        <v/>
      </c>
      <c r="AZ391" s="4">
        <f>IF(OR($B391="",M391=""),"",IF($B391=1,--(M391=1),""))</f>
        <v/>
      </c>
      <c r="BA391" s="4">
        <f>IF(OR($B391="",M391=""),"",IF($B391=0,--(M391=0),""))</f>
        <v/>
      </c>
      <c r="BB391" s="4">
        <f>IF(M391="","",--(M391=1))</f>
        <v/>
      </c>
      <c r="BC391" s="4">
        <f>IF(OR($B391="",N391=""),"",--(N391=$B391))</f>
        <v/>
      </c>
      <c r="BD391" s="4">
        <f>IF(OR($B391="",N391=""),"",IF($B391=1,--(N391=1),""))</f>
        <v/>
      </c>
      <c r="BE391" s="4">
        <f>IF(OR($B391="",N391=""),"",IF($B391=0,--(N391=0),""))</f>
        <v/>
      </c>
      <c r="BF391" s="4">
        <f>IF(N391="","",--(N391=1))</f>
        <v/>
      </c>
    </row>
    <row r="392">
      <c r="A392" s="3" t="inlineStr">
        <is>
          <t>202218407</t>
        </is>
      </c>
      <c r="B392" s="3" t="inlineStr">
        <is>
          <t>0</t>
        </is>
      </c>
      <c r="C392" s="3" t="inlineStr">
        <is>
          <t>Direct</t>
        </is>
      </c>
      <c r="D392" s="3" t="inlineStr">
        <is>
          <t>0</t>
        </is>
      </c>
      <c r="E392" s="3" t="inlineStr">
        <is>
          <t>1</t>
        </is>
      </c>
      <c r="F392" s="3" t="inlineStr">
        <is>
          <t>0</t>
        </is>
      </c>
      <c r="G392" s="3" t="inlineStr">
        <is>
          <t>0</t>
        </is>
      </c>
      <c r="H392" s="3" t="inlineStr">
        <is>
          <t>0</t>
        </is>
      </c>
      <c r="I392" s="3" t="inlineStr">
        <is>
          <t>0</t>
        </is>
      </c>
      <c r="J392" s="3" t="inlineStr">
        <is>
          <t>0</t>
        </is>
      </c>
      <c r="K392" s="3" t="inlineStr">
        <is>
          <t>0</t>
        </is>
      </c>
      <c r="L392" s="3" t="inlineStr">
        <is>
          <t>0</t>
        </is>
      </c>
      <c r="M392" s="3" t="inlineStr">
        <is>
          <t>0</t>
        </is>
      </c>
      <c r="N392" s="3" t="inlineStr">
        <is>
          <t>0</t>
        </is>
      </c>
      <c r="O392" s="4">
        <f>IF(OR($B392="",D392=""),"",--(D392=$B392))</f>
        <v/>
      </c>
      <c r="P392" s="4">
        <f>IF(OR($B392="",D392=""),"",IF($B392=1,--(D392=1),""))</f>
        <v/>
      </c>
      <c r="Q392" s="4">
        <f>IF(OR($B392="",D392=""),"",IF($B392=0,--(D392=0),""))</f>
        <v/>
      </c>
      <c r="R392" s="4">
        <f>IF(D392="","",--(D392=1))</f>
        <v/>
      </c>
      <c r="S392" s="4">
        <f>IF(OR($B392="",E392=""),"",--(E392=$B392))</f>
        <v/>
      </c>
      <c r="T392" s="4">
        <f>IF(OR($B392="",E392=""),"",IF($B392=1,--(E392=1),""))</f>
        <v/>
      </c>
      <c r="U392" s="4">
        <f>IF(OR($B392="",E392=""),"",IF($B392=0,--(E392=0),""))</f>
        <v/>
      </c>
      <c r="V392" s="4">
        <f>IF(E392="","",--(E392=1))</f>
        <v/>
      </c>
      <c r="W392" s="4">
        <f>IF(OR($B392="",F392=""),"",--(F392=$B392))</f>
        <v/>
      </c>
      <c r="X392" s="4">
        <f>IF(OR($B392="",F392=""),"",IF($B392=1,--(F392=1),""))</f>
        <v/>
      </c>
      <c r="Y392" s="4">
        <f>IF(OR($B392="",F392=""),"",IF($B392=0,--(F392=0),""))</f>
        <v/>
      </c>
      <c r="Z392" s="4">
        <f>IF(F392="","",--(F392=1))</f>
        <v/>
      </c>
      <c r="AA392" s="4">
        <f>IF(OR($B392="",G392=""),"",--(G392=$B392))</f>
        <v/>
      </c>
      <c r="AB392" s="4">
        <f>IF(OR($B392="",G392=""),"",IF($B392=1,--(G392=1),""))</f>
        <v/>
      </c>
      <c r="AC392" s="4">
        <f>IF(OR($B392="",G392=""),"",IF($B392=0,--(G392=0),""))</f>
        <v/>
      </c>
      <c r="AD392" s="4">
        <f>IF(G392="","",--(G392=1))</f>
        <v/>
      </c>
      <c r="AE392" s="4">
        <f>IF(OR($B392="",H392=""),"",--(H392=$B392))</f>
        <v/>
      </c>
      <c r="AF392" s="4">
        <f>IF(OR($B392="",H392=""),"",IF($B392=1,--(H392=1),""))</f>
        <v/>
      </c>
      <c r="AG392" s="4">
        <f>IF(OR($B392="",H392=""),"",IF($B392=0,--(H392=0),""))</f>
        <v/>
      </c>
      <c r="AH392" s="4">
        <f>IF(H392="","",--(H392=1))</f>
        <v/>
      </c>
      <c r="AI392" s="4">
        <f>IF(OR($B392="",I392=""),"",--(I392=$B392))</f>
        <v/>
      </c>
      <c r="AJ392" s="4">
        <f>IF(OR($B392="",I392=""),"",IF($B392=1,--(I392=1),""))</f>
        <v/>
      </c>
      <c r="AK392" s="4">
        <f>IF(OR($B392="",I392=""),"",IF($B392=0,--(I392=0),""))</f>
        <v/>
      </c>
      <c r="AL392" s="4">
        <f>IF(I392="","",--(I392=1))</f>
        <v/>
      </c>
      <c r="AM392" s="4">
        <f>IF(OR($B392="",J392=""),"",--(J392=$B392))</f>
        <v/>
      </c>
      <c r="AN392" s="4">
        <f>IF(OR($B392="",J392=""),"",IF($B392=1,--(J392=1),""))</f>
        <v/>
      </c>
      <c r="AO392" s="4">
        <f>IF(OR($B392="",J392=""),"",IF($B392=0,--(J392=0),""))</f>
        <v/>
      </c>
      <c r="AP392" s="4">
        <f>IF(J392="","",--(J392=1))</f>
        <v/>
      </c>
      <c r="AQ392" s="4">
        <f>IF(OR($B392="",K392=""),"",--(K392=$B392))</f>
        <v/>
      </c>
      <c r="AR392" s="4">
        <f>IF(OR($B392="",K392=""),"",IF($B392=1,--(K392=1),""))</f>
        <v/>
      </c>
      <c r="AS392" s="4">
        <f>IF(OR($B392="",K392=""),"",IF($B392=0,--(K392=0),""))</f>
        <v/>
      </c>
      <c r="AT392" s="4">
        <f>IF(K392="","",--(K392=1))</f>
        <v/>
      </c>
      <c r="AU392" s="4">
        <f>IF(OR($B392="",L392=""),"",--(L392=$B392))</f>
        <v/>
      </c>
      <c r="AV392" s="4">
        <f>IF(OR($B392="",L392=""),"",IF($B392=1,--(L392=1),""))</f>
        <v/>
      </c>
      <c r="AW392" s="4">
        <f>IF(OR($B392="",L392=""),"",IF($B392=0,--(L392=0),""))</f>
        <v/>
      </c>
      <c r="AX392" s="4">
        <f>IF(L392="","",--(L392=1))</f>
        <v/>
      </c>
      <c r="AY392" s="4">
        <f>IF(OR($B392="",M392=""),"",--(M392=$B392))</f>
        <v/>
      </c>
      <c r="AZ392" s="4">
        <f>IF(OR($B392="",M392=""),"",IF($B392=1,--(M392=1),""))</f>
        <v/>
      </c>
      <c r="BA392" s="4">
        <f>IF(OR($B392="",M392=""),"",IF($B392=0,--(M392=0),""))</f>
        <v/>
      </c>
      <c r="BB392" s="4">
        <f>IF(M392="","",--(M392=1))</f>
        <v/>
      </c>
      <c r="BC392" s="4">
        <f>IF(OR($B392="",N392=""),"",--(N392=$B392))</f>
        <v/>
      </c>
      <c r="BD392" s="4">
        <f>IF(OR($B392="",N392=""),"",IF($B392=1,--(N392=1),""))</f>
        <v/>
      </c>
      <c r="BE392" s="4">
        <f>IF(OR($B392="",N392=""),"",IF($B392=0,--(N392=0),""))</f>
        <v/>
      </c>
      <c r="BF392" s="4">
        <f>IF(N392="","",--(N392=1))</f>
        <v/>
      </c>
    </row>
    <row r="393">
      <c r="A393" s="3" t="inlineStr">
        <is>
          <t>202218432</t>
        </is>
      </c>
      <c r="B393" s="3" t="inlineStr">
        <is>
          <t>0</t>
        </is>
      </c>
      <c r="C393" s="3" t="inlineStr">
        <is>
          <t>Direct</t>
        </is>
      </c>
      <c r="D393" s="3" t="inlineStr">
        <is>
          <t>0</t>
        </is>
      </c>
      <c r="E393" s="3" t="inlineStr">
        <is>
          <t>0</t>
        </is>
      </c>
      <c r="F393" s="3" t="inlineStr">
        <is>
          <t>0</t>
        </is>
      </c>
      <c r="G393" s="3" t="inlineStr">
        <is>
          <t>0</t>
        </is>
      </c>
      <c r="H393" s="3" t="inlineStr">
        <is>
          <t>0</t>
        </is>
      </c>
      <c r="I393" s="3" t="inlineStr">
        <is>
          <t>0</t>
        </is>
      </c>
      <c r="J393" s="3" t="inlineStr">
        <is>
          <t>0</t>
        </is>
      </c>
      <c r="K393" s="3" t="inlineStr">
        <is>
          <t>0</t>
        </is>
      </c>
      <c r="L393" s="3" t="inlineStr">
        <is>
          <t>0</t>
        </is>
      </c>
      <c r="M393" s="3" t="inlineStr">
        <is>
          <t>0</t>
        </is>
      </c>
      <c r="N393" s="3" t="inlineStr">
        <is>
          <t>1</t>
        </is>
      </c>
      <c r="O393" s="4">
        <f>IF(OR($B393="",D393=""),"",--(D393=$B393))</f>
        <v/>
      </c>
      <c r="P393" s="4">
        <f>IF(OR($B393="",D393=""),"",IF($B393=1,--(D393=1),""))</f>
        <v/>
      </c>
      <c r="Q393" s="4">
        <f>IF(OR($B393="",D393=""),"",IF($B393=0,--(D393=0),""))</f>
        <v/>
      </c>
      <c r="R393" s="4">
        <f>IF(D393="","",--(D393=1))</f>
        <v/>
      </c>
      <c r="S393" s="4">
        <f>IF(OR($B393="",E393=""),"",--(E393=$B393))</f>
        <v/>
      </c>
      <c r="T393" s="4">
        <f>IF(OR($B393="",E393=""),"",IF($B393=1,--(E393=1),""))</f>
        <v/>
      </c>
      <c r="U393" s="4">
        <f>IF(OR($B393="",E393=""),"",IF($B393=0,--(E393=0),""))</f>
        <v/>
      </c>
      <c r="V393" s="4">
        <f>IF(E393="","",--(E393=1))</f>
        <v/>
      </c>
      <c r="W393" s="4">
        <f>IF(OR($B393="",F393=""),"",--(F393=$B393))</f>
        <v/>
      </c>
      <c r="X393" s="4">
        <f>IF(OR($B393="",F393=""),"",IF($B393=1,--(F393=1),""))</f>
        <v/>
      </c>
      <c r="Y393" s="4">
        <f>IF(OR($B393="",F393=""),"",IF($B393=0,--(F393=0),""))</f>
        <v/>
      </c>
      <c r="Z393" s="4">
        <f>IF(F393="","",--(F393=1))</f>
        <v/>
      </c>
      <c r="AA393" s="4">
        <f>IF(OR($B393="",G393=""),"",--(G393=$B393))</f>
        <v/>
      </c>
      <c r="AB393" s="4">
        <f>IF(OR($B393="",G393=""),"",IF($B393=1,--(G393=1),""))</f>
        <v/>
      </c>
      <c r="AC393" s="4">
        <f>IF(OR($B393="",G393=""),"",IF($B393=0,--(G393=0),""))</f>
        <v/>
      </c>
      <c r="AD393" s="4">
        <f>IF(G393="","",--(G393=1))</f>
        <v/>
      </c>
      <c r="AE393" s="4">
        <f>IF(OR($B393="",H393=""),"",--(H393=$B393))</f>
        <v/>
      </c>
      <c r="AF393" s="4">
        <f>IF(OR($B393="",H393=""),"",IF($B393=1,--(H393=1),""))</f>
        <v/>
      </c>
      <c r="AG393" s="4">
        <f>IF(OR($B393="",H393=""),"",IF($B393=0,--(H393=0),""))</f>
        <v/>
      </c>
      <c r="AH393" s="4">
        <f>IF(H393="","",--(H393=1))</f>
        <v/>
      </c>
      <c r="AI393" s="4">
        <f>IF(OR($B393="",I393=""),"",--(I393=$B393))</f>
        <v/>
      </c>
      <c r="AJ393" s="4">
        <f>IF(OR($B393="",I393=""),"",IF($B393=1,--(I393=1),""))</f>
        <v/>
      </c>
      <c r="AK393" s="4">
        <f>IF(OR($B393="",I393=""),"",IF($B393=0,--(I393=0),""))</f>
        <v/>
      </c>
      <c r="AL393" s="4">
        <f>IF(I393="","",--(I393=1))</f>
        <v/>
      </c>
      <c r="AM393" s="4">
        <f>IF(OR($B393="",J393=""),"",--(J393=$B393))</f>
        <v/>
      </c>
      <c r="AN393" s="4">
        <f>IF(OR($B393="",J393=""),"",IF($B393=1,--(J393=1),""))</f>
        <v/>
      </c>
      <c r="AO393" s="4">
        <f>IF(OR($B393="",J393=""),"",IF($B393=0,--(J393=0),""))</f>
        <v/>
      </c>
      <c r="AP393" s="4">
        <f>IF(J393="","",--(J393=1))</f>
        <v/>
      </c>
      <c r="AQ393" s="4">
        <f>IF(OR($B393="",K393=""),"",--(K393=$B393))</f>
        <v/>
      </c>
      <c r="AR393" s="4">
        <f>IF(OR($B393="",K393=""),"",IF($B393=1,--(K393=1),""))</f>
        <v/>
      </c>
      <c r="AS393" s="4">
        <f>IF(OR($B393="",K393=""),"",IF($B393=0,--(K393=0),""))</f>
        <v/>
      </c>
      <c r="AT393" s="4">
        <f>IF(K393="","",--(K393=1))</f>
        <v/>
      </c>
      <c r="AU393" s="4">
        <f>IF(OR($B393="",L393=""),"",--(L393=$B393))</f>
        <v/>
      </c>
      <c r="AV393" s="4">
        <f>IF(OR($B393="",L393=""),"",IF($B393=1,--(L393=1),""))</f>
        <v/>
      </c>
      <c r="AW393" s="4">
        <f>IF(OR($B393="",L393=""),"",IF($B393=0,--(L393=0),""))</f>
        <v/>
      </c>
      <c r="AX393" s="4">
        <f>IF(L393="","",--(L393=1))</f>
        <v/>
      </c>
      <c r="AY393" s="4">
        <f>IF(OR($B393="",M393=""),"",--(M393=$B393))</f>
        <v/>
      </c>
      <c r="AZ393" s="4">
        <f>IF(OR($B393="",M393=""),"",IF($B393=1,--(M393=1),""))</f>
        <v/>
      </c>
      <c r="BA393" s="4">
        <f>IF(OR($B393="",M393=""),"",IF($B393=0,--(M393=0),""))</f>
        <v/>
      </c>
      <c r="BB393" s="4">
        <f>IF(M393="","",--(M393=1))</f>
        <v/>
      </c>
      <c r="BC393" s="4">
        <f>IF(OR($B393="",N393=""),"",--(N393=$B393))</f>
        <v/>
      </c>
      <c r="BD393" s="4">
        <f>IF(OR($B393="",N393=""),"",IF($B393=1,--(N393=1),""))</f>
        <v/>
      </c>
      <c r="BE393" s="4">
        <f>IF(OR($B393="",N393=""),"",IF($B393=0,--(N393=0),""))</f>
        <v/>
      </c>
      <c r="BF393" s="4">
        <f>IF(N393="","",--(N393=1))</f>
        <v/>
      </c>
    </row>
    <row r="394">
      <c r="A394" s="3" t="inlineStr">
        <is>
          <t>202218483</t>
        </is>
      </c>
      <c r="B394" s="3" t="inlineStr">
        <is>
          <t>0</t>
        </is>
      </c>
      <c r="C394" s="3" t="inlineStr">
        <is>
          <t>Direct</t>
        </is>
      </c>
      <c r="D394" s="3" t="inlineStr">
        <is>
          <t>0</t>
        </is>
      </c>
      <c r="E394" s="3" t="inlineStr">
        <is>
          <t>1</t>
        </is>
      </c>
      <c r="F394" s="3" t="inlineStr">
        <is>
          <t>0</t>
        </is>
      </c>
      <c r="G394" s="3" t="inlineStr">
        <is>
          <t>0</t>
        </is>
      </c>
      <c r="H394" s="3" t="inlineStr">
        <is>
          <t>0</t>
        </is>
      </c>
      <c r="I394" s="3" t="inlineStr">
        <is>
          <t>0</t>
        </is>
      </c>
      <c r="J394" s="3" t="inlineStr">
        <is>
          <t>0</t>
        </is>
      </c>
      <c r="K394" s="3" t="inlineStr">
        <is>
          <t>0</t>
        </is>
      </c>
      <c r="L394" s="3" t="inlineStr">
        <is>
          <t>0</t>
        </is>
      </c>
      <c r="M394" s="3" t="inlineStr">
        <is>
          <t>0</t>
        </is>
      </c>
      <c r="N394" s="3" t="inlineStr">
        <is>
          <t>1</t>
        </is>
      </c>
      <c r="O394" s="4">
        <f>IF(OR($B394="",D394=""),"",--(D394=$B394))</f>
        <v/>
      </c>
      <c r="P394" s="4">
        <f>IF(OR($B394="",D394=""),"",IF($B394=1,--(D394=1),""))</f>
        <v/>
      </c>
      <c r="Q394" s="4">
        <f>IF(OR($B394="",D394=""),"",IF($B394=0,--(D394=0),""))</f>
        <v/>
      </c>
      <c r="R394" s="4">
        <f>IF(D394="","",--(D394=1))</f>
        <v/>
      </c>
      <c r="S394" s="4">
        <f>IF(OR($B394="",E394=""),"",--(E394=$B394))</f>
        <v/>
      </c>
      <c r="T394" s="4">
        <f>IF(OR($B394="",E394=""),"",IF($B394=1,--(E394=1),""))</f>
        <v/>
      </c>
      <c r="U394" s="4">
        <f>IF(OR($B394="",E394=""),"",IF($B394=0,--(E394=0),""))</f>
        <v/>
      </c>
      <c r="V394" s="4">
        <f>IF(E394="","",--(E394=1))</f>
        <v/>
      </c>
      <c r="W394" s="4">
        <f>IF(OR($B394="",F394=""),"",--(F394=$B394))</f>
        <v/>
      </c>
      <c r="X394" s="4">
        <f>IF(OR($B394="",F394=""),"",IF($B394=1,--(F394=1),""))</f>
        <v/>
      </c>
      <c r="Y394" s="4">
        <f>IF(OR($B394="",F394=""),"",IF($B394=0,--(F394=0),""))</f>
        <v/>
      </c>
      <c r="Z394" s="4">
        <f>IF(F394="","",--(F394=1))</f>
        <v/>
      </c>
      <c r="AA394" s="4">
        <f>IF(OR($B394="",G394=""),"",--(G394=$B394))</f>
        <v/>
      </c>
      <c r="AB394" s="4">
        <f>IF(OR($B394="",G394=""),"",IF($B394=1,--(G394=1),""))</f>
        <v/>
      </c>
      <c r="AC394" s="4">
        <f>IF(OR($B394="",G394=""),"",IF($B394=0,--(G394=0),""))</f>
        <v/>
      </c>
      <c r="AD394" s="4">
        <f>IF(G394="","",--(G394=1))</f>
        <v/>
      </c>
      <c r="AE394" s="4">
        <f>IF(OR($B394="",H394=""),"",--(H394=$B394))</f>
        <v/>
      </c>
      <c r="AF394" s="4">
        <f>IF(OR($B394="",H394=""),"",IF($B394=1,--(H394=1),""))</f>
        <v/>
      </c>
      <c r="AG394" s="4">
        <f>IF(OR($B394="",H394=""),"",IF($B394=0,--(H394=0),""))</f>
        <v/>
      </c>
      <c r="AH394" s="4">
        <f>IF(H394="","",--(H394=1))</f>
        <v/>
      </c>
      <c r="AI394" s="4">
        <f>IF(OR($B394="",I394=""),"",--(I394=$B394))</f>
        <v/>
      </c>
      <c r="AJ394" s="4">
        <f>IF(OR($B394="",I394=""),"",IF($B394=1,--(I394=1),""))</f>
        <v/>
      </c>
      <c r="AK394" s="4">
        <f>IF(OR($B394="",I394=""),"",IF($B394=0,--(I394=0),""))</f>
        <v/>
      </c>
      <c r="AL394" s="4">
        <f>IF(I394="","",--(I394=1))</f>
        <v/>
      </c>
      <c r="AM394" s="4">
        <f>IF(OR($B394="",J394=""),"",--(J394=$B394))</f>
        <v/>
      </c>
      <c r="AN394" s="4">
        <f>IF(OR($B394="",J394=""),"",IF($B394=1,--(J394=1),""))</f>
        <v/>
      </c>
      <c r="AO394" s="4">
        <f>IF(OR($B394="",J394=""),"",IF($B394=0,--(J394=0),""))</f>
        <v/>
      </c>
      <c r="AP394" s="4">
        <f>IF(J394="","",--(J394=1))</f>
        <v/>
      </c>
      <c r="AQ394" s="4">
        <f>IF(OR($B394="",K394=""),"",--(K394=$B394))</f>
        <v/>
      </c>
      <c r="AR394" s="4">
        <f>IF(OR($B394="",K394=""),"",IF($B394=1,--(K394=1),""))</f>
        <v/>
      </c>
      <c r="AS394" s="4">
        <f>IF(OR($B394="",K394=""),"",IF($B394=0,--(K394=0),""))</f>
        <v/>
      </c>
      <c r="AT394" s="4">
        <f>IF(K394="","",--(K394=1))</f>
        <v/>
      </c>
      <c r="AU394" s="4">
        <f>IF(OR($B394="",L394=""),"",--(L394=$B394))</f>
        <v/>
      </c>
      <c r="AV394" s="4">
        <f>IF(OR($B394="",L394=""),"",IF($B394=1,--(L394=1),""))</f>
        <v/>
      </c>
      <c r="AW394" s="4">
        <f>IF(OR($B394="",L394=""),"",IF($B394=0,--(L394=0),""))</f>
        <v/>
      </c>
      <c r="AX394" s="4">
        <f>IF(L394="","",--(L394=1))</f>
        <v/>
      </c>
      <c r="AY394" s="4">
        <f>IF(OR($B394="",M394=""),"",--(M394=$B394))</f>
        <v/>
      </c>
      <c r="AZ394" s="4">
        <f>IF(OR($B394="",M394=""),"",IF($B394=1,--(M394=1),""))</f>
        <v/>
      </c>
      <c r="BA394" s="4">
        <f>IF(OR($B394="",M394=""),"",IF($B394=0,--(M394=0),""))</f>
        <v/>
      </c>
      <c r="BB394" s="4">
        <f>IF(M394="","",--(M394=1))</f>
        <v/>
      </c>
      <c r="BC394" s="4">
        <f>IF(OR($B394="",N394=""),"",--(N394=$B394))</f>
        <v/>
      </c>
      <c r="BD394" s="4">
        <f>IF(OR($B394="",N394=""),"",IF($B394=1,--(N394=1),""))</f>
        <v/>
      </c>
      <c r="BE394" s="4">
        <f>IF(OR($B394="",N394=""),"",IF($B394=0,--(N394=0),""))</f>
        <v/>
      </c>
      <c r="BF394" s="4">
        <f>IF(N394="","",--(N394=1))</f>
        <v/>
      </c>
    </row>
    <row r="395">
      <c r="A395" s="3" t="inlineStr">
        <is>
          <t>202218503</t>
        </is>
      </c>
      <c r="B395" s="3" t="inlineStr">
        <is>
          <t>0</t>
        </is>
      </c>
      <c r="C395" s="3" t="inlineStr">
        <is>
          <t>Direct</t>
        </is>
      </c>
      <c r="D395" s="3" t="inlineStr">
        <is>
          <t>0</t>
        </is>
      </c>
      <c r="E395" s="3" t="inlineStr">
        <is>
          <t>1</t>
        </is>
      </c>
      <c r="F395" s="3" t="inlineStr">
        <is>
          <t>0</t>
        </is>
      </c>
      <c r="G395" s="3" t="inlineStr">
        <is>
          <t>0</t>
        </is>
      </c>
      <c r="H395" s="3" t="inlineStr">
        <is>
          <t>0</t>
        </is>
      </c>
      <c r="I395" s="3" t="inlineStr">
        <is>
          <t>0</t>
        </is>
      </c>
      <c r="J395" s="3" t="inlineStr">
        <is>
          <t>0</t>
        </is>
      </c>
      <c r="K395" s="3" t="inlineStr">
        <is>
          <t>0</t>
        </is>
      </c>
      <c r="L395" s="3" t="inlineStr">
        <is>
          <t>0</t>
        </is>
      </c>
      <c r="M395" s="3" t="inlineStr">
        <is>
          <t>0</t>
        </is>
      </c>
      <c r="N395" s="3" t="inlineStr">
        <is>
          <t>1</t>
        </is>
      </c>
      <c r="O395" s="4">
        <f>IF(OR($B395="",D395=""),"",--(D395=$B395))</f>
        <v/>
      </c>
      <c r="P395" s="4">
        <f>IF(OR($B395="",D395=""),"",IF($B395=1,--(D395=1),""))</f>
        <v/>
      </c>
      <c r="Q395" s="4">
        <f>IF(OR($B395="",D395=""),"",IF($B395=0,--(D395=0),""))</f>
        <v/>
      </c>
      <c r="R395" s="4">
        <f>IF(D395="","",--(D395=1))</f>
        <v/>
      </c>
      <c r="S395" s="4">
        <f>IF(OR($B395="",E395=""),"",--(E395=$B395))</f>
        <v/>
      </c>
      <c r="T395" s="4">
        <f>IF(OR($B395="",E395=""),"",IF($B395=1,--(E395=1),""))</f>
        <v/>
      </c>
      <c r="U395" s="4">
        <f>IF(OR($B395="",E395=""),"",IF($B395=0,--(E395=0),""))</f>
        <v/>
      </c>
      <c r="V395" s="4">
        <f>IF(E395="","",--(E395=1))</f>
        <v/>
      </c>
      <c r="W395" s="4">
        <f>IF(OR($B395="",F395=""),"",--(F395=$B395))</f>
        <v/>
      </c>
      <c r="X395" s="4">
        <f>IF(OR($B395="",F395=""),"",IF($B395=1,--(F395=1),""))</f>
        <v/>
      </c>
      <c r="Y395" s="4">
        <f>IF(OR($B395="",F395=""),"",IF($B395=0,--(F395=0),""))</f>
        <v/>
      </c>
      <c r="Z395" s="4">
        <f>IF(F395="","",--(F395=1))</f>
        <v/>
      </c>
      <c r="AA395" s="4">
        <f>IF(OR($B395="",G395=""),"",--(G395=$B395))</f>
        <v/>
      </c>
      <c r="AB395" s="4">
        <f>IF(OR($B395="",G395=""),"",IF($B395=1,--(G395=1),""))</f>
        <v/>
      </c>
      <c r="AC395" s="4">
        <f>IF(OR($B395="",G395=""),"",IF($B395=0,--(G395=0),""))</f>
        <v/>
      </c>
      <c r="AD395" s="4">
        <f>IF(G395="","",--(G395=1))</f>
        <v/>
      </c>
      <c r="AE395" s="4">
        <f>IF(OR($B395="",H395=""),"",--(H395=$B395))</f>
        <v/>
      </c>
      <c r="AF395" s="4">
        <f>IF(OR($B395="",H395=""),"",IF($B395=1,--(H395=1),""))</f>
        <v/>
      </c>
      <c r="AG395" s="4">
        <f>IF(OR($B395="",H395=""),"",IF($B395=0,--(H395=0),""))</f>
        <v/>
      </c>
      <c r="AH395" s="4">
        <f>IF(H395="","",--(H395=1))</f>
        <v/>
      </c>
      <c r="AI395" s="4">
        <f>IF(OR($B395="",I395=""),"",--(I395=$B395))</f>
        <v/>
      </c>
      <c r="AJ395" s="4">
        <f>IF(OR($B395="",I395=""),"",IF($B395=1,--(I395=1),""))</f>
        <v/>
      </c>
      <c r="AK395" s="4">
        <f>IF(OR($B395="",I395=""),"",IF($B395=0,--(I395=0),""))</f>
        <v/>
      </c>
      <c r="AL395" s="4">
        <f>IF(I395="","",--(I395=1))</f>
        <v/>
      </c>
      <c r="AM395" s="4">
        <f>IF(OR($B395="",J395=""),"",--(J395=$B395))</f>
        <v/>
      </c>
      <c r="AN395" s="4">
        <f>IF(OR($B395="",J395=""),"",IF($B395=1,--(J395=1),""))</f>
        <v/>
      </c>
      <c r="AO395" s="4">
        <f>IF(OR($B395="",J395=""),"",IF($B395=0,--(J395=0),""))</f>
        <v/>
      </c>
      <c r="AP395" s="4">
        <f>IF(J395="","",--(J395=1))</f>
        <v/>
      </c>
      <c r="AQ395" s="4">
        <f>IF(OR($B395="",K395=""),"",--(K395=$B395))</f>
        <v/>
      </c>
      <c r="AR395" s="4">
        <f>IF(OR($B395="",K395=""),"",IF($B395=1,--(K395=1),""))</f>
        <v/>
      </c>
      <c r="AS395" s="4">
        <f>IF(OR($B395="",K395=""),"",IF($B395=0,--(K395=0),""))</f>
        <v/>
      </c>
      <c r="AT395" s="4">
        <f>IF(K395="","",--(K395=1))</f>
        <v/>
      </c>
      <c r="AU395" s="4">
        <f>IF(OR($B395="",L395=""),"",--(L395=$B395))</f>
        <v/>
      </c>
      <c r="AV395" s="4">
        <f>IF(OR($B395="",L395=""),"",IF($B395=1,--(L395=1),""))</f>
        <v/>
      </c>
      <c r="AW395" s="4">
        <f>IF(OR($B395="",L395=""),"",IF($B395=0,--(L395=0),""))</f>
        <v/>
      </c>
      <c r="AX395" s="4">
        <f>IF(L395="","",--(L395=1))</f>
        <v/>
      </c>
      <c r="AY395" s="4">
        <f>IF(OR($B395="",M395=""),"",--(M395=$B395))</f>
        <v/>
      </c>
      <c r="AZ395" s="4">
        <f>IF(OR($B395="",M395=""),"",IF($B395=1,--(M395=1),""))</f>
        <v/>
      </c>
      <c r="BA395" s="4">
        <f>IF(OR($B395="",M395=""),"",IF($B395=0,--(M395=0),""))</f>
        <v/>
      </c>
      <c r="BB395" s="4">
        <f>IF(M395="","",--(M395=1))</f>
        <v/>
      </c>
      <c r="BC395" s="4">
        <f>IF(OR($B395="",N395=""),"",--(N395=$B395))</f>
        <v/>
      </c>
      <c r="BD395" s="4">
        <f>IF(OR($B395="",N395=""),"",IF($B395=1,--(N395=1),""))</f>
        <v/>
      </c>
      <c r="BE395" s="4">
        <f>IF(OR($B395="",N395=""),"",IF($B395=0,--(N395=0),""))</f>
        <v/>
      </c>
      <c r="BF395" s="4">
        <f>IF(N395="","",--(N395=1))</f>
        <v/>
      </c>
    </row>
    <row r="396">
      <c r="A396" s="3" t="inlineStr">
        <is>
          <t>202218523</t>
        </is>
      </c>
      <c r="B396" s="3" t="inlineStr">
        <is>
          <t>0</t>
        </is>
      </c>
      <c r="C396" s="3" t="inlineStr">
        <is>
          <t>Direct</t>
        </is>
      </c>
      <c r="D396" s="3" t="inlineStr">
        <is>
          <t>0</t>
        </is>
      </c>
      <c r="E396" s="3" t="inlineStr">
        <is>
          <t>1</t>
        </is>
      </c>
      <c r="F396" s="3" t="inlineStr">
        <is>
          <t>0</t>
        </is>
      </c>
      <c r="G396" s="3" t="inlineStr">
        <is>
          <t>0</t>
        </is>
      </c>
      <c r="H396" s="3" t="inlineStr">
        <is>
          <t>0</t>
        </is>
      </c>
      <c r="I396" s="3" t="inlineStr">
        <is>
          <t>0</t>
        </is>
      </c>
      <c r="J396" s="3" t="inlineStr">
        <is>
          <t>0</t>
        </is>
      </c>
      <c r="K396" s="3" t="inlineStr">
        <is>
          <t>0</t>
        </is>
      </c>
      <c r="L396" s="3" t="inlineStr">
        <is>
          <t>0</t>
        </is>
      </c>
      <c r="M396" s="3" t="inlineStr">
        <is>
          <t>0</t>
        </is>
      </c>
      <c r="N396" s="3" t="inlineStr">
        <is>
          <t>1</t>
        </is>
      </c>
      <c r="O396" s="4">
        <f>IF(OR($B396="",D396=""),"",--(D396=$B396))</f>
        <v/>
      </c>
      <c r="P396" s="4">
        <f>IF(OR($B396="",D396=""),"",IF($B396=1,--(D396=1),""))</f>
        <v/>
      </c>
      <c r="Q396" s="4">
        <f>IF(OR($B396="",D396=""),"",IF($B396=0,--(D396=0),""))</f>
        <v/>
      </c>
      <c r="R396" s="4">
        <f>IF(D396="","",--(D396=1))</f>
        <v/>
      </c>
      <c r="S396" s="4">
        <f>IF(OR($B396="",E396=""),"",--(E396=$B396))</f>
        <v/>
      </c>
      <c r="T396" s="4">
        <f>IF(OR($B396="",E396=""),"",IF($B396=1,--(E396=1),""))</f>
        <v/>
      </c>
      <c r="U396" s="4">
        <f>IF(OR($B396="",E396=""),"",IF($B396=0,--(E396=0),""))</f>
        <v/>
      </c>
      <c r="V396" s="4">
        <f>IF(E396="","",--(E396=1))</f>
        <v/>
      </c>
      <c r="W396" s="4">
        <f>IF(OR($B396="",F396=""),"",--(F396=$B396))</f>
        <v/>
      </c>
      <c r="X396" s="4">
        <f>IF(OR($B396="",F396=""),"",IF($B396=1,--(F396=1),""))</f>
        <v/>
      </c>
      <c r="Y396" s="4">
        <f>IF(OR($B396="",F396=""),"",IF($B396=0,--(F396=0),""))</f>
        <v/>
      </c>
      <c r="Z396" s="4">
        <f>IF(F396="","",--(F396=1))</f>
        <v/>
      </c>
      <c r="AA396" s="4">
        <f>IF(OR($B396="",G396=""),"",--(G396=$B396))</f>
        <v/>
      </c>
      <c r="AB396" s="4">
        <f>IF(OR($B396="",G396=""),"",IF($B396=1,--(G396=1),""))</f>
        <v/>
      </c>
      <c r="AC396" s="4">
        <f>IF(OR($B396="",G396=""),"",IF($B396=0,--(G396=0),""))</f>
        <v/>
      </c>
      <c r="AD396" s="4">
        <f>IF(G396="","",--(G396=1))</f>
        <v/>
      </c>
      <c r="AE396" s="4">
        <f>IF(OR($B396="",H396=""),"",--(H396=$B396))</f>
        <v/>
      </c>
      <c r="AF396" s="4">
        <f>IF(OR($B396="",H396=""),"",IF($B396=1,--(H396=1),""))</f>
        <v/>
      </c>
      <c r="AG396" s="4">
        <f>IF(OR($B396="",H396=""),"",IF($B396=0,--(H396=0),""))</f>
        <v/>
      </c>
      <c r="AH396" s="4">
        <f>IF(H396="","",--(H396=1))</f>
        <v/>
      </c>
      <c r="AI396" s="4">
        <f>IF(OR($B396="",I396=""),"",--(I396=$B396))</f>
        <v/>
      </c>
      <c r="AJ396" s="4">
        <f>IF(OR($B396="",I396=""),"",IF($B396=1,--(I396=1),""))</f>
        <v/>
      </c>
      <c r="AK396" s="4">
        <f>IF(OR($B396="",I396=""),"",IF($B396=0,--(I396=0),""))</f>
        <v/>
      </c>
      <c r="AL396" s="4">
        <f>IF(I396="","",--(I396=1))</f>
        <v/>
      </c>
      <c r="AM396" s="4">
        <f>IF(OR($B396="",J396=""),"",--(J396=$B396))</f>
        <v/>
      </c>
      <c r="AN396" s="4">
        <f>IF(OR($B396="",J396=""),"",IF($B396=1,--(J396=1),""))</f>
        <v/>
      </c>
      <c r="AO396" s="4">
        <f>IF(OR($B396="",J396=""),"",IF($B396=0,--(J396=0),""))</f>
        <v/>
      </c>
      <c r="AP396" s="4">
        <f>IF(J396="","",--(J396=1))</f>
        <v/>
      </c>
      <c r="AQ396" s="4">
        <f>IF(OR($B396="",K396=""),"",--(K396=$B396))</f>
        <v/>
      </c>
      <c r="AR396" s="4">
        <f>IF(OR($B396="",K396=""),"",IF($B396=1,--(K396=1),""))</f>
        <v/>
      </c>
      <c r="AS396" s="4">
        <f>IF(OR($B396="",K396=""),"",IF($B396=0,--(K396=0),""))</f>
        <v/>
      </c>
      <c r="AT396" s="4">
        <f>IF(K396="","",--(K396=1))</f>
        <v/>
      </c>
      <c r="AU396" s="4">
        <f>IF(OR($B396="",L396=""),"",--(L396=$B396))</f>
        <v/>
      </c>
      <c r="AV396" s="4">
        <f>IF(OR($B396="",L396=""),"",IF($B396=1,--(L396=1),""))</f>
        <v/>
      </c>
      <c r="AW396" s="4">
        <f>IF(OR($B396="",L396=""),"",IF($B396=0,--(L396=0),""))</f>
        <v/>
      </c>
      <c r="AX396" s="4">
        <f>IF(L396="","",--(L396=1))</f>
        <v/>
      </c>
      <c r="AY396" s="4">
        <f>IF(OR($B396="",M396=""),"",--(M396=$B396))</f>
        <v/>
      </c>
      <c r="AZ396" s="4">
        <f>IF(OR($B396="",M396=""),"",IF($B396=1,--(M396=1),""))</f>
        <v/>
      </c>
      <c r="BA396" s="4">
        <f>IF(OR($B396="",M396=""),"",IF($B396=0,--(M396=0),""))</f>
        <v/>
      </c>
      <c r="BB396" s="4">
        <f>IF(M396="","",--(M396=1))</f>
        <v/>
      </c>
      <c r="BC396" s="4">
        <f>IF(OR($B396="",N396=""),"",--(N396=$B396))</f>
        <v/>
      </c>
      <c r="BD396" s="4">
        <f>IF(OR($B396="",N396=""),"",IF($B396=1,--(N396=1),""))</f>
        <v/>
      </c>
      <c r="BE396" s="4">
        <f>IF(OR($B396="",N396=""),"",IF($B396=0,--(N396=0),""))</f>
        <v/>
      </c>
      <c r="BF396" s="4">
        <f>IF(N396="","",--(N396=1))</f>
        <v/>
      </c>
    </row>
    <row r="397">
      <c r="A397" s="3" t="inlineStr">
        <is>
          <t>202218563</t>
        </is>
      </c>
      <c r="B397" s="3" t="inlineStr">
        <is>
          <t>0</t>
        </is>
      </c>
      <c r="C397" s="3" t="inlineStr">
        <is>
          <t>Direct</t>
        </is>
      </c>
      <c r="D397" s="3" t="inlineStr">
        <is>
          <t>0</t>
        </is>
      </c>
      <c r="E397" s="3" t="inlineStr">
        <is>
          <t>1</t>
        </is>
      </c>
      <c r="F397" s="3" t="inlineStr">
        <is>
          <t>0</t>
        </is>
      </c>
      <c r="G397" s="3" t="inlineStr">
        <is>
          <t>0</t>
        </is>
      </c>
      <c r="H397" s="3" t="inlineStr">
        <is>
          <t>0</t>
        </is>
      </c>
      <c r="I397" s="3" t="inlineStr">
        <is>
          <t>0</t>
        </is>
      </c>
      <c r="J397" s="3" t="inlineStr">
        <is>
          <t>0</t>
        </is>
      </c>
      <c r="K397" s="3" t="inlineStr">
        <is>
          <t>0</t>
        </is>
      </c>
      <c r="L397" s="3" t="inlineStr">
        <is>
          <t>0</t>
        </is>
      </c>
      <c r="M397" s="3" t="inlineStr">
        <is>
          <t>0</t>
        </is>
      </c>
      <c r="N397" s="3" t="inlineStr">
        <is>
          <t>0</t>
        </is>
      </c>
      <c r="O397" s="4">
        <f>IF(OR($B397="",D397=""),"",--(D397=$B397))</f>
        <v/>
      </c>
      <c r="P397" s="4">
        <f>IF(OR($B397="",D397=""),"",IF($B397=1,--(D397=1),""))</f>
        <v/>
      </c>
      <c r="Q397" s="4">
        <f>IF(OR($B397="",D397=""),"",IF($B397=0,--(D397=0),""))</f>
        <v/>
      </c>
      <c r="R397" s="4">
        <f>IF(D397="","",--(D397=1))</f>
        <v/>
      </c>
      <c r="S397" s="4">
        <f>IF(OR($B397="",E397=""),"",--(E397=$B397))</f>
        <v/>
      </c>
      <c r="T397" s="4">
        <f>IF(OR($B397="",E397=""),"",IF($B397=1,--(E397=1),""))</f>
        <v/>
      </c>
      <c r="U397" s="4">
        <f>IF(OR($B397="",E397=""),"",IF($B397=0,--(E397=0),""))</f>
        <v/>
      </c>
      <c r="V397" s="4">
        <f>IF(E397="","",--(E397=1))</f>
        <v/>
      </c>
      <c r="W397" s="4">
        <f>IF(OR($B397="",F397=""),"",--(F397=$B397))</f>
        <v/>
      </c>
      <c r="X397" s="4">
        <f>IF(OR($B397="",F397=""),"",IF($B397=1,--(F397=1),""))</f>
        <v/>
      </c>
      <c r="Y397" s="4">
        <f>IF(OR($B397="",F397=""),"",IF($B397=0,--(F397=0),""))</f>
        <v/>
      </c>
      <c r="Z397" s="4">
        <f>IF(F397="","",--(F397=1))</f>
        <v/>
      </c>
      <c r="AA397" s="4">
        <f>IF(OR($B397="",G397=""),"",--(G397=$B397))</f>
        <v/>
      </c>
      <c r="AB397" s="4">
        <f>IF(OR($B397="",G397=""),"",IF($B397=1,--(G397=1),""))</f>
        <v/>
      </c>
      <c r="AC397" s="4">
        <f>IF(OR($B397="",G397=""),"",IF($B397=0,--(G397=0),""))</f>
        <v/>
      </c>
      <c r="AD397" s="4">
        <f>IF(G397="","",--(G397=1))</f>
        <v/>
      </c>
      <c r="AE397" s="4">
        <f>IF(OR($B397="",H397=""),"",--(H397=$B397))</f>
        <v/>
      </c>
      <c r="AF397" s="4">
        <f>IF(OR($B397="",H397=""),"",IF($B397=1,--(H397=1),""))</f>
        <v/>
      </c>
      <c r="AG397" s="4">
        <f>IF(OR($B397="",H397=""),"",IF($B397=0,--(H397=0),""))</f>
        <v/>
      </c>
      <c r="AH397" s="4">
        <f>IF(H397="","",--(H397=1))</f>
        <v/>
      </c>
      <c r="AI397" s="4">
        <f>IF(OR($B397="",I397=""),"",--(I397=$B397))</f>
        <v/>
      </c>
      <c r="AJ397" s="4">
        <f>IF(OR($B397="",I397=""),"",IF($B397=1,--(I397=1),""))</f>
        <v/>
      </c>
      <c r="AK397" s="4">
        <f>IF(OR($B397="",I397=""),"",IF($B397=0,--(I397=0),""))</f>
        <v/>
      </c>
      <c r="AL397" s="4">
        <f>IF(I397="","",--(I397=1))</f>
        <v/>
      </c>
      <c r="AM397" s="4">
        <f>IF(OR($B397="",J397=""),"",--(J397=$B397))</f>
        <v/>
      </c>
      <c r="AN397" s="4">
        <f>IF(OR($B397="",J397=""),"",IF($B397=1,--(J397=1),""))</f>
        <v/>
      </c>
      <c r="AO397" s="4">
        <f>IF(OR($B397="",J397=""),"",IF($B397=0,--(J397=0),""))</f>
        <v/>
      </c>
      <c r="AP397" s="4">
        <f>IF(J397="","",--(J397=1))</f>
        <v/>
      </c>
      <c r="AQ397" s="4">
        <f>IF(OR($B397="",K397=""),"",--(K397=$B397))</f>
        <v/>
      </c>
      <c r="AR397" s="4">
        <f>IF(OR($B397="",K397=""),"",IF($B397=1,--(K397=1),""))</f>
        <v/>
      </c>
      <c r="AS397" s="4">
        <f>IF(OR($B397="",K397=""),"",IF($B397=0,--(K397=0),""))</f>
        <v/>
      </c>
      <c r="AT397" s="4">
        <f>IF(K397="","",--(K397=1))</f>
        <v/>
      </c>
      <c r="AU397" s="4">
        <f>IF(OR($B397="",L397=""),"",--(L397=$B397))</f>
        <v/>
      </c>
      <c r="AV397" s="4">
        <f>IF(OR($B397="",L397=""),"",IF($B397=1,--(L397=1),""))</f>
        <v/>
      </c>
      <c r="AW397" s="4">
        <f>IF(OR($B397="",L397=""),"",IF($B397=0,--(L397=0),""))</f>
        <v/>
      </c>
      <c r="AX397" s="4">
        <f>IF(L397="","",--(L397=1))</f>
        <v/>
      </c>
      <c r="AY397" s="4">
        <f>IF(OR($B397="",M397=""),"",--(M397=$B397))</f>
        <v/>
      </c>
      <c r="AZ397" s="4">
        <f>IF(OR($B397="",M397=""),"",IF($B397=1,--(M397=1),""))</f>
        <v/>
      </c>
      <c r="BA397" s="4">
        <f>IF(OR($B397="",M397=""),"",IF($B397=0,--(M397=0),""))</f>
        <v/>
      </c>
      <c r="BB397" s="4">
        <f>IF(M397="","",--(M397=1))</f>
        <v/>
      </c>
      <c r="BC397" s="4">
        <f>IF(OR($B397="",N397=""),"",--(N397=$B397))</f>
        <v/>
      </c>
      <c r="BD397" s="4">
        <f>IF(OR($B397="",N397=""),"",IF($B397=1,--(N397=1),""))</f>
        <v/>
      </c>
      <c r="BE397" s="4">
        <f>IF(OR($B397="",N397=""),"",IF($B397=0,--(N397=0),""))</f>
        <v/>
      </c>
      <c r="BF397" s="4">
        <f>IF(N397="","",--(N397=1))</f>
        <v/>
      </c>
    </row>
    <row r="398">
      <c r="A398" s="3" t="inlineStr">
        <is>
          <t>202218862</t>
        </is>
      </c>
      <c r="B398" s="3" t="inlineStr">
        <is>
          <t>0</t>
        </is>
      </c>
      <c r="C398" s="3" t="inlineStr">
        <is>
          <t>Direct</t>
        </is>
      </c>
      <c r="D398" s="3" t="inlineStr">
        <is>
          <t>0</t>
        </is>
      </c>
      <c r="E398" s="3" t="inlineStr">
        <is>
          <t>1</t>
        </is>
      </c>
      <c r="F398" s="3" t="inlineStr">
        <is>
          <t>0</t>
        </is>
      </c>
      <c r="G398" s="3" t="inlineStr">
        <is>
          <t>0</t>
        </is>
      </c>
      <c r="H398" s="3" t="inlineStr">
        <is>
          <t>0</t>
        </is>
      </c>
      <c r="I398" s="3" t="inlineStr">
        <is>
          <t>0</t>
        </is>
      </c>
      <c r="J398" s="3" t="inlineStr">
        <is>
          <t>0</t>
        </is>
      </c>
      <c r="K398" s="3" t="inlineStr">
        <is>
          <t>0</t>
        </is>
      </c>
      <c r="L398" s="3" t="inlineStr">
        <is>
          <t>0</t>
        </is>
      </c>
      <c r="M398" s="3" t="inlineStr">
        <is>
          <t>0</t>
        </is>
      </c>
      <c r="N398" s="3" t="inlineStr">
        <is>
          <t>0</t>
        </is>
      </c>
      <c r="O398" s="4">
        <f>IF(OR($B398="",D398=""),"",--(D398=$B398))</f>
        <v/>
      </c>
      <c r="P398" s="4">
        <f>IF(OR($B398="",D398=""),"",IF($B398=1,--(D398=1),""))</f>
        <v/>
      </c>
      <c r="Q398" s="4">
        <f>IF(OR($B398="",D398=""),"",IF($B398=0,--(D398=0),""))</f>
        <v/>
      </c>
      <c r="R398" s="4">
        <f>IF(D398="","",--(D398=1))</f>
        <v/>
      </c>
      <c r="S398" s="4">
        <f>IF(OR($B398="",E398=""),"",--(E398=$B398))</f>
        <v/>
      </c>
      <c r="T398" s="4">
        <f>IF(OR($B398="",E398=""),"",IF($B398=1,--(E398=1),""))</f>
        <v/>
      </c>
      <c r="U398" s="4">
        <f>IF(OR($B398="",E398=""),"",IF($B398=0,--(E398=0),""))</f>
        <v/>
      </c>
      <c r="V398" s="4">
        <f>IF(E398="","",--(E398=1))</f>
        <v/>
      </c>
      <c r="W398" s="4">
        <f>IF(OR($B398="",F398=""),"",--(F398=$B398))</f>
        <v/>
      </c>
      <c r="X398" s="4">
        <f>IF(OR($B398="",F398=""),"",IF($B398=1,--(F398=1),""))</f>
        <v/>
      </c>
      <c r="Y398" s="4">
        <f>IF(OR($B398="",F398=""),"",IF($B398=0,--(F398=0),""))</f>
        <v/>
      </c>
      <c r="Z398" s="4">
        <f>IF(F398="","",--(F398=1))</f>
        <v/>
      </c>
      <c r="AA398" s="4">
        <f>IF(OR($B398="",G398=""),"",--(G398=$B398))</f>
        <v/>
      </c>
      <c r="AB398" s="4">
        <f>IF(OR($B398="",G398=""),"",IF($B398=1,--(G398=1),""))</f>
        <v/>
      </c>
      <c r="AC398" s="4">
        <f>IF(OR($B398="",G398=""),"",IF($B398=0,--(G398=0),""))</f>
        <v/>
      </c>
      <c r="AD398" s="4">
        <f>IF(G398="","",--(G398=1))</f>
        <v/>
      </c>
      <c r="AE398" s="4">
        <f>IF(OR($B398="",H398=""),"",--(H398=$B398))</f>
        <v/>
      </c>
      <c r="AF398" s="4">
        <f>IF(OR($B398="",H398=""),"",IF($B398=1,--(H398=1),""))</f>
        <v/>
      </c>
      <c r="AG398" s="4">
        <f>IF(OR($B398="",H398=""),"",IF($B398=0,--(H398=0),""))</f>
        <v/>
      </c>
      <c r="AH398" s="4">
        <f>IF(H398="","",--(H398=1))</f>
        <v/>
      </c>
      <c r="AI398" s="4">
        <f>IF(OR($B398="",I398=""),"",--(I398=$B398))</f>
        <v/>
      </c>
      <c r="AJ398" s="4">
        <f>IF(OR($B398="",I398=""),"",IF($B398=1,--(I398=1),""))</f>
        <v/>
      </c>
      <c r="AK398" s="4">
        <f>IF(OR($B398="",I398=""),"",IF($B398=0,--(I398=0),""))</f>
        <v/>
      </c>
      <c r="AL398" s="4">
        <f>IF(I398="","",--(I398=1))</f>
        <v/>
      </c>
      <c r="AM398" s="4">
        <f>IF(OR($B398="",J398=""),"",--(J398=$B398))</f>
        <v/>
      </c>
      <c r="AN398" s="4">
        <f>IF(OR($B398="",J398=""),"",IF($B398=1,--(J398=1),""))</f>
        <v/>
      </c>
      <c r="AO398" s="4">
        <f>IF(OR($B398="",J398=""),"",IF($B398=0,--(J398=0),""))</f>
        <v/>
      </c>
      <c r="AP398" s="4">
        <f>IF(J398="","",--(J398=1))</f>
        <v/>
      </c>
      <c r="AQ398" s="4">
        <f>IF(OR($B398="",K398=""),"",--(K398=$B398))</f>
        <v/>
      </c>
      <c r="AR398" s="4">
        <f>IF(OR($B398="",K398=""),"",IF($B398=1,--(K398=1),""))</f>
        <v/>
      </c>
      <c r="AS398" s="4">
        <f>IF(OR($B398="",K398=""),"",IF($B398=0,--(K398=0),""))</f>
        <v/>
      </c>
      <c r="AT398" s="4">
        <f>IF(K398="","",--(K398=1))</f>
        <v/>
      </c>
      <c r="AU398" s="4">
        <f>IF(OR($B398="",L398=""),"",--(L398=$B398))</f>
        <v/>
      </c>
      <c r="AV398" s="4">
        <f>IF(OR($B398="",L398=""),"",IF($B398=1,--(L398=1),""))</f>
        <v/>
      </c>
      <c r="AW398" s="4">
        <f>IF(OR($B398="",L398=""),"",IF($B398=0,--(L398=0),""))</f>
        <v/>
      </c>
      <c r="AX398" s="4">
        <f>IF(L398="","",--(L398=1))</f>
        <v/>
      </c>
      <c r="AY398" s="4">
        <f>IF(OR($B398="",M398=""),"",--(M398=$B398))</f>
        <v/>
      </c>
      <c r="AZ398" s="4">
        <f>IF(OR($B398="",M398=""),"",IF($B398=1,--(M398=1),""))</f>
        <v/>
      </c>
      <c r="BA398" s="4">
        <f>IF(OR($B398="",M398=""),"",IF($B398=0,--(M398=0),""))</f>
        <v/>
      </c>
      <c r="BB398" s="4">
        <f>IF(M398="","",--(M398=1))</f>
        <v/>
      </c>
      <c r="BC398" s="4">
        <f>IF(OR($B398="",N398=""),"",--(N398=$B398))</f>
        <v/>
      </c>
      <c r="BD398" s="4">
        <f>IF(OR($B398="",N398=""),"",IF($B398=1,--(N398=1),""))</f>
        <v/>
      </c>
      <c r="BE398" s="4">
        <f>IF(OR($B398="",N398=""),"",IF($B398=0,--(N398=0),""))</f>
        <v/>
      </c>
      <c r="BF398" s="4">
        <f>IF(N398="","",--(N398=1))</f>
        <v/>
      </c>
    </row>
    <row r="399">
      <c r="A399" s="3" t="inlineStr">
        <is>
          <t>202219234</t>
        </is>
      </c>
      <c r="B399" s="3" t="inlineStr">
        <is>
          <t>1</t>
        </is>
      </c>
      <c r="C399" s="3" t="inlineStr">
        <is>
          <t>RQ</t>
        </is>
      </c>
      <c r="D399" s="3" t="inlineStr">
        <is>
          <t>1</t>
        </is>
      </c>
      <c r="E399" s="3" t="inlineStr">
        <is>
          <t>0</t>
        </is>
      </c>
      <c r="F399" s="3" t="inlineStr">
        <is>
          <t>0</t>
        </is>
      </c>
      <c r="G399" s="3" t="inlineStr">
        <is>
          <t>0</t>
        </is>
      </c>
      <c r="H399" s="3" t="inlineStr">
        <is>
          <t>0</t>
        </is>
      </c>
      <c r="I399" s="3" t="inlineStr">
        <is>
          <t>0</t>
        </is>
      </c>
      <c r="J399" s="3" t="inlineStr">
        <is>
          <t>1</t>
        </is>
      </c>
      <c r="K399" s="3" t="inlineStr">
        <is>
          <t>0</t>
        </is>
      </c>
      <c r="L399" s="3" t="inlineStr">
        <is>
          <t>1</t>
        </is>
      </c>
      <c r="M399" s="3" t="inlineStr">
        <is>
          <t>1</t>
        </is>
      </c>
      <c r="N399" s="3" t="inlineStr">
        <is>
          <t>1</t>
        </is>
      </c>
      <c r="O399" s="4">
        <f>IF(OR($B399="",D399=""),"",--(D399=$B399))</f>
        <v/>
      </c>
      <c r="P399" s="4">
        <f>IF(OR($B399="",D399=""),"",IF($B399=1,--(D399=1),""))</f>
        <v/>
      </c>
      <c r="Q399" s="4">
        <f>IF(OR($B399="",D399=""),"",IF($B399=0,--(D399=0),""))</f>
        <v/>
      </c>
      <c r="R399" s="4">
        <f>IF(D399="","",--(D399=1))</f>
        <v/>
      </c>
      <c r="S399" s="4">
        <f>IF(OR($B399="",E399=""),"",--(E399=$B399))</f>
        <v/>
      </c>
      <c r="T399" s="4">
        <f>IF(OR($B399="",E399=""),"",IF($B399=1,--(E399=1),""))</f>
        <v/>
      </c>
      <c r="U399" s="4">
        <f>IF(OR($B399="",E399=""),"",IF($B399=0,--(E399=0),""))</f>
        <v/>
      </c>
      <c r="V399" s="4">
        <f>IF(E399="","",--(E399=1))</f>
        <v/>
      </c>
      <c r="W399" s="4">
        <f>IF(OR($B399="",F399=""),"",--(F399=$B399))</f>
        <v/>
      </c>
      <c r="X399" s="4">
        <f>IF(OR($B399="",F399=""),"",IF($B399=1,--(F399=1),""))</f>
        <v/>
      </c>
      <c r="Y399" s="4">
        <f>IF(OR($B399="",F399=""),"",IF($B399=0,--(F399=0),""))</f>
        <v/>
      </c>
      <c r="Z399" s="4">
        <f>IF(F399="","",--(F399=1))</f>
        <v/>
      </c>
      <c r="AA399" s="4">
        <f>IF(OR($B399="",G399=""),"",--(G399=$B399))</f>
        <v/>
      </c>
      <c r="AB399" s="4">
        <f>IF(OR($B399="",G399=""),"",IF($B399=1,--(G399=1),""))</f>
        <v/>
      </c>
      <c r="AC399" s="4">
        <f>IF(OR($B399="",G399=""),"",IF($B399=0,--(G399=0),""))</f>
        <v/>
      </c>
      <c r="AD399" s="4">
        <f>IF(G399="","",--(G399=1))</f>
        <v/>
      </c>
      <c r="AE399" s="4">
        <f>IF(OR($B399="",H399=""),"",--(H399=$B399))</f>
        <v/>
      </c>
      <c r="AF399" s="4">
        <f>IF(OR($B399="",H399=""),"",IF($B399=1,--(H399=1),""))</f>
        <v/>
      </c>
      <c r="AG399" s="4">
        <f>IF(OR($B399="",H399=""),"",IF($B399=0,--(H399=0),""))</f>
        <v/>
      </c>
      <c r="AH399" s="4">
        <f>IF(H399="","",--(H399=1))</f>
        <v/>
      </c>
      <c r="AI399" s="4">
        <f>IF(OR($B399="",I399=""),"",--(I399=$B399))</f>
        <v/>
      </c>
      <c r="AJ399" s="4">
        <f>IF(OR($B399="",I399=""),"",IF($B399=1,--(I399=1),""))</f>
        <v/>
      </c>
      <c r="AK399" s="4">
        <f>IF(OR($B399="",I399=""),"",IF($B399=0,--(I399=0),""))</f>
        <v/>
      </c>
      <c r="AL399" s="4">
        <f>IF(I399="","",--(I399=1))</f>
        <v/>
      </c>
      <c r="AM399" s="4">
        <f>IF(OR($B399="",J399=""),"",--(J399=$B399))</f>
        <v/>
      </c>
      <c r="AN399" s="4">
        <f>IF(OR($B399="",J399=""),"",IF($B399=1,--(J399=1),""))</f>
        <v/>
      </c>
      <c r="AO399" s="4">
        <f>IF(OR($B399="",J399=""),"",IF($B399=0,--(J399=0),""))</f>
        <v/>
      </c>
      <c r="AP399" s="4">
        <f>IF(J399="","",--(J399=1))</f>
        <v/>
      </c>
      <c r="AQ399" s="4">
        <f>IF(OR($B399="",K399=""),"",--(K399=$B399))</f>
        <v/>
      </c>
      <c r="AR399" s="4">
        <f>IF(OR($B399="",K399=""),"",IF($B399=1,--(K399=1),""))</f>
        <v/>
      </c>
      <c r="AS399" s="4">
        <f>IF(OR($B399="",K399=""),"",IF($B399=0,--(K399=0),""))</f>
        <v/>
      </c>
      <c r="AT399" s="4">
        <f>IF(K399="","",--(K399=1))</f>
        <v/>
      </c>
      <c r="AU399" s="4">
        <f>IF(OR($B399="",L399=""),"",--(L399=$B399))</f>
        <v/>
      </c>
      <c r="AV399" s="4">
        <f>IF(OR($B399="",L399=""),"",IF($B399=1,--(L399=1),""))</f>
        <v/>
      </c>
      <c r="AW399" s="4">
        <f>IF(OR($B399="",L399=""),"",IF($B399=0,--(L399=0),""))</f>
        <v/>
      </c>
      <c r="AX399" s="4">
        <f>IF(L399="","",--(L399=1))</f>
        <v/>
      </c>
      <c r="AY399" s="4">
        <f>IF(OR($B399="",M399=""),"",--(M399=$B399))</f>
        <v/>
      </c>
      <c r="AZ399" s="4">
        <f>IF(OR($B399="",M399=""),"",IF($B399=1,--(M399=1),""))</f>
        <v/>
      </c>
      <c r="BA399" s="4">
        <f>IF(OR($B399="",M399=""),"",IF($B399=0,--(M399=0),""))</f>
        <v/>
      </c>
      <c r="BB399" s="4">
        <f>IF(M399="","",--(M399=1))</f>
        <v/>
      </c>
      <c r="BC399" s="4">
        <f>IF(OR($B399="",N399=""),"",--(N399=$B399))</f>
        <v/>
      </c>
      <c r="BD399" s="4">
        <f>IF(OR($B399="",N399=""),"",IF($B399=1,--(N399=1),""))</f>
        <v/>
      </c>
      <c r="BE399" s="4">
        <f>IF(OR($B399="",N399=""),"",IF($B399=0,--(N399=0),""))</f>
        <v/>
      </c>
      <c r="BF399" s="4">
        <f>IF(N399="","",--(N399=1))</f>
        <v/>
      </c>
    </row>
    <row r="400">
      <c r="A400" s="3" t="inlineStr">
        <is>
          <t>202221079</t>
        </is>
      </c>
      <c r="B400" s="3" t="inlineStr">
        <is>
          <t>0</t>
        </is>
      </c>
      <c r="C400" s="3" t="inlineStr">
        <is>
          <t>Direct</t>
        </is>
      </c>
      <c r="D400" s="3" t="inlineStr">
        <is>
          <t>1</t>
        </is>
      </c>
      <c r="E400" s="3" t="inlineStr">
        <is>
          <t>0</t>
        </is>
      </c>
      <c r="F400" s="3" t="inlineStr">
        <is>
          <t>0</t>
        </is>
      </c>
      <c r="G400" s="3" t="inlineStr">
        <is>
          <t>1</t>
        </is>
      </c>
      <c r="H400" s="3" t="inlineStr">
        <is>
          <t>1</t>
        </is>
      </c>
      <c r="I400" s="3" t="inlineStr">
        <is>
          <t>1</t>
        </is>
      </c>
      <c r="J400" s="3" t="inlineStr">
        <is>
          <t>1</t>
        </is>
      </c>
      <c r="K400" s="3" t="inlineStr">
        <is>
          <t>1</t>
        </is>
      </c>
      <c r="L400" s="3" t="inlineStr">
        <is>
          <t>1</t>
        </is>
      </c>
      <c r="M400" s="3" t="inlineStr">
        <is>
          <t>1</t>
        </is>
      </c>
      <c r="N400" s="3" t="inlineStr">
        <is>
          <t>1</t>
        </is>
      </c>
      <c r="O400" s="4">
        <f>IF(OR($B400="",D400=""),"",--(D400=$B400))</f>
        <v/>
      </c>
      <c r="P400" s="4">
        <f>IF(OR($B400="",D400=""),"",IF($B400=1,--(D400=1),""))</f>
        <v/>
      </c>
      <c r="Q400" s="4">
        <f>IF(OR($B400="",D400=""),"",IF($B400=0,--(D400=0),""))</f>
        <v/>
      </c>
      <c r="R400" s="4">
        <f>IF(D400="","",--(D400=1))</f>
        <v/>
      </c>
      <c r="S400" s="4">
        <f>IF(OR($B400="",E400=""),"",--(E400=$B400))</f>
        <v/>
      </c>
      <c r="T400" s="4">
        <f>IF(OR($B400="",E400=""),"",IF($B400=1,--(E400=1),""))</f>
        <v/>
      </c>
      <c r="U400" s="4">
        <f>IF(OR($B400="",E400=""),"",IF($B400=0,--(E400=0),""))</f>
        <v/>
      </c>
      <c r="V400" s="4">
        <f>IF(E400="","",--(E400=1))</f>
        <v/>
      </c>
      <c r="W400" s="4">
        <f>IF(OR($B400="",F400=""),"",--(F400=$B400))</f>
        <v/>
      </c>
      <c r="X400" s="4">
        <f>IF(OR($B400="",F400=""),"",IF($B400=1,--(F400=1),""))</f>
        <v/>
      </c>
      <c r="Y400" s="4">
        <f>IF(OR($B400="",F400=""),"",IF($B400=0,--(F400=0),""))</f>
        <v/>
      </c>
      <c r="Z400" s="4">
        <f>IF(F400="","",--(F400=1))</f>
        <v/>
      </c>
      <c r="AA400" s="4">
        <f>IF(OR($B400="",G400=""),"",--(G400=$B400))</f>
        <v/>
      </c>
      <c r="AB400" s="4">
        <f>IF(OR($B400="",G400=""),"",IF($B400=1,--(G400=1),""))</f>
        <v/>
      </c>
      <c r="AC400" s="4">
        <f>IF(OR($B400="",G400=""),"",IF($B400=0,--(G400=0),""))</f>
        <v/>
      </c>
      <c r="AD400" s="4">
        <f>IF(G400="","",--(G400=1))</f>
        <v/>
      </c>
      <c r="AE400" s="4">
        <f>IF(OR($B400="",H400=""),"",--(H400=$B400))</f>
        <v/>
      </c>
      <c r="AF400" s="4">
        <f>IF(OR($B400="",H400=""),"",IF($B400=1,--(H400=1),""))</f>
        <v/>
      </c>
      <c r="AG400" s="4">
        <f>IF(OR($B400="",H400=""),"",IF($B400=0,--(H400=0),""))</f>
        <v/>
      </c>
      <c r="AH400" s="4">
        <f>IF(H400="","",--(H400=1))</f>
        <v/>
      </c>
      <c r="AI400" s="4">
        <f>IF(OR($B400="",I400=""),"",--(I400=$B400))</f>
        <v/>
      </c>
      <c r="AJ400" s="4">
        <f>IF(OR($B400="",I400=""),"",IF($B400=1,--(I400=1),""))</f>
        <v/>
      </c>
      <c r="AK400" s="4">
        <f>IF(OR($B400="",I400=""),"",IF($B400=0,--(I400=0),""))</f>
        <v/>
      </c>
      <c r="AL400" s="4">
        <f>IF(I400="","",--(I400=1))</f>
        <v/>
      </c>
      <c r="AM400" s="4">
        <f>IF(OR($B400="",J400=""),"",--(J400=$B400))</f>
        <v/>
      </c>
      <c r="AN400" s="4">
        <f>IF(OR($B400="",J400=""),"",IF($B400=1,--(J400=1),""))</f>
        <v/>
      </c>
      <c r="AO400" s="4">
        <f>IF(OR($B400="",J400=""),"",IF($B400=0,--(J400=0),""))</f>
        <v/>
      </c>
      <c r="AP400" s="4">
        <f>IF(J400="","",--(J400=1))</f>
        <v/>
      </c>
      <c r="AQ400" s="4">
        <f>IF(OR($B400="",K400=""),"",--(K400=$B400))</f>
        <v/>
      </c>
      <c r="AR400" s="4">
        <f>IF(OR($B400="",K400=""),"",IF($B400=1,--(K400=1),""))</f>
        <v/>
      </c>
      <c r="AS400" s="4">
        <f>IF(OR($B400="",K400=""),"",IF($B400=0,--(K400=0),""))</f>
        <v/>
      </c>
      <c r="AT400" s="4">
        <f>IF(K400="","",--(K400=1))</f>
        <v/>
      </c>
      <c r="AU400" s="4">
        <f>IF(OR($B400="",L400=""),"",--(L400=$B400))</f>
        <v/>
      </c>
      <c r="AV400" s="4">
        <f>IF(OR($B400="",L400=""),"",IF($B400=1,--(L400=1),""))</f>
        <v/>
      </c>
      <c r="AW400" s="4">
        <f>IF(OR($B400="",L400=""),"",IF($B400=0,--(L400=0),""))</f>
        <v/>
      </c>
      <c r="AX400" s="4">
        <f>IF(L400="","",--(L400=1))</f>
        <v/>
      </c>
      <c r="AY400" s="4">
        <f>IF(OR($B400="",M400=""),"",--(M400=$B400))</f>
        <v/>
      </c>
      <c r="AZ400" s="4">
        <f>IF(OR($B400="",M400=""),"",IF($B400=1,--(M400=1),""))</f>
        <v/>
      </c>
      <c r="BA400" s="4">
        <f>IF(OR($B400="",M400=""),"",IF($B400=0,--(M400=0),""))</f>
        <v/>
      </c>
      <c r="BB400" s="4">
        <f>IF(M400="","",--(M400=1))</f>
        <v/>
      </c>
      <c r="BC400" s="4">
        <f>IF(OR($B400="",N400=""),"",--(N400=$B400))</f>
        <v/>
      </c>
      <c r="BD400" s="4">
        <f>IF(OR($B400="",N400=""),"",IF($B400=1,--(N400=1),""))</f>
        <v/>
      </c>
      <c r="BE400" s="4">
        <f>IF(OR($B400="",N400=""),"",IF($B400=0,--(N400=0),""))</f>
        <v/>
      </c>
      <c r="BF400" s="4">
        <f>IF(N400="","",--(N400=1))</f>
        <v/>
      </c>
    </row>
    <row r="401">
      <c r="A401" s="3" t="inlineStr">
        <is>
          <t>202221108</t>
        </is>
      </c>
      <c r="B401" s="3" t="inlineStr">
        <is>
          <t>1</t>
        </is>
      </c>
      <c r="C401" s="3" t="inlineStr">
        <is>
          <t>Direct</t>
        </is>
      </c>
      <c r="D401" s="3" t="inlineStr">
        <is>
          <t>1</t>
        </is>
      </c>
      <c r="E401" s="3" t="inlineStr">
        <is>
          <t>1</t>
        </is>
      </c>
      <c r="F401" s="3" t="inlineStr">
        <is>
          <t>0</t>
        </is>
      </c>
      <c r="G401" s="3" t="inlineStr">
        <is>
          <t>1</t>
        </is>
      </c>
      <c r="H401" s="3" t="inlineStr">
        <is>
          <t>1</t>
        </is>
      </c>
      <c r="I401" s="3" t="inlineStr">
        <is>
          <t>1</t>
        </is>
      </c>
      <c r="J401" s="3" t="inlineStr">
        <is>
          <t>1</t>
        </is>
      </c>
      <c r="K401" s="3" t="inlineStr">
        <is>
          <t>1</t>
        </is>
      </c>
      <c r="L401" s="3" t="inlineStr">
        <is>
          <t>1</t>
        </is>
      </c>
      <c r="M401" s="3" t="inlineStr">
        <is>
          <t>1</t>
        </is>
      </c>
      <c r="N401" s="3" t="inlineStr">
        <is>
          <t>1</t>
        </is>
      </c>
      <c r="O401" s="4">
        <f>IF(OR($B401="",D401=""),"",--(D401=$B401))</f>
        <v/>
      </c>
      <c r="P401" s="4">
        <f>IF(OR($B401="",D401=""),"",IF($B401=1,--(D401=1),""))</f>
        <v/>
      </c>
      <c r="Q401" s="4">
        <f>IF(OR($B401="",D401=""),"",IF($B401=0,--(D401=0),""))</f>
        <v/>
      </c>
      <c r="R401" s="4">
        <f>IF(D401="","",--(D401=1))</f>
        <v/>
      </c>
      <c r="S401" s="4">
        <f>IF(OR($B401="",E401=""),"",--(E401=$B401))</f>
        <v/>
      </c>
      <c r="T401" s="4">
        <f>IF(OR($B401="",E401=""),"",IF($B401=1,--(E401=1),""))</f>
        <v/>
      </c>
      <c r="U401" s="4">
        <f>IF(OR($B401="",E401=""),"",IF($B401=0,--(E401=0),""))</f>
        <v/>
      </c>
      <c r="V401" s="4">
        <f>IF(E401="","",--(E401=1))</f>
        <v/>
      </c>
      <c r="W401" s="4">
        <f>IF(OR($B401="",F401=""),"",--(F401=$B401))</f>
        <v/>
      </c>
      <c r="X401" s="4">
        <f>IF(OR($B401="",F401=""),"",IF($B401=1,--(F401=1),""))</f>
        <v/>
      </c>
      <c r="Y401" s="4">
        <f>IF(OR($B401="",F401=""),"",IF($B401=0,--(F401=0),""))</f>
        <v/>
      </c>
      <c r="Z401" s="4">
        <f>IF(F401="","",--(F401=1))</f>
        <v/>
      </c>
      <c r="AA401" s="4">
        <f>IF(OR($B401="",G401=""),"",--(G401=$B401))</f>
        <v/>
      </c>
      <c r="AB401" s="4">
        <f>IF(OR($B401="",G401=""),"",IF($B401=1,--(G401=1),""))</f>
        <v/>
      </c>
      <c r="AC401" s="4">
        <f>IF(OR($B401="",G401=""),"",IF($B401=0,--(G401=0),""))</f>
        <v/>
      </c>
      <c r="AD401" s="4">
        <f>IF(G401="","",--(G401=1))</f>
        <v/>
      </c>
      <c r="AE401" s="4">
        <f>IF(OR($B401="",H401=""),"",--(H401=$B401))</f>
        <v/>
      </c>
      <c r="AF401" s="4">
        <f>IF(OR($B401="",H401=""),"",IF($B401=1,--(H401=1),""))</f>
        <v/>
      </c>
      <c r="AG401" s="4">
        <f>IF(OR($B401="",H401=""),"",IF($B401=0,--(H401=0),""))</f>
        <v/>
      </c>
      <c r="AH401" s="4">
        <f>IF(H401="","",--(H401=1))</f>
        <v/>
      </c>
      <c r="AI401" s="4">
        <f>IF(OR($B401="",I401=""),"",--(I401=$B401))</f>
        <v/>
      </c>
      <c r="AJ401" s="4">
        <f>IF(OR($B401="",I401=""),"",IF($B401=1,--(I401=1),""))</f>
        <v/>
      </c>
      <c r="AK401" s="4">
        <f>IF(OR($B401="",I401=""),"",IF($B401=0,--(I401=0),""))</f>
        <v/>
      </c>
      <c r="AL401" s="4">
        <f>IF(I401="","",--(I401=1))</f>
        <v/>
      </c>
      <c r="AM401" s="4">
        <f>IF(OR($B401="",J401=""),"",--(J401=$B401))</f>
        <v/>
      </c>
      <c r="AN401" s="4">
        <f>IF(OR($B401="",J401=""),"",IF($B401=1,--(J401=1),""))</f>
        <v/>
      </c>
      <c r="AO401" s="4">
        <f>IF(OR($B401="",J401=""),"",IF($B401=0,--(J401=0),""))</f>
        <v/>
      </c>
      <c r="AP401" s="4">
        <f>IF(J401="","",--(J401=1))</f>
        <v/>
      </c>
      <c r="AQ401" s="4">
        <f>IF(OR($B401="",K401=""),"",--(K401=$B401))</f>
        <v/>
      </c>
      <c r="AR401" s="4">
        <f>IF(OR($B401="",K401=""),"",IF($B401=1,--(K401=1),""))</f>
        <v/>
      </c>
      <c r="AS401" s="4">
        <f>IF(OR($B401="",K401=""),"",IF($B401=0,--(K401=0),""))</f>
        <v/>
      </c>
      <c r="AT401" s="4">
        <f>IF(K401="","",--(K401=1))</f>
        <v/>
      </c>
      <c r="AU401" s="4">
        <f>IF(OR($B401="",L401=""),"",--(L401=$B401))</f>
        <v/>
      </c>
      <c r="AV401" s="4">
        <f>IF(OR($B401="",L401=""),"",IF($B401=1,--(L401=1),""))</f>
        <v/>
      </c>
      <c r="AW401" s="4">
        <f>IF(OR($B401="",L401=""),"",IF($B401=0,--(L401=0),""))</f>
        <v/>
      </c>
      <c r="AX401" s="4">
        <f>IF(L401="","",--(L401=1))</f>
        <v/>
      </c>
      <c r="AY401" s="4">
        <f>IF(OR($B401="",M401=""),"",--(M401=$B401))</f>
        <v/>
      </c>
      <c r="AZ401" s="4">
        <f>IF(OR($B401="",M401=""),"",IF($B401=1,--(M401=1),""))</f>
        <v/>
      </c>
      <c r="BA401" s="4">
        <f>IF(OR($B401="",M401=""),"",IF($B401=0,--(M401=0),""))</f>
        <v/>
      </c>
      <c r="BB401" s="4">
        <f>IF(M401="","",--(M401=1))</f>
        <v/>
      </c>
      <c r="BC401" s="4">
        <f>IF(OR($B401="",N401=""),"",--(N401=$B401))</f>
        <v/>
      </c>
      <c r="BD401" s="4">
        <f>IF(OR($B401="",N401=""),"",IF($B401=1,--(N401=1),""))</f>
        <v/>
      </c>
      <c r="BE401" s="4">
        <f>IF(OR($B401="",N401=""),"",IF($B401=0,--(N401=0),""))</f>
        <v/>
      </c>
      <c r="BF401" s="4">
        <f>IF(N401="","",--(N401=1))</f>
        <v/>
      </c>
    </row>
    <row r="402">
      <c r="A402" s="3" t="inlineStr">
        <is>
          <t>202221689</t>
        </is>
      </c>
      <c r="B402" s="3" t="inlineStr">
        <is>
          <t>1</t>
        </is>
      </c>
      <c r="C402" s="3" t="inlineStr">
        <is>
          <t>Direct</t>
        </is>
      </c>
      <c r="D402" s="3" t="inlineStr">
        <is>
          <t>1</t>
        </is>
      </c>
      <c r="E402" s="3" t="inlineStr">
        <is>
          <t>1</t>
        </is>
      </c>
      <c r="F402" s="3" t="inlineStr">
        <is>
          <t>1</t>
        </is>
      </c>
      <c r="G402" s="3" t="inlineStr">
        <is>
          <t>1</t>
        </is>
      </c>
      <c r="H402" s="3" t="inlineStr">
        <is>
          <t>1</t>
        </is>
      </c>
      <c r="I402" s="3" t="inlineStr">
        <is>
          <t>1</t>
        </is>
      </c>
      <c r="J402" s="3" t="inlineStr">
        <is>
          <t>1</t>
        </is>
      </c>
      <c r="K402" s="3" t="inlineStr">
        <is>
          <t>1</t>
        </is>
      </c>
      <c r="L402" s="3" t="inlineStr">
        <is>
          <t>1</t>
        </is>
      </c>
      <c r="M402" s="3" t="inlineStr">
        <is>
          <t>1</t>
        </is>
      </c>
      <c r="N402" s="3" t="inlineStr">
        <is>
          <t>1</t>
        </is>
      </c>
      <c r="O402" s="4">
        <f>IF(OR($B402="",D402=""),"",--(D402=$B402))</f>
        <v/>
      </c>
      <c r="P402" s="4">
        <f>IF(OR($B402="",D402=""),"",IF($B402=1,--(D402=1),""))</f>
        <v/>
      </c>
      <c r="Q402" s="4">
        <f>IF(OR($B402="",D402=""),"",IF($B402=0,--(D402=0),""))</f>
        <v/>
      </c>
      <c r="R402" s="4">
        <f>IF(D402="","",--(D402=1))</f>
        <v/>
      </c>
      <c r="S402" s="4">
        <f>IF(OR($B402="",E402=""),"",--(E402=$B402))</f>
        <v/>
      </c>
      <c r="T402" s="4">
        <f>IF(OR($B402="",E402=""),"",IF($B402=1,--(E402=1),""))</f>
        <v/>
      </c>
      <c r="U402" s="4">
        <f>IF(OR($B402="",E402=""),"",IF($B402=0,--(E402=0),""))</f>
        <v/>
      </c>
      <c r="V402" s="4">
        <f>IF(E402="","",--(E402=1))</f>
        <v/>
      </c>
      <c r="W402" s="4">
        <f>IF(OR($B402="",F402=""),"",--(F402=$B402))</f>
        <v/>
      </c>
      <c r="X402" s="4">
        <f>IF(OR($B402="",F402=""),"",IF($B402=1,--(F402=1),""))</f>
        <v/>
      </c>
      <c r="Y402" s="4">
        <f>IF(OR($B402="",F402=""),"",IF($B402=0,--(F402=0),""))</f>
        <v/>
      </c>
      <c r="Z402" s="4">
        <f>IF(F402="","",--(F402=1))</f>
        <v/>
      </c>
      <c r="AA402" s="4">
        <f>IF(OR($B402="",G402=""),"",--(G402=$B402))</f>
        <v/>
      </c>
      <c r="AB402" s="4">
        <f>IF(OR($B402="",G402=""),"",IF($B402=1,--(G402=1),""))</f>
        <v/>
      </c>
      <c r="AC402" s="4">
        <f>IF(OR($B402="",G402=""),"",IF($B402=0,--(G402=0),""))</f>
        <v/>
      </c>
      <c r="AD402" s="4">
        <f>IF(G402="","",--(G402=1))</f>
        <v/>
      </c>
      <c r="AE402" s="4">
        <f>IF(OR($B402="",H402=""),"",--(H402=$B402))</f>
        <v/>
      </c>
      <c r="AF402" s="4">
        <f>IF(OR($B402="",H402=""),"",IF($B402=1,--(H402=1),""))</f>
        <v/>
      </c>
      <c r="AG402" s="4">
        <f>IF(OR($B402="",H402=""),"",IF($B402=0,--(H402=0),""))</f>
        <v/>
      </c>
      <c r="AH402" s="4">
        <f>IF(H402="","",--(H402=1))</f>
        <v/>
      </c>
      <c r="AI402" s="4">
        <f>IF(OR($B402="",I402=""),"",--(I402=$B402))</f>
        <v/>
      </c>
      <c r="AJ402" s="4">
        <f>IF(OR($B402="",I402=""),"",IF($B402=1,--(I402=1),""))</f>
        <v/>
      </c>
      <c r="AK402" s="4">
        <f>IF(OR($B402="",I402=""),"",IF($B402=0,--(I402=0),""))</f>
        <v/>
      </c>
      <c r="AL402" s="4">
        <f>IF(I402="","",--(I402=1))</f>
        <v/>
      </c>
      <c r="AM402" s="4">
        <f>IF(OR($B402="",J402=""),"",--(J402=$B402))</f>
        <v/>
      </c>
      <c r="AN402" s="4">
        <f>IF(OR($B402="",J402=""),"",IF($B402=1,--(J402=1),""))</f>
        <v/>
      </c>
      <c r="AO402" s="4">
        <f>IF(OR($B402="",J402=""),"",IF($B402=0,--(J402=0),""))</f>
        <v/>
      </c>
      <c r="AP402" s="4">
        <f>IF(J402="","",--(J402=1))</f>
        <v/>
      </c>
      <c r="AQ402" s="4">
        <f>IF(OR($B402="",K402=""),"",--(K402=$B402))</f>
        <v/>
      </c>
      <c r="AR402" s="4">
        <f>IF(OR($B402="",K402=""),"",IF($B402=1,--(K402=1),""))</f>
        <v/>
      </c>
      <c r="AS402" s="4">
        <f>IF(OR($B402="",K402=""),"",IF($B402=0,--(K402=0),""))</f>
        <v/>
      </c>
      <c r="AT402" s="4">
        <f>IF(K402="","",--(K402=1))</f>
        <v/>
      </c>
      <c r="AU402" s="4">
        <f>IF(OR($B402="",L402=""),"",--(L402=$B402))</f>
        <v/>
      </c>
      <c r="AV402" s="4">
        <f>IF(OR($B402="",L402=""),"",IF($B402=1,--(L402=1),""))</f>
        <v/>
      </c>
      <c r="AW402" s="4">
        <f>IF(OR($B402="",L402=""),"",IF($B402=0,--(L402=0),""))</f>
        <v/>
      </c>
      <c r="AX402" s="4">
        <f>IF(L402="","",--(L402=1))</f>
        <v/>
      </c>
      <c r="AY402" s="4">
        <f>IF(OR($B402="",M402=""),"",--(M402=$B402))</f>
        <v/>
      </c>
      <c r="AZ402" s="4">
        <f>IF(OR($B402="",M402=""),"",IF($B402=1,--(M402=1),""))</f>
        <v/>
      </c>
      <c r="BA402" s="4">
        <f>IF(OR($B402="",M402=""),"",IF($B402=0,--(M402=0),""))</f>
        <v/>
      </c>
      <c r="BB402" s="4">
        <f>IF(M402="","",--(M402=1))</f>
        <v/>
      </c>
      <c r="BC402" s="4">
        <f>IF(OR($B402="",N402=""),"",--(N402=$B402))</f>
        <v/>
      </c>
      <c r="BD402" s="4">
        <f>IF(OR($B402="",N402=""),"",IF($B402=1,--(N402=1),""))</f>
        <v/>
      </c>
      <c r="BE402" s="4">
        <f>IF(OR($B402="",N402=""),"",IF($B402=0,--(N402=0),""))</f>
        <v/>
      </c>
      <c r="BF402" s="4">
        <f>IF(N402="","",--(N402=1))</f>
        <v/>
      </c>
    </row>
    <row r="403">
      <c r="A403" s="3" t="inlineStr">
        <is>
          <t>202221958</t>
        </is>
      </c>
      <c r="B403" s="3" t="inlineStr">
        <is>
          <t>0</t>
        </is>
      </c>
      <c r="C403" s="3" t="inlineStr">
        <is>
          <t>Direct</t>
        </is>
      </c>
      <c r="D403" s="3" t="inlineStr">
        <is>
          <t>1</t>
        </is>
      </c>
      <c r="E403" s="3" t="inlineStr">
        <is>
          <t>1</t>
        </is>
      </c>
      <c r="F403" s="3" t="inlineStr">
        <is>
          <t>1</t>
        </is>
      </c>
      <c r="G403" s="3" t="inlineStr">
        <is>
          <t>1</t>
        </is>
      </c>
      <c r="H403" s="3" t="inlineStr">
        <is>
          <t>1</t>
        </is>
      </c>
      <c r="I403" s="3" t="inlineStr">
        <is>
          <t>1</t>
        </is>
      </c>
      <c r="J403" s="3" t="inlineStr">
        <is>
          <t>1</t>
        </is>
      </c>
      <c r="K403" s="3" t="inlineStr">
        <is>
          <t>1</t>
        </is>
      </c>
      <c r="L403" s="3" t="inlineStr">
        <is>
          <t>1</t>
        </is>
      </c>
      <c r="M403" s="3" t="inlineStr">
        <is>
          <t>1</t>
        </is>
      </c>
      <c r="N403" s="3" t="inlineStr">
        <is>
          <t>1</t>
        </is>
      </c>
      <c r="O403" s="4">
        <f>IF(OR($B403="",D403=""),"",--(D403=$B403))</f>
        <v/>
      </c>
      <c r="P403" s="4">
        <f>IF(OR($B403="",D403=""),"",IF($B403=1,--(D403=1),""))</f>
        <v/>
      </c>
      <c r="Q403" s="4">
        <f>IF(OR($B403="",D403=""),"",IF($B403=0,--(D403=0),""))</f>
        <v/>
      </c>
      <c r="R403" s="4">
        <f>IF(D403="","",--(D403=1))</f>
        <v/>
      </c>
      <c r="S403" s="4">
        <f>IF(OR($B403="",E403=""),"",--(E403=$B403))</f>
        <v/>
      </c>
      <c r="T403" s="4">
        <f>IF(OR($B403="",E403=""),"",IF($B403=1,--(E403=1),""))</f>
        <v/>
      </c>
      <c r="U403" s="4">
        <f>IF(OR($B403="",E403=""),"",IF($B403=0,--(E403=0),""))</f>
        <v/>
      </c>
      <c r="V403" s="4">
        <f>IF(E403="","",--(E403=1))</f>
        <v/>
      </c>
      <c r="W403" s="4">
        <f>IF(OR($B403="",F403=""),"",--(F403=$B403))</f>
        <v/>
      </c>
      <c r="X403" s="4">
        <f>IF(OR($B403="",F403=""),"",IF($B403=1,--(F403=1),""))</f>
        <v/>
      </c>
      <c r="Y403" s="4">
        <f>IF(OR($B403="",F403=""),"",IF($B403=0,--(F403=0),""))</f>
        <v/>
      </c>
      <c r="Z403" s="4">
        <f>IF(F403="","",--(F403=1))</f>
        <v/>
      </c>
      <c r="AA403" s="4">
        <f>IF(OR($B403="",G403=""),"",--(G403=$B403))</f>
        <v/>
      </c>
      <c r="AB403" s="4">
        <f>IF(OR($B403="",G403=""),"",IF($B403=1,--(G403=1),""))</f>
        <v/>
      </c>
      <c r="AC403" s="4">
        <f>IF(OR($B403="",G403=""),"",IF($B403=0,--(G403=0),""))</f>
        <v/>
      </c>
      <c r="AD403" s="4">
        <f>IF(G403="","",--(G403=1))</f>
        <v/>
      </c>
      <c r="AE403" s="4">
        <f>IF(OR($B403="",H403=""),"",--(H403=$B403))</f>
        <v/>
      </c>
      <c r="AF403" s="4">
        <f>IF(OR($B403="",H403=""),"",IF($B403=1,--(H403=1),""))</f>
        <v/>
      </c>
      <c r="AG403" s="4">
        <f>IF(OR($B403="",H403=""),"",IF($B403=0,--(H403=0),""))</f>
        <v/>
      </c>
      <c r="AH403" s="4">
        <f>IF(H403="","",--(H403=1))</f>
        <v/>
      </c>
      <c r="AI403" s="4">
        <f>IF(OR($B403="",I403=""),"",--(I403=$B403))</f>
        <v/>
      </c>
      <c r="AJ403" s="4">
        <f>IF(OR($B403="",I403=""),"",IF($B403=1,--(I403=1),""))</f>
        <v/>
      </c>
      <c r="AK403" s="4">
        <f>IF(OR($B403="",I403=""),"",IF($B403=0,--(I403=0),""))</f>
        <v/>
      </c>
      <c r="AL403" s="4">
        <f>IF(I403="","",--(I403=1))</f>
        <v/>
      </c>
      <c r="AM403" s="4">
        <f>IF(OR($B403="",J403=""),"",--(J403=$B403))</f>
        <v/>
      </c>
      <c r="AN403" s="4">
        <f>IF(OR($B403="",J403=""),"",IF($B403=1,--(J403=1),""))</f>
        <v/>
      </c>
      <c r="AO403" s="4">
        <f>IF(OR($B403="",J403=""),"",IF($B403=0,--(J403=0),""))</f>
        <v/>
      </c>
      <c r="AP403" s="4">
        <f>IF(J403="","",--(J403=1))</f>
        <v/>
      </c>
      <c r="AQ403" s="4">
        <f>IF(OR($B403="",K403=""),"",--(K403=$B403))</f>
        <v/>
      </c>
      <c r="AR403" s="4">
        <f>IF(OR($B403="",K403=""),"",IF($B403=1,--(K403=1),""))</f>
        <v/>
      </c>
      <c r="AS403" s="4">
        <f>IF(OR($B403="",K403=""),"",IF($B403=0,--(K403=0),""))</f>
        <v/>
      </c>
      <c r="AT403" s="4">
        <f>IF(K403="","",--(K403=1))</f>
        <v/>
      </c>
      <c r="AU403" s="4">
        <f>IF(OR($B403="",L403=""),"",--(L403=$B403))</f>
        <v/>
      </c>
      <c r="AV403" s="4">
        <f>IF(OR($B403="",L403=""),"",IF($B403=1,--(L403=1),""))</f>
        <v/>
      </c>
      <c r="AW403" s="4">
        <f>IF(OR($B403="",L403=""),"",IF($B403=0,--(L403=0),""))</f>
        <v/>
      </c>
      <c r="AX403" s="4">
        <f>IF(L403="","",--(L403=1))</f>
        <v/>
      </c>
      <c r="AY403" s="4">
        <f>IF(OR($B403="",M403=""),"",--(M403=$B403))</f>
        <v/>
      </c>
      <c r="AZ403" s="4">
        <f>IF(OR($B403="",M403=""),"",IF($B403=1,--(M403=1),""))</f>
        <v/>
      </c>
      <c r="BA403" s="4">
        <f>IF(OR($B403="",M403=""),"",IF($B403=0,--(M403=0),""))</f>
        <v/>
      </c>
      <c r="BB403" s="4">
        <f>IF(M403="","",--(M403=1))</f>
        <v/>
      </c>
      <c r="BC403" s="4">
        <f>IF(OR($B403="",N403=""),"",--(N403=$B403))</f>
        <v/>
      </c>
      <c r="BD403" s="4">
        <f>IF(OR($B403="",N403=""),"",IF($B403=1,--(N403=1),""))</f>
        <v/>
      </c>
      <c r="BE403" s="4">
        <f>IF(OR($B403="",N403=""),"",IF($B403=0,--(N403=0),""))</f>
        <v/>
      </c>
      <c r="BF403" s="4">
        <f>IF(N403="","",--(N403=1))</f>
        <v/>
      </c>
    </row>
    <row r="404">
      <c r="A404" s="3" t="inlineStr">
        <is>
          <t>202223039</t>
        </is>
      </c>
      <c r="B404" s="3" t="inlineStr">
        <is>
          <t>1</t>
        </is>
      </c>
      <c r="C404" s="3" t="inlineStr">
        <is>
          <t>Direct</t>
        </is>
      </c>
      <c r="D404" s="3" t="inlineStr">
        <is>
          <t>1</t>
        </is>
      </c>
      <c r="E404" s="3" t="inlineStr">
        <is>
          <t>1</t>
        </is>
      </c>
      <c r="F404" s="3" t="inlineStr">
        <is>
          <t>0</t>
        </is>
      </c>
      <c r="G404" s="3" t="inlineStr">
        <is>
          <t>0</t>
        </is>
      </c>
      <c r="H404" s="3" t="inlineStr">
        <is>
          <t>1</t>
        </is>
      </c>
      <c r="I404" s="3" t="inlineStr">
        <is>
          <t>0</t>
        </is>
      </c>
      <c r="J404" s="3" t="inlineStr">
        <is>
          <t>0</t>
        </is>
      </c>
      <c r="K404" s="3" t="inlineStr">
        <is>
          <t>1</t>
        </is>
      </c>
      <c r="L404" s="3" t="inlineStr">
        <is>
          <t>1</t>
        </is>
      </c>
      <c r="M404" s="3" t="inlineStr">
        <is>
          <t>1</t>
        </is>
      </c>
      <c r="N404" s="3" t="inlineStr">
        <is>
          <t>1</t>
        </is>
      </c>
      <c r="O404" s="4">
        <f>IF(OR($B404="",D404=""),"",--(D404=$B404))</f>
        <v/>
      </c>
      <c r="P404" s="4">
        <f>IF(OR($B404="",D404=""),"",IF($B404=1,--(D404=1),""))</f>
        <v/>
      </c>
      <c r="Q404" s="4">
        <f>IF(OR($B404="",D404=""),"",IF($B404=0,--(D404=0),""))</f>
        <v/>
      </c>
      <c r="R404" s="4">
        <f>IF(D404="","",--(D404=1))</f>
        <v/>
      </c>
      <c r="S404" s="4">
        <f>IF(OR($B404="",E404=""),"",--(E404=$B404))</f>
        <v/>
      </c>
      <c r="T404" s="4">
        <f>IF(OR($B404="",E404=""),"",IF($B404=1,--(E404=1),""))</f>
        <v/>
      </c>
      <c r="U404" s="4">
        <f>IF(OR($B404="",E404=""),"",IF($B404=0,--(E404=0),""))</f>
        <v/>
      </c>
      <c r="V404" s="4">
        <f>IF(E404="","",--(E404=1))</f>
        <v/>
      </c>
      <c r="W404" s="4">
        <f>IF(OR($B404="",F404=""),"",--(F404=$B404))</f>
        <v/>
      </c>
      <c r="X404" s="4">
        <f>IF(OR($B404="",F404=""),"",IF($B404=1,--(F404=1),""))</f>
        <v/>
      </c>
      <c r="Y404" s="4">
        <f>IF(OR($B404="",F404=""),"",IF($B404=0,--(F404=0),""))</f>
        <v/>
      </c>
      <c r="Z404" s="4">
        <f>IF(F404="","",--(F404=1))</f>
        <v/>
      </c>
      <c r="AA404" s="4">
        <f>IF(OR($B404="",G404=""),"",--(G404=$B404))</f>
        <v/>
      </c>
      <c r="AB404" s="4">
        <f>IF(OR($B404="",G404=""),"",IF($B404=1,--(G404=1),""))</f>
        <v/>
      </c>
      <c r="AC404" s="4">
        <f>IF(OR($B404="",G404=""),"",IF($B404=0,--(G404=0),""))</f>
        <v/>
      </c>
      <c r="AD404" s="4">
        <f>IF(G404="","",--(G404=1))</f>
        <v/>
      </c>
      <c r="AE404" s="4">
        <f>IF(OR($B404="",H404=""),"",--(H404=$B404))</f>
        <v/>
      </c>
      <c r="AF404" s="4">
        <f>IF(OR($B404="",H404=""),"",IF($B404=1,--(H404=1),""))</f>
        <v/>
      </c>
      <c r="AG404" s="4">
        <f>IF(OR($B404="",H404=""),"",IF($B404=0,--(H404=0),""))</f>
        <v/>
      </c>
      <c r="AH404" s="4">
        <f>IF(H404="","",--(H404=1))</f>
        <v/>
      </c>
      <c r="AI404" s="4">
        <f>IF(OR($B404="",I404=""),"",--(I404=$B404))</f>
        <v/>
      </c>
      <c r="AJ404" s="4">
        <f>IF(OR($B404="",I404=""),"",IF($B404=1,--(I404=1),""))</f>
        <v/>
      </c>
      <c r="AK404" s="4">
        <f>IF(OR($B404="",I404=""),"",IF($B404=0,--(I404=0),""))</f>
        <v/>
      </c>
      <c r="AL404" s="4">
        <f>IF(I404="","",--(I404=1))</f>
        <v/>
      </c>
      <c r="AM404" s="4">
        <f>IF(OR($B404="",J404=""),"",--(J404=$B404))</f>
        <v/>
      </c>
      <c r="AN404" s="4">
        <f>IF(OR($B404="",J404=""),"",IF($B404=1,--(J404=1),""))</f>
        <v/>
      </c>
      <c r="AO404" s="4">
        <f>IF(OR($B404="",J404=""),"",IF($B404=0,--(J404=0),""))</f>
        <v/>
      </c>
      <c r="AP404" s="4">
        <f>IF(J404="","",--(J404=1))</f>
        <v/>
      </c>
      <c r="AQ404" s="4">
        <f>IF(OR($B404="",K404=""),"",--(K404=$B404))</f>
        <v/>
      </c>
      <c r="AR404" s="4">
        <f>IF(OR($B404="",K404=""),"",IF($B404=1,--(K404=1),""))</f>
        <v/>
      </c>
      <c r="AS404" s="4">
        <f>IF(OR($B404="",K404=""),"",IF($B404=0,--(K404=0),""))</f>
        <v/>
      </c>
      <c r="AT404" s="4">
        <f>IF(K404="","",--(K404=1))</f>
        <v/>
      </c>
      <c r="AU404" s="4">
        <f>IF(OR($B404="",L404=""),"",--(L404=$B404))</f>
        <v/>
      </c>
      <c r="AV404" s="4">
        <f>IF(OR($B404="",L404=""),"",IF($B404=1,--(L404=1),""))</f>
        <v/>
      </c>
      <c r="AW404" s="4">
        <f>IF(OR($B404="",L404=""),"",IF($B404=0,--(L404=0),""))</f>
        <v/>
      </c>
      <c r="AX404" s="4">
        <f>IF(L404="","",--(L404=1))</f>
        <v/>
      </c>
      <c r="AY404" s="4">
        <f>IF(OR($B404="",M404=""),"",--(M404=$B404))</f>
        <v/>
      </c>
      <c r="AZ404" s="4">
        <f>IF(OR($B404="",M404=""),"",IF($B404=1,--(M404=1),""))</f>
        <v/>
      </c>
      <c r="BA404" s="4">
        <f>IF(OR($B404="",M404=""),"",IF($B404=0,--(M404=0),""))</f>
        <v/>
      </c>
      <c r="BB404" s="4">
        <f>IF(M404="","",--(M404=1))</f>
        <v/>
      </c>
      <c r="BC404" s="4">
        <f>IF(OR($B404="",N404=""),"",--(N404=$B404))</f>
        <v/>
      </c>
      <c r="BD404" s="4">
        <f>IF(OR($B404="",N404=""),"",IF($B404=1,--(N404=1),""))</f>
        <v/>
      </c>
      <c r="BE404" s="4">
        <f>IF(OR($B404="",N404=""),"",IF($B404=0,--(N404=0),""))</f>
        <v/>
      </c>
      <c r="BF404" s="4">
        <f>IF(N404="","",--(N404=1))</f>
        <v/>
      </c>
    </row>
    <row r="405">
      <c r="A405" s="3" t="inlineStr">
        <is>
          <t>202224342</t>
        </is>
      </c>
      <c r="B405" s="3" t="inlineStr">
        <is>
          <t>1</t>
        </is>
      </c>
      <c r="C405" s="3" t="inlineStr">
        <is>
          <t>Direct</t>
        </is>
      </c>
      <c r="D405" s="3" t="inlineStr">
        <is>
          <t>1</t>
        </is>
      </c>
      <c r="E405" s="3" t="inlineStr">
        <is>
          <t>1</t>
        </is>
      </c>
      <c r="F405" s="3" t="inlineStr">
        <is>
          <t>1</t>
        </is>
      </c>
      <c r="G405" s="3" t="inlineStr">
        <is>
          <t>0</t>
        </is>
      </c>
      <c r="H405" s="3" t="inlineStr">
        <is>
          <t>0</t>
        </is>
      </c>
      <c r="I405" s="3" t="inlineStr">
        <is>
          <t>1</t>
        </is>
      </c>
      <c r="J405" s="3" t="inlineStr">
        <is>
          <t>1</t>
        </is>
      </c>
      <c r="K405" s="3" t="inlineStr">
        <is>
          <t>1</t>
        </is>
      </c>
      <c r="L405" s="3" t="inlineStr">
        <is>
          <t>1</t>
        </is>
      </c>
      <c r="M405" s="3" t="inlineStr">
        <is>
          <t>1</t>
        </is>
      </c>
      <c r="N405" s="3" t="inlineStr">
        <is>
          <t>1</t>
        </is>
      </c>
      <c r="O405" s="4">
        <f>IF(OR($B405="",D405=""),"",--(D405=$B405))</f>
        <v/>
      </c>
      <c r="P405" s="4">
        <f>IF(OR($B405="",D405=""),"",IF($B405=1,--(D405=1),""))</f>
        <v/>
      </c>
      <c r="Q405" s="4">
        <f>IF(OR($B405="",D405=""),"",IF($B405=0,--(D405=0),""))</f>
        <v/>
      </c>
      <c r="R405" s="4">
        <f>IF(D405="","",--(D405=1))</f>
        <v/>
      </c>
      <c r="S405" s="4">
        <f>IF(OR($B405="",E405=""),"",--(E405=$B405))</f>
        <v/>
      </c>
      <c r="T405" s="4">
        <f>IF(OR($B405="",E405=""),"",IF($B405=1,--(E405=1),""))</f>
        <v/>
      </c>
      <c r="U405" s="4">
        <f>IF(OR($B405="",E405=""),"",IF($B405=0,--(E405=0),""))</f>
        <v/>
      </c>
      <c r="V405" s="4">
        <f>IF(E405="","",--(E405=1))</f>
        <v/>
      </c>
      <c r="W405" s="4">
        <f>IF(OR($B405="",F405=""),"",--(F405=$B405))</f>
        <v/>
      </c>
      <c r="X405" s="4">
        <f>IF(OR($B405="",F405=""),"",IF($B405=1,--(F405=1),""))</f>
        <v/>
      </c>
      <c r="Y405" s="4">
        <f>IF(OR($B405="",F405=""),"",IF($B405=0,--(F405=0),""))</f>
        <v/>
      </c>
      <c r="Z405" s="4">
        <f>IF(F405="","",--(F405=1))</f>
        <v/>
      </c>
      <c r="AA405" s="4">
        <f>IF(OR($B405="",G405=""),"",--(G405=$B405))</f>
        <v/>
      </c>
      <c r="AB405" s="4">
        <f>IF(OR($B405="",G405=""),"",IF($B405=1,--(G405=1),""))</f>
        <v/>
      </c>
      <c r="AC405" s="4">
        <f>IF(OR($B405="",G405=""),"",IF($B405=0,--(G405=0),""))</f>
        <v/>
      </c>
      <c r="AD405" s="4">
        <f>IF(G405="","",--(G405=1))</f>
        <v/>
      </c>
      <c r="AE405" s="4">
        <f>IF(OR($B405="",H405=""),"",--(H405=$B405))</f>
        <v/>
      </c>
      <c r="AF405" s="4">
        <f>IF(OR($B405="",H405=""),"",IF($B405=1,--(H405=1),""))</f>
        <v/>
      </c>
      <c r="AG405" s="4">
        <f>IF(OR($B405="",H405=""),"",IF($B405=0,--(H405=0),""))</f>
        <v/>
      </c>
      <c r="AH405" s="4">
        <f>IF(H405="","",--(H405=1))</f>
        <v/>
      </c>
      <c r="AI405" s="4">
        <f>IF(OR($B405="",I405=""),"",--(I405=$B405))</f>
        <v/>
      </c>
      <c r="AJ405" s="4">
        <f>IF(OR($B405="",I405=""),"",IF($B405=1,--(I405=1),""))</f>
        <v/>
      </c>
      <c r="AK405" s="4">
        <f>IF(OR($B405="",I405=""),"",IF($B405=0,--(I405=0),""))</f>
        <v/>
      </c>
      <c r="AL405" s="4">
        <f>IF(I405="","",--(I405=1))</f>
        <v/>
      </c>
      <c r="AM405" s="4">
        <f>IF(OR($B405="",J405=""),"",--(J405=$B405))</f>
        <v/>
      </c>
      <c r="AN405" s="4">
        <f>IF(OR($B405="",J405=""),"",IF($B405=1,--(J405=1),""))</f>
        <v/>
      </c>
      <c r="AO405" s="4">
        <f>IF(OR($B405="",J405=""),"",IF($B405=0,--(J405=0),""))</f>
        <v/>
      </c>
      <c r="AP405" s="4">
        <f>IF(J405="","",--(J405=1))</f>
        <v/>
      </c>
      <c r="AQ405" s="4">
        <f>IF(OR($B405="",K405=""),"",--(K405=$B405))</f>
        <v/>
      </c>
      <c r="AR405" s="4">
        <f>IF(OR($B405="",K405=""),"",IF($B405=1,--(K405=1),""))</f>
        <v/>
      </c>
      <c r="AS405" s="4">
        <f>IF(OR($B405="",K405=""),"",IF($B405=0,--(K405=0),""))</f>
        <v/>
      </c>
      <c r="AT405" s="4">
        <f>IF(K405="","",--(K405=1))</f>
        <v/>
      </c>
      <c r="AU405" s="4">
        <f>IF(OR($B405="",L405=""),"",--(L405=$B405))</f>
        <v/>
      </c>
      <c r="AV405" s="4">
        <f>IF(OR($B405="",L405=""),"",IF($B405=1,--(L405=1),""))</f>
        <v/>
      </c>
      <c r="AW405" s="4">
        <f>IF(OR($B405="",L405=""),"",IF($B405=0,--(L405=0),""))</f>
        <v/>
      </c>
      <c r="AX405" s="4">
        <f>IF(L405="","",--(L405=1))</f>
        <v/>
      </c>
      <c r="AY405" s="4">
        <f>IF(OR($B405="",M405=""),"",--(M405=$B405))</f>
        <v/>
      </c>
      <c r="AZ405" s="4">
        <f>IF(OR($B405="",M405=""),"",IF($B405=1,--(M405=1),""))</f>
        <v/>
      </c>
      <c r="BA405" s="4">
        <f>IF(OR($B405="",M405=""),"",IF($B405=0,--(M405=0),""))</f>
        <v/>
      </c>
      <c r="BB405" s="4">
        <f>IF(M405="","",--(M405=1))</f>
        <v/>
      </c>
      <c r="BC405" s="4">
        <f>IF(OR($B405="",N405=""),"",--(N405=$B405))</f>
        <v/>
      </c>
      <c r="BD405" s="4">
        <f>IF(OR($B405="",N405=""),"",IF($B405=1,--(N405=1),""))</f>
        <v/>
      </c>
      <c r="BE405" s="4">
        <f>IF(OR($B405="",N405=""),"",IF($B405=0,--(N405=0),""))</f>
        <v/>
      </c>
      <c r="BF405" s="4">
        <f>IF(N405="","",--(N405=1))</f>
        <v/>
      </c>
    </row>
    <row r="406">
      <c r="A406" s="3" t="inlineStr">
        <is>
          <t>202224783</t>
        </is>
      </c>
      <c r="B406" s="3" t="inlineStr">
        <is>
          <t>0</t>
        </is>
      </c>
      <c r="C406" s="3" t="inlineStr">
        <is>
          <t>Direct</t>
        </is>
      </c>
      <c r="D406" s="3" t="inlineStr">
        <is>
          <t>0</t>
        </is>
      </c>
      <c r="E406" s="3" t="inlineStr">
        <is>
          <t>1</t>
        </is>
      </c>
      <c r="F406" s="3" t="inlineStr">
        <is>
          <t>0</t>
        </is>
      </c>
      <c r="G406" s="3" t="inlineStr">
        <is>
          <t>0</t>
        </is>
      </c>
      <c r="H406" s="3" t="inlineStr">
        <is>
          <t>1</t>
        </is>
      </c>
      <c r="I406" s="3" t="inlineStr">
        <is>
          <t>0</t>
        </is>
      </c>
      <c r="J406" s="3" t="inlineStr">
        <is>
          <t>0</t>
        </is>
      </c>
      <c r="K406" s="3" t="inlineStr">
        <is>
          <t>0</t>
        </is>
      </c>
      <c r="L406" s="3" t="inlineStr">
        <is>
          <t>0</t>
        </is>
      </c>
      <c r="M406" s="3" t="inlineStr">
        <is>
          <t>1</t>
        </is>
      </c>
      <c r="N406" s="3" t="inlineStr">
        <is>
          <t>1</t>
        </is>
      </c>
      <c r="O406" s="4">
        <f>IF(OR($B406="",D406=""),"",--(D406=$B406))</f>
        <v/>
      </c>
      <c r="P406" s="4">
        <f>IF(OR($B406="",D406=""),"",IF($B406=1,--(D406=1),""))</f>
        <v/>
      </c>
      <c r="Q406" s="4">
        <f>IF(OR($B406="",D406=""),"",IF($B406=0,--(D406=0),""))</f>
        <v/>
      </c>
      <c r="R406" s="4">
        <f>IF(D406="","",--(D406=1))</f>
        <v/>
      </c>
      <c r="S406" s="4">
        <f>IF(OR($B406="",E406=""),"",--(E406=$B406))</f>
        <v/>
      </c>
      <c r="T406" s="4">
        <f>IF(OR($B406="",E406=""),"",IF($B406=1,--(E406=1),""))</f>
        <v/>
      </c>
      <c r="U406" s="4">
        <f>IF(OR($B406="",E406=""),"",IF($B406=0,--(E406=0),""))</f>
        <v/>
      </c>
      <c r="V406" s="4">
        <f>IF(E406="","",--(E406=1))</f>
        <v/>
      </c>
      <c r="W406" s="4">
        <f>IF(OR($B406="",F406=""),"",--(F406=$B406))</f>
        <v/>
      </c>
      <c r="X406" s="4">
        <f>IF(OR($B406="",F406=""),"",IF($B406=1,--(F406=1),""))</f>
        <v/>
      </c>
      <c r="Y406" s="4">
        <f>IF(OR($B406="",F406=""),"",IF($B406=0,--(F406=0),""))</f>
        <v/>
      </c>
      <c r="Z406" s="4">
        <f>IF(F406="","",--(F406=1))</f>
        <v/>
      </c>
      <c r="AA406" s="4">
        <f>IF(OR($B406="",G406=""),"",--(G406=$B406))</f>
        <v/>
      </c>
      <c r="AB406" s="4">
        <f>IF(OR($B406="",G406=""),"",IF($B406=1,--(G406=1),""))</f>
        <v/>
      </c>
      <c r="AC406" s="4">
        <f>IF(OR($B406="",G406=""),"",IF($B406=0,--(G406=0),""))</f>
        <v/>
      </c>
      <c r="AD406" s="4">
        <f>IF(G406="","",--(G406=1))</f>
        <v/>
      </c>
      <c r="AE406" s="4">
        <f>IF(OR($B406="",H406=""),"",--(H406=$B406))</f>
        <v/>
      </c>
      <c r="AF406" s="4">
        <f>IF(OR($B406="",H406=""),"",IF($B406=1,--(H406=1),""))</f>
        <v/>
      </c>
      <c r="AG406" s="4">
        <f>IF(OR($B406="",H406=""),"",IF($B406=0,--(H406=0),""))</f>
        <v/>
      </c>
      <c r="AH406" s="4">
        <f>IF(H406="","",--(H406=1))</f>
        <v/>
      </c>
      <c r="AI406" s="4">
        <f>IF(OR($B406="",I406=""),"",--(I406=$B406))</f>
        <v/>
      </c>
      <c r="AJ406" s="4">
        <f>IF(OR($B406="",I406=""),"",IF($B406=1,--(I406=1),""))</f>
        <v/>
      </c>
      <c r="AK406" s="4">
        <f>IF(OR($B406="",I406=""),"",IF($B406=0,--(I406=0),""))</f>
        <v/>
      </c>
      <c r="AL406" s="4">
        <f>IF(I406="","",--(I406=1))</f>
        <v/>
      </c>
      <c r="AM406" s="4">
        <f>IF(OR($B406="",J406=""),"",--(J406=$B406))</f>
        <v/>
      </c>
      <c r="AN406" s="4">
        <f>IF(OR($B406="",J406=""),"",IF($B406=1,--(J406=1),""))</f>
        <v/>
      </c>
      <c r="AO406" s="4">
        <f>IF(OR($B406="",J406=""),"",IF($B406=0,--(J406=0),""))</f>
        <v/>
      </c>
      <c r="AP406" s="4">
        <f>IF(J406="","",--(J406=1))</f>
        <v/>
      </c>
      <c r="AQ406" s="4">
        <f>IF(OR($B406="",K406=""),"",--(K406=$B406))</f>
        <v/>
      </c>
      <c r="AR406" s="4">
        <f>IF(OR($B406="",K406=""),"",IF($B406=1,--(K406=1),""))</f>
        <v/>
      </c>
      <c r="AS406" s="4">
        <f>IF(OR($B406="",K406=""),"",IF($B406=0,--(K406=0),""))</f>
        <v/>
      </c>
      <c r="AT406" s="4">
        <f>IF(K406="","",--(K406=1))</f>
        <v/>
      </c>
      <c r="AU406" s="4">
        <f>IF(OR($B406="",L406=""),"",--(L406=$B406))</f>
        <v/>
      </c>
      <c r="AV406" s="4">
        <f>IF(OR($B406="",L406=""),"",IF($B406=1,--(L406=1),""))</f>
        <v/>
      </c>
      <c r="AW406" s="4">
        <f>IF(OR($B406="",L406=""),"",IF($B406=0,--(L406=0),""))</f>
        <v/>
      </c>
      <c r="AX406" s="4">
        <f>IF(L406="","",--(L406=1))</f>
        <v/>
      </c>
      <c r="AY406" s="4">
        <f>IF(OR($B406="",M406=""),"",--(M406=$B406))</f>
        <v/>
      </c>
      <c r="AZ406" s="4">
        <f>IF(OR($B406="",M406=""),"",IF($B406=1,--(M406=1),""))</f>
        <v/>
      </c>
      <c r="BA406" s="4">
        <f>IF(OR($B406="",M406=""),"",IF($B406=0,--(M406=0),""))</f>
        <v/>
      </c>
      <c r="BB406" s="4">
        <f>IF(M406="","",--(M406=1))</f>
        <v/>
      </c>
      <c r="BC406" s="4">
        <f>IF(OR($B406="",N406=""),"",--(N406=$B406))</f>
        <v/>
      </c>
      <c r="BD406" s="4">
        <f>IF(OR($B406="",N406=""),"",IF($B406=1,--(N406=1),""))</f>
        <v/>
      </c>
      <c r="BE406" s="4">
        <f>IF(OR($B406="",N406=""),"",IF($B406=0,--(N406=0),""))</f>
        <v/>
      </c>
      <c r="BF406" s="4">
        <f>IF(N406="","",--(N406=1))</f>
        <v/>
      </c>
    </row>
    <row r="407">
      <c r="A407" s="3" t="inlineStr">
        <is>
          <t>202226271</t>
        </is>
      </c>
      <c r="B407" s="3" t="inlineStr">
        <is>
          <t>1</t>
        </is>
      </c>
      <c r="C407" s="3" t="inlineStr">
        <is>
          <t>Direct</t>
        </is>
      </c>
      <c r="D407" s="3" t="inlineStr">
        <is>
          <t>1</t>
        </is>
      </c>
      <c r="E407" s="3" t="inlineStr">
        <is>
          <t>0</t>
        </is>
      </c>
      <c r="F407" s="3" t="inlineStr">
        <is>
          <t>0</t>
        </is>
      </c>
      <c r="G407" s="3" t="inlineStr">
        <is>
          <t>0</t>
        </is>
      </c>
      <c r="H407" s="3" t="inlineStr">
        <is>
          <t>1</t>
        </is>
      </c>
      <c r="I407" s="3" t="inlineStr">
        <is>
          <t>0</t>
        </is>
      </c>
      <c r="J407" s="3" t="inlineStr">
        <is>
          <t>0</t>
        </is>
      </c>
      <c r="K407" s="3" t="inlineStr">
        <is>
          <t>0</t>
        </is>
      </c>
      <c r="L407" s="3" t="inlineStr">
        <is>
          <t>1</t>
        </is>
      </c>
      <c r="M407" s="3" t="inlineStr">
        <is>
          <t>1</t>
        </is>
      </c>
      <c r="N407" s="3" t="inlineStr">
        <is>
          <t>1</t>
        </is>
      </c>
      <c r="O407" s="4">
        <f>IF(OR($B407="",D407=""),"",--(D407=$B407))</f>
        <v/>
      </c>
      <c r="P407" s="4">
        <f>IF(OR($B407="",D407=""),"",IF($B407=1,--(D407=1),""))</f>
        <v/>
      </c>
      <c r="Q407" s="4">
        <f>IF(OR($B407="",D407=""),"",IF($B407=0,--(D407=0),""))</f>
        <v/>
      </c>
      <c r="R407" s="4">
        <f>IF(D407="","",--(D407=1))</f>
        <v/>
      </c>
      <c r="S407" s="4">
        <f>IF(OR($B407="",E407=""),"",--(E407=$B407))</f>
        <v/>
      </c>
      <c r="T407" s="4">
        <f>IF(OR($B407="",E407=""),"",IF($B407=1,--(E407=1),""))</f>
        <v/>
      </c>
      <c r="U407" s="4">
        <f>IF(OR($B407="",E407=""),"",IF($B407=0,--(E407=0),""))</f>
        <v/>
      </c>
      <c r="V407" s="4">
        <f>IF(E407="","",--(E407=1))</f>
        <v/>
      </c>
      <c r="W407" s="4">
        <f>IF(OR($B407="",F407=""),"",--(F407=$B407))</f>
        <v/>
      </c>
      <c r="X407" s="4">
        <f>IF(OR($B407="",F407=""),"",IF($B407=1,--(F407=1),""))</f>
        <v/>
      </c>
      <c r="Y407" s="4">
        <f>IF(OR($B407="",F407=""),"",IF($B407=0,--(F407=0),""))</f>
        <v/>
      </c>
      <c r="Z407" s="4">
        <f>IF(F407="","",--(F407=1))</f>
        <v/>
      </c>
      <c r="AA407" s="4">
        <f>IF(OR($B407="",G407=""),"",--(G407=$B407))</f>
        <v/>
      </c>
      <c r="AB407" s="4">
        <f>IF(OR($B407="",G407=""),"",IF($B407=1,--(G407=1),""))</f>
        <v/>
      </c>
      <c r="AC407" s="4">
        <f>IF(OR($B407="",G407=""),"",IF($B407=0,--(G407=0),""))</f>
        <v/>
      </c>
      <c r="AD407" s="4">
        <f>IF(G407="","",--(G407=1))</f>
        <v/>
      </c>
      <c r="AE407" s="4">
        <f>IF(OR($B407="",H407=""),"",--(H407=$B407))</f>
        <v/>
      </c>
      <c r="AF407" s="4">
        <f>IF(OR($B407="",H407=""),"",IF($B407=1,--(H407=1),""))</f>
        <v/>
      </c>
      <c r="AG407" s="4">
        <f>IF(OR($B407="",H407=""),"",IF($B407=0,--(H407=0),""))</f>
        <v/>
      </c>
      <c r="AH407" s="4">
        <f>IF(H407="","",--(H407=1))</f>
        <v/>
      </c>
      <c r="AI407" s="4">
        <f>IF(OR($B407="",I407=""),"",--(I407=$B407))</f>
        <v/>
      </c>
      <c r="AJ407" s="4">
        <f>IF(OR($B407="",I407=""),"",IF($B407=1,--(I407=1),""))</f>
        <v/>
      </c>
      <c r="AK407" s="4">
        <f>IF(OR($B407="",I407=""),"",IF($B407=0,--(I407=0),""))</f>
        <v/>
      </c>
      <c r="AL407" s="4">
        <f>IF(I407="","",--(I407=1))</f>
        <v/>
      </c>
      <c r="AM407" s="4">
        <f>IF(OR($B407="",J407=""),"",--(J407=$B407))</f>
        <v/>
      </c>
      <c r="AN407" s="4">
        <f>IF(OR($B407="",J407=""),"",IF($B407=1,--(J407=1),""))</f>
        <v/>
      </c>
      <c r="AO407" s="4">
        <f>IF(OR($B407="",J407=""),"",IF($B407=0,--(J407=0),""))</f>
        <v/>
      </c>
      <c r="AP407" s="4">
        <f>IF(J407="","",--(J407=1))</f>
        <v/>
      </c>
      <c r="AQ407" s="4">
        <f>IF(OR($B407="",K407=""),"",--(K407=$B407))</f>
        <v/>
      </c>
      <c r="AR407" s="4">
        <f>IF(OR($B407="",K407=""),"",IF($B407=1,--(K407=1),""))</f>
        <v/>
      </c>
      <c r="AS407" s="4">
        <f>IF(OR($B407="",K407=""),"",IF($B407=0,--(K407=0),""))</f>
        <v/>
      </c>
      <c r="AT407" s="4">
        <f>IF(K407="","",--(K407=1))</f>
        <v/>
      </c>
      <c r="AU407" s="4">
        <f>IF(OR($B407="",L407=""),"",--(L407=$B407))</f>
        <v/>
      </c>
      <c r="AV407" s="4">
        <f>IF(OR($B407="",L407=""),"",IF($B407=1,--(L407=1),""))</f>
        <v/>
      </c>
      <c r="AW407" s="4">
        <f>IF(OR($B407="",L407=""),"",IF($B407=0,--(L407=0),""))</f>
        <v/>
      </c>
      <c r="AX407" s="4">
        <f>IF(L407="","",--(L407=1))</f>
        <v/>
      </c>
      <c r="AY407" s="4">
        <f>IF(OR($B407="",M407=""),"",--(M407=$B407))</f>
        <v/>
      </c>
      <c r="AZ407" s="4">
        <f>IF(OR($B407="",M407=""),"",IF($B407=1,--(M407=1),""))</f>
        <v/>
      </c>
      <c r="BA407" s="4">
        <f>IF(OR($B407="",M407=""),"",IF($B407=0,--(M407=0),""))</f>
        <v/>
      </c>
      <c r="BB407" s="4">
        <f>IF(M407="","",--(M407=1))</f>
        <v/>
      </c>
      <c r="BC407" s="4">
        <f>IF(OR($B407="",N407=""),"",--(N407=$B407))</f>
        <v/>
      </c>
      <c r="BD407" s="4">
        <f>IF(OR($B407="",N407=""),"",IF($B407=1,--(N407=1),""))</f>
        <v/>
      </c>
      <c r="BE407" s="4">
        <f>IF(OR($B407="",N407=""),"",IF($B407=0,--(N407=0),""))</f>
        <v/>
      </c>
      <c r="BF407" s="4">
        <f>IF(N407="","",--(N407=1))</f>
        <v/>
      </c>
    </row>
    <row r="408">
      <c r="A408" s="3" t="inlineStr">
        <is>
          <t>202227607</t>
        </is>
      </c>
      <c r="B408" s="3" t="inlineStr">
        <is>
          <t>0</t>
        </is>
      </c>
      <c r="C408" s="3" t="inlineStr">
        <is>
          <t>Direct</t>
        </is>
      </c>
      <c r="D408" s="3" t="inlineStr">
        <is>
          <t>0</t>
        </is>
      </c>
      <c r="E408" s="3" t="inlineStr">
        <is>
          <t>0</t>
        </is>
      </c>
      <c r="F408" s="3" t="inlineStr">
        <is>
          <t>0</t>
        </is>
      </c>
      <c r="G408" s="3" t="inlineStr">
        <is>
          <t>0</t>
        </is>
      </c>
      <c r="H408" s="3" t="inlineStr">
        <is>
          <t>1</t>
        </is>
      </c>
      <c r="I408" s="3" t="inlineStr">
        <is>
          <t>0</t>
        </is>
      </c>
      <c r="J408" s="3" t="inlineStr">
        <is>
          <t>0</t>
        </is>
      </c>
      <c r="K408" s="3" t="inlineStr">
        <is>
          <t>0</t>
        </is>
      </c>
      <c r="L408" s="3" t="inlineStr">
        <is>
          <t>1</t>
        </is>
      </c>
      <c r="M408" s="3" t="inlineStr">
        <is>
          <t>1</t>
        </is>
      </c>
      <c r="N408" s="3" t="inlineStr">
        <is>
          <t>1</t>
        </is>
      </c>
      <c r="O408" s="4">
        <f>IF(OR($B408="",D408=""),"",--(D408=$B408))</f>
        <v/>
      </c>
      <c r="P408" s="4">
        <f>IF(OR($B408="",D408=""),"",IF($B408=1,--(D408=1),""))</f>
        <v/>
      </c>
      <c r="Q408" s="4">
        <f>IF(OR($B408="",D408=""),"",IF($B408=0,--(D408=0),""))</f>
        <v/>
      </c>
      <c r="R408" s="4">
        <f>IF(D408="","",--(D408=1))</f>
        <v/>
      </c>
      <c r="S408" s="4">
        <f>IF(OR($B408="",E408=""),"",--(E408=$B408))</f>
        <v/>
      </c>
      <c r="T408" s="4">
        <f>IF(OR($B408="",E408=""),"",IF($B408=1,--(E408=1),""))</f>
        <v/>
      </c>
      <c r="U408" s="4">
        <f>IF(OR($B408="",E408=""),"",IF($B408=0,--(E408=0),""))</f>
        <v/>
      </c>
      <c r="V408" s="4">
        <f>IF(E408="","",--(E408=1))</f>
        <v/>
      </c>
      <c r="W408" s="4">
        <f>IF(OR($B408="",F408=""),"",--(F408=$B408))</f>
        <v/>
      </c>
      <c r="X408" s="4">
        <f>IF(OR($B408="",F408=""),"",IF($B408=1,--(F408=1),""))</f>
        <v/>
      </c>
      <c r="Y408" s="4">
        <f>IF(OR($B408="",F408=""),"",IF($B408=0,--(F408=0),""))</f>
        <v/>
      </c>
      <c r="Z408" s="4">
        <f>IF(F408="","",--(F408=1))</f>
        <v/>
      </c>
      <c r="AA408" s="4">
        <f>IF(OR($B408="",G408=""),"",--(G408=$B408))</f>
        <v/>
      </c>
      <c r="AB408" s="4">
        <f>IF(OR($B408="",G408=""),"",IF($B408=1,--(G408=1),""))</f>
        <v/>
      </c>
      <c r="AC408" s="4">
        <f>IF(OR($B408="",G408=""),"",IF($B408=0,--(G408=0),""))</f>
        <v/>
      </c>
      <c r="AD408" s="4">
        <f>IF(G408="","",--(G408=1))</f>
        <v/>
      </c>
      <c r="AE408" s="4">
        <f>IF(OR($B408="",H408=""),"",--(H408=$B408))</f>
        <v/>
      </c>
      <c r="AF408" s="4">
        <f>IF(OR($B408="",H408=""),"",IF($B408=1,--(H408=1),""))</f>
        <v/>
      </c>
      <c r="AG408" s="4">
        <f>IF(OR($B408="",H408=""),"",IF($B408=0,--(H408=0),""))</f>
        <v/>
      </c>
      <c r="AH408" s="4">
        <f>IF(H408="","",--(H408=1))</f>
        <v/>
      </c>
      <c r="AI408" s="4">
        <f>IF(OR($B408="",I408=""),"",--(I408=$B408))</f>
        <v/>
      </c>
      <c r="AJ408" s="4">
        <f>IF(OR($B408="",I408=""),"",IF($B408=1,--(I408=1),""))</f>
        <v/>
      </c>
      <c r="AK408" s="4">
        <f>IF(OR($B408="",I408=""),"",IF($B408=0,--(I408=0),""))</f>
        <v/>
      </c>
      <c r="AL408" s="4">
        <f>IF(I408="","",--(I408=1))</f>
        <v/>
      </c>
      <c r="AM408" s="4">
        <f>IF(OR($B408="",J408=""),"",--(J408=$B408))</f>
        <v/>
      </c>
      <c r="AN408" s="4">
        <f>IF(OR($B408="",J408=""),"",IF($B408=1,--(J408=1),""))</f>
        <v/>
      </c>
      <c r="AO408" s="4">
        <f>IF(OR($B408="",J408=""),"",IF($B408=0,--(J408=0),""))</f>
        <v/>
      </c>
      <c r="AP408" s="4">
        <f>IF(J408="","",--(J408=1))</f>
        <v/>
      </c>
      <c r="AQ408" s="4">
        <f>IF(OR($B408="",K408=""),"",--(K408=$B408))</f>
        <v/>
      </c>
      <c r="AR408" s="4">
        <f>IF(OR($B408="",K408=""),"",IF($B408=1,--(K408=1),""))</f>
        <v/>
      </c>
      <c r="AS408" s="4">
        <f>IF(OR($B408="",K408=""),"",IF($B408=0,--(K408=0),""))</f>
        <v/>
      </c>
      <c r="AT408" s="4">
        <f>IF(K408="","",--(K408=1))</f>
        <v/>
      </c>
      <c r="AU408" s="4">
        <f>IF(OR($B408="",L408=""),"",--(L408=$B408))</f>
        <v/>
      </c>
      <c r="AV408" s="4">
        <f>IF(OR($B408="",L408=""),"",IF($B408=1,--(L408=1),""))</f>
        <v/>
      </c>
      <c r="AW408" s="4">
        <f>IF(OR($B408="",L408=""),"",IF($B408=0,--(L408=0),""))</f>
        <v/>
      </c>
      <c r="AX408" s="4">
        <f>IF(L408="","",--(L408=1))</f>
        <v/>
      </c>
      <c r="AY408" s="4">
        <f>IF(OR($B408="",M408=""),"",--(M408=$B408))</f>
        <v/>
      </c>
      <c r="AZ408" s="4">
        <f>IF(OR($B408="",M408=""),"",IF($B408=1,--(M408=1),""))</f>
        <v/>
      </c>
      <c r="BA408" s="4">
        <f>IF(OR($B408="",M408=""),"",IF($B408=0,--(M408=0),""))</f>
        <v/>
      </c>
      <c r="BB408" s="4">
        <f>IF(M408="","",--(M408=1))</f>
        <v/>
      </c>
      <c r="BC408" s="4">
        <f>IF(OR($B408="",N408=""),"",--(N408=$B408))</f>
        <v/>
      </c>
      <c r="BD408" s="4">
        <f>IF(OR($B408="",N408=""),"",IF($B408=1,--(N408=1),""))</f>
        <v/>
      </c>
      <c r="BE408" s="4">
        <f>IF(OR($B408="",N408=""),"",IF($B408=0,--(N408=0),""))</f>
        <v/>
      </c>
      <c r="BF408" s="4">
        <f>IF(N408="","",--(N408=1))</f>
        <v/>
      </c>
    </row>
    <row r="409">
      <c r="A409" s="3" t="inlineStr">
        <is>
          <t>202227930</t>
        </is>
      </c>
      <c r="B409" s="3" t="inlineStr">
        <is>
          <t>1</t>
        </is>
      </c>
      <c r="C409" s="3" t="inlineStr">
        <is>
          <t>Direct</t>
        </is>
      </c>
      <c r="D409" s="3" t="inlineStr">
        <is>
          <t>0</t>
        </is>
      </c>
      <c r="E409" s="3" t="inlineStr">
        <is>
          <t>0</t>
        </is>
      </c>
      <c r="F409" s="3" t="inlineStr">
        <is>
          <t>1</t>
        </is>
      </c>
      <c r="G409" s="3" t="inlineStr">
        <is>
          <t>1</t>
        </is>
      </c>
      <c r="H409" s="3" t="inlineStr">
        <is>
          <t>0</t>
        </is>
      </c>
      <c r="I409" s="3" t="inlineStr">
        <is>
          <t>1</t>
        </is>
      </c>
      <c r="J409" s="3" t="inlineStr">
        <is>
          <t>1</t>
        </is>
      </c>
      <c r="K409" s="3" t="inlineStr">
        <is>
          <t>1</t>
        </is>
      </c>
      <c r="L409" s="3" t="inlineStr">
        <is>
          <t>1</t>
        </is>
      </c>
      <c r="M409" s="3" t="inlineStr">
        <is>
          <t>1</t>
        </is>
      </c>
      <c r="N409" s="3" t="inlineStr">
        <is>
          <t>1</t>
        </is>
      </c>
      <c r="O409" s="4">
        <f>IF(OR($B409="",D409=""),"",--(D409=$B409))</f>
        <v/>
      </c>
      <c r="P409" s="4">
        <f>IF(OR($B409="",D409=""),"",IF($B409=1,--(D409=1),""))</f>
        <v/>
      </c>
      <c r="Q409" s="4">
        <f>IF(OR($B409="",D409=""),"",IF($B409=0,--(D409=0),""))</f>
        <v/>
      </c>
      <c r="R409" s="4">
        <f>IF(D409="","",--(D409=1))</f>
        <v/>
      </c>
      <c r="S409" s="4">
        <f>IF(OR($B409="",E409=""),"",--(E409=$B409))</f>
        <v/>
      </c>
      <c r="T409" s="4">
        <f>IF(OR($B409="",E409=""),"",IF($B409=1,--(E409=1),""))</f>
        <v/>
      </c>
      <c r="U409" s="4">
        <f>IF(OR($B409="",E409=""),"",IF($B409=0,--(E409=0),""))</f>
        <v/>
      </c>
      <c r="V409" s="4">
        <f>IF(E409="","",--(E409=1))</f>
        <v/>
      </c>
      <c r="W409" s="4">
        <f>IF(OR($B409="",F409=""),"",--(F409=$B409))</f>
        <v/>
      </c>
      <c r="X409" s="4">
        <f>IF(OR($B409="",F409=""),"",IF($B409=1,--(F409=1),""))</f>
        <v/>
      </c>
      <c r="Y409" s="4">
        <f>IF(OR($B409="",F409=""),"",IF($B409=0,--(F409=0),""))</f>
        <v/>
      </c>
      <c r="Z409" s="4">
        <f>IF(F409="","",--(F409=1))</f>
        <v/>
      </c>
      <c r="AA409" s="4">
        <f>IF(OR($B409="",G409=""),"",--(G409=$B409))</f>
        <v/>
      </c>
      <c r="AB409" s="4">
        <f>IF(OR($B409="",G409=""),"",IF($B409=1,--(G409=1),""))</f>
        <v/>
      </c>
      <c r="AC409" s="4">
        <f>IF(OR($B409="",G409=""),"",IF($B409=0,--(G409=0),""))</f>
        <v/>
      </c>
      <c r="AD409" s="4">
        <f>IF(G409="","",--(G409=1))</f>
        <v/>
      </c>
      <c r="AE409" s="4">
        <f>IF(OR($B409="",H409=""),"",--(H409=$B409))</f>
        <v/>
      </c>
      <c r="AF409" s="4">
        <f>IF(OR($B409="",H409=""),"",IF($B409=1,--(H409=1),""))</f>
        <v/>
      </c>
      <c r="AG409" s="4">
        <f>IF(OR($B409="",H409=""),"",IF($B409=0,--(H409=0),""))</f>
        <v/>
      </c>
      <c r="AH409" s="4">
        <f>IF(H409="","",--(H409=1))</f>
        <v/>
      </c>
      <c r="AI409" s="4">
        <f>IF(OR($B409="",I409=""),"",--(I409=$B409))</f>
        <v/>
      </c>
      <c r="AJ409" s="4">
        <f>IF(OR($B409="",I409=""),"",IF($B409=1,--(I409=1),""))</f>
        <v/>
      </c>
      <c r="AK409" s="4">
        <f>IF(OR($B409="",I409=""),"",IF($B409=0,--(I409=0),""))</f>
        <v/>
      </c>
      <c r="AL409" s="4">
        <f>IF(I409="","",--(I409=1))</f>
        <v/>
      </c>
      <c r="AM409" s="4">
        <f>IF(OR($B409="",J409=""),"",--(J409=$B409))</f>
        <v/>
      </c>
      <c r="AN409" s="4">
        <f>IF(OR($B409="",J409=""),"",IF($B409=1,--(J409=1),""))</f>
        <v/>
      </c>
      <c r="AO409" s="4">
        <f>IF(OR($B409="",J409=""),"",IF($B409=0,--(J409=0),""))</f>
        <v/>
      </c>
      <c r="AP409" s="4">
        <f>IF(J409="","",--(J409=1))</f>
        <v/>
      </c>
      <c r="AQ409" s="4">
        <f>IF(OR($B409="",K409=""),"",--(K409=$B409))</f>
        <v/>
      </c>
      <c r="AR409" s="4">
        <f>IF(OR($B409="",K409=""),"",IF($B409=1,--(K409=1),""))</f>
        <v/>
      </c>
      <c r="AS409" s="4">
        <f>IF(OR($B409="",K409=""),"",IF($B409=0,--(K409=0),""))</f>
        <v/>
      </c>
      <c r="AT409" s="4">
        <f>IF(K409="","",--(K409=1))</f>
        <v/>
      </c>
      <c r="AU409" s="4">
        <f>IF(OR($B409="",L409=""),"",--(L409=$B409))</f>
        <v/>
      </c>
      <c r="AV409" s="4">
        <f>IF(OR($B409="",L409=""),"",IF($B409=1,--(L409=1),""))</f>
        <v/>
      </c>
      <c r="AW409" s="4">
        <f>IF(OR($B409="",L409=""),"",IF($B409=0,--(L409=0),""))</f>
        <v/>
      </c>
      <c r="AX409" s="4">
        <f>IF(L409="","",--(L409=1))</f>
        <v/>
      </c>
      <c r="AY409" s="4">
        <f>IF(OR($B409="",M409=""),"",--(M409=$B409))</f>
        <v/>
      </c>
      <c r="AZ409" s="4">
        <f>IF(OR($B409="",M409=""),"",IF($B409=1,--(M409=1),""))</f>
        <v/>
      </c>
      <c r="BA409" s="4">
        <f>IF(OR($B409="",M409=""),"",IF($B409=0,--(M409=0),""))</f>
        <v/>
      </c>
      <c r="BB409" s="4">
        <f>IF(M409="","",--(M409=1))</f>
        <v/>
      </c>
      <c r="BC409" s="4">
        <f>IF(OR($B409="",N409=""),"",--(N409=$B409))</f>
        <v/>
      </c>
      <c r="BD409" s="4">
        <f>IF(OR($B409="",N409=""),"",IF($B409=1,--(N409=1),""))</f>
        <v/>
      </c>
      <c r="BE409" s="4">
        <f>IF(OR($B409="",N409=""),"",IF($B409=0,--(N409=0),""))</f>
        <v/>
      </c>
      <c r="BF409" s="4">
        <f>IF(N409="","",--(N409=1))</f>
        <v/>
      </c>
    </row>
    <row r="410">
      <c r="A410" s="3" t="inlineStr">
        <is>
          <t>202228907</t>
        </is>
      </c>
      <c r="B410" s="3" t="inlineStr">
        <is>
          <t>0</t>
        </is>
      </c>
      <c r="C410" s="3" t="inlineStr">
        <is>
          <t>Direct</t>
        </is>
      </c>
      <c r="D410" s="3" t="inlineStr">
        <is>
          <t>0</t>
        </is>
      </c>
      <c r="E410" s="3" t="inlineStr">
        <is>
          <t>0</t>
        </is>
      </c>
      <c r="F410" s="3" t="inlineStr">
        <is>
          <t>0</t>
        </is>
      </c>
      <c r="G410" s="3" t="inlineStr">
        <is>
          <t>0</t>
        </is>
      </c>
      <c r="H410" s="3" t="inlineStr">
        <is>
          <t>0</t>
        </is>
      </c>
      <c r="I410" s="3" t="inlineStr">
        <is>
          <t>0</t>
        </is>
      </c>
      <c r="J410" s="3" t="inlineStr">
        <is>
          <t>0</t>
        </is>
      </c>
      <c r="K410" s="3" t="inlineStr">
        <is>
          <t>0</t>
        </is>
      </c>
      <c r="L410" s="3" t="inlineStr">
        <is>
          <t>1</t>
        </is>
      </c>
      <c r="M410" s="3" t="inlineStr">
        <is>
          <t>1</t>
        </is>
      </c>
      <c r="N410" s="3" t="inlineStr">
        <is>
          <t>1</t>
        </is>
      </c>
      <c r="O410" s="4">
        <f>IF(OR($B410="",D410=""),"",--(D410=$B410))</f>
        <v/>
      </c>
      <c r="P410" s="4">
        <f>IF(OR($B410="",D410=""),"",IF($B410=1,--(D410=1),""))</f>
        <v/>
      </c>
      <c r="Q410" s="4">
        <f>IF(OR($B410="",D410=""),"",IF($B410=0,--(D410=0),""))</f>
        <v/>
      </c>
      <c r="R410" s="4">
        <f>IF(D410="","",--(D410=1))</f>
        <v/>
      </c>
      <c r="S410" s="4">
        <f>IF(OR($B410="",E410=""),"",--(E410=$B410))</f>
        <v/>
      </c>
      <c r="T410" s="4">
        <f>IF(OR($B410="",E410=""),"",IF($B410=1,--(E410=1),""))</f>
        <v/>
      </c>
      <c r="U410" s="4">
        <f>IF(OR($B410="",E410=""),"",IF($B410=0,--(E410=0),""))</f>
        <v/>
      </c>
      <c r="V410" s="4">
        <f>IF(E410="","",--(E410=1))</f>
        <v/>
      </c>
      <c r="W410" s="4">
        <f>IF(OR($B410="",F410=""),"",--(F410=$B410))</f>
        <v/>
      </c>
      <c r="X410" s="4">
        <f>IF(OR($B410="",F410=""),"",IF($B410=1,--(F410=1),""))</f>
        <v/>
      </c>
      <c r="Y410" s="4">
        <f>IF(OR($B410="",F410=""),"",IF($B410=0,--(F410=0),""))</f>
        <v/>
      </c>
      <c r="Z410" s="4">
        <f>IF(F410="","",--(F410=1))</f>
        <v/>
      </c>
      <c r="AA410" s="4">
        <f>IF(OR($B410="",G410=""),"",--(G410=$B410))</f>
        <v/>
      </c>
      <c r="AB410" s="4">
        <f>IF(OR($B410="",G410=""),"",IF($B410=1,--(G410=1),""))</f>
        <v/>
      </c>
      <c r="AC410" s="4">
        <f>IF(OR($B410="",G410=""),"",IF($B410=0,--(G410=0),""))</f>
        <v/>
      </c>
      <c r="AD410" s="4">
        <f>IF(G410="","",--(G410=1))</f>
        <v/>
      </c>
      <c r="AE410" s="4">
        <f>IF(OR($B410="",H410=""),"",--(H410=$B410))</f>
        <v/>
      </c>
      <c r="AF410" s="4">
        <f>IF(OR($B410="",H410=""),"",IF($B410=1,--(H410=1),""))</f>
        <v/>
      </c>
      <c r="AG410" s="4">
        <f>IF(OR($B410="",H410=""),"",IF($B410=0,--(H410=0),""))</f>
        <v/>
      </c>
      <c r="AH410" s="4">
        <f>IF(H410="","",--(H410=1))</f>
        <v/>
      </c>
      <c r="AI410" s="4">
        <f>IF(OR($B410="",I410=""),"",--(I410=$B410))</f>
        <v/>
      </c>
      <c r="AJ410" s="4">
        <f>IF(OR($B410="",I410=""),"",IF($B410=1,--(I410=1),""))</f>
        <v/>
      </c>
      <c r="AK410" s="4">
        <f>IF(OR($B410="",I410=""),"",IF($B410=0,--(I410=0),""))</f>
        <v/>
      </c>
      <c r="AL410" s="4">
        <f>IF(I410="","",--(I410=1))</f>
        <v/>
      </c>
      <c r="AM410" s="4">
        <f>IF(OR($B410="",J410=""),"",--(J410=$B410))</f>
        <v/>
      </c>
      <c r="AN410" s="4">
        <f>IF(OR($B410="",J410=""),"",IF($B410=1,--(J410=1),""))</f>
        <v/>
      </c>
      <c r="AO410" s="4">
        <f>IF(OR($B410="",J410=""),"",IF($B410=0,--(J410=0),""))</f>
        <v/>
      </c>
      <c r="AP410" s="4">
        <f>IF(J410="","",--(J410=1))</f>
        <v/>
      </c>
      <c r="AQ410" s="4">
        <f>IF(OR($B410="",K410=""),"",--(K410=$B410))</f>
        <v/>
      </c>
      <c r="AR410" s="4">
        <f>IF(OR($B410="",K410=""),"",IF($B410=1,--(K410=1),""))</f>
        <v/>
      </c>
      <c r="AS410" s="4">
        <f>IF(OR($B410="",K410=""),"",IF($B410=0,--(K410=0),""))</f>
        <v/>
      </c>
      <c r="AT410" s="4">
        <f>IF(K410="","",--(K410=1))</f>
        <v/>
      </c>
      <c r="AU410" s="4">
        <f>IF(OR($B410="",L410=""),"",--(L410=$B410))</f>
        <v/>
      </c>
      <c r="AV410" s="4">
        <f>IF(OR($B410="",L410=""),"",IF($B410=1,--(L410=1),""))</f>
        <v/>
      </c>
      <c r="AW410" s="4">
        <f>IF(OR($B410="",L410=""),"",IF($B410=0,--(L410=0),""))</f>
        <v/>
      </c>
      <c r="AX410" s="4">
        <f>IF(L410="","",--(L410=1))</f>
        <v/>
      </c>
      <c r="AY410" s="4">
        <f>IF(OR($B410="",M410=""),"",--(M410=$B410))</f>
        <v/>
      </c>
      <c r="AZ410" s="4">
        <f>IF(OR($B410="",M410=""),"",IF($B410=1,--(M410=1),""))</f>
        <v/>
      </c>
      <c r="BA410" s="4">
        <f>IF(OR($B410="",M410=""),"",IF($B410=0,--(M410=0),""))</f>
        <v/>
      </c>
      <c r="BB410" s="4">
        <f>IF(M410="","",--(M410=1))</f>
        <v/>
      </c>
      <c r="BC410" s="4">
        <f>IF(OR($B410="",N410=""),"",--(N410=$B410))</f>
        <v/>
      </c>
      <c r="BD410" s="4">
        <f>IF(OR($B410="",N410=""),"",IF($B410=1,--(N410=1),""))</f>
        <v/>
      </c>
      <c r="BE410" s="4">
        <f>IF(OR($B410="",N410=""),"",IF($B410=0,--(N410=0),""))</f>
        <v/>
      </c>
      <c r="BF410" s="4">
        <f>IF(N410="","",--(N410=1))</f>
        <v/>
      </c>
    </row>
    <row r="411">
      <c r="A411" s="3" t="inlineStr">
        <is>
          <t>202228933</t>
        </is>
      </c>
      <c r="B411" s="3" t="inlineStr">
        <is>
          <t>1</t>
        </is>
      </c>
      <c r="C411" s="3" t="inlineStr">
        <is>
          <t>Direct</t>
        </is>
      </c>
      <c r="D411" s="3" t="inlineStr">
        <is>
          <t>1</t>
        </is>
      </c>
      <c r="E411" s="3" t="inlineStr">
        <is>
          <t>1</t>
        </is>
      </c>
      <c r="F411" s="3" t="inlineStr">
        <is>
          <t>0</t>
        </is>
      </c>
      <c r="G411" s="3" t="inlineStr">
        <is>
          <t>0</t>
        </is>
      </c>
      <c r="H411" s="3" t="inlineStr">
        <is>
          <t>0</t>
        </is>
      </c>
      <c r="I411" s="3" t="inlineStr">
        <is>
          <t>1</t>
        </is>
      </c>
      <c r="J411" s="3" t="inlineStr">
        <is>
          <t>0</t>
        </is>
      </c>
      <c r="K411" s="3" t="inlineStr">
        <is>
          <t>1</t>
        </is>
      </c>
      <c r="L411" s="3" t="inlineStr">
        <is>
          <t>1</t>
        </is>
      </c>
      <c r="M411" s="3" t="inlineStr">
        <is>
          <t>1</t>
        </is>
      </c>
      <c r="N411" s="3" t="inlineStr">
        <is>
          <t>1</t>
        </is>
      </c>
      <c r="O411" s="4">
        <f>IF(OR($B411="",D411=""),"",--(D411=$B411))</f>
        <v/>
      </c>
      <c r="P411" s="4">
        <f>IF(OR($B411="",D411=""),"",IF($B411=1,--(D411=1),""))</f>
        <v/>
      </c>
      <c r="Q411" s="4">
        <f>IF(OR($B411="",D411=""),"",IF($B411=0,--(D411=0),""))</f>
        <v/>
      </c>
      <c r="R411" s="4">
        <f>IF(D411="","",--(D411=1))</f>
        <v/>
      </c>
      <c r="S411" s="4">
        <f>IF(OR($B411="",E411=""),"",--(E411=$B411))</f>
        <v/>
      </c>
      <c r="T411" s="4">
        <f>IF(OR($B411="",E411=""),"",IF($B411=1,--(E411=1),""))</f>
        <v/>
      </c>
      <c r="U411" s="4">
        <f>IF(OR($B411="",E411=""),"",IF($B411=0,--(E411=0),""))</f>
        <v/>
      </c>
      <c r="V411" s="4">
        <f>IF(E411="","",--(E411=1))</f>
        <v/>
      </c>
      <c r="W411" s="4">
        <f>IF(OR($B411="",F411=""),"",--(F411=$B411))</f>
        <v/>
      </c>
      <c r="X411" s="4">
        <f>IF(OR($B411="",F411=""),"",IF($B411=1,--(F411=1),""))</f>
        <v/>
      </c>
      <c r="Y411" s="4">
        <f>IF(OR($B411="",F411=""),"",IF($B411=0,--(F411=0),""))</f>
        <v/>
      </c>
      <c r="Z411" s="4">
        <f>IF(F411="","",--(F411=1))</f>
        <v/>
      </c>
      <c r="AA411" s="4">
        <f>IF(OR($B411="",G411=""),"",--(G411=$B411))</f>
        <v/>
      </c>
      <c r="AB411" s="4">
        <f>IF(OR($B411="",G411=""),"",IF($B411=1,--(G411=1),""))</f>
        <v/>
      </c>
      <c r="AC411" s="4">
        <f>IF(OR($B411="",G411=""),"",IF($B411=0,--(G411=0),""))</f>
        <v/>
      </c>
      <c r="AD411" s="4">
        <f>IF(G411="","",--(G411=1))</f>
        <v/>
      </c>
      <c r="AE411" s="4">
        <f>IF(OR($B411="",H411=""),"",--(H411=$B411))</f>
        <v/>
      </c>
      <c r="AF411" s="4">
        <f>IF(OR($B411="",H411=""),"",IF($B411=1,--(H411=1),""))</f>
        <v/>
      </c>
      <c r="AG411" s="4">
        <f>IF(OR($B411="",H411=""),"",IF($B411=0,--(H411=0),""))</f>
        <v/>
      </c>
      <c r="AH411" s="4">
        <f>IF(H411="","",--(H411=1))</f>
        <v/>
      </c>
      <c r="AI411" s="4">
        <f>IF(OR($B411="",I411=""),"",--(I411=$B411))</f>
        <v/>
      </c>
      <c r="AJ411" s="4">
        <f>IF(OR($B411="",I411=""),"",IF($B411=1,--(I411=1),""))</f>
        <v/>
      </c>
      <c r="AK411" s="4">
        <f>IF(OR($B411="",I411=""),"",IF($B411=0,--(I411=0),""))</f>
        <v/>
      </c>
      <c r="AL411" s="4">
        <f>IF(I411="","",--(I411=1))</f>
        <v/>
      </c>
      <c r="AM411" s="4">
        <f>IF(OR($B411="",J411=""),"",--(J411=$B411))</f>
        <v/>
      </c>
      <c r="AN411" s="4">
        <f>IF(OR($B411="",J411=""),"",IF($B411=1,--(J411=1),""))</f>
        <v/>
      </c>
      <c r="AO411" s="4">
        <f>IF(OR($B411="",J411=""),"",IF($B411=0,--(J411=0),""))</f>
        <v/>
      </c>
      <c r="AP411" s="4">
        <f>IF(J411="","",--(J411=1))</f>
        <v/>
      </c>
      <c r="AQ411" s="4">
        <f>IF(OR($B411="",K411=""),"",--(K411=$B411))</f>
        <v/>
      </c>
      <c r="AR411" s="4">
        <f>IF(OR($B411="",K411=""),"",IF($B411=1,--(K411=1),""))</f>
        <v/>
      </c>
      <c r="AS411" s="4">
        <f>IF(OR($B411="",K411=""),"",IF($B411=0,--(K411=0),""))</f>
        <v/>
      </c>
      <c r="AT411" s="4">
        <f>IF(K411="","",--(K411=1))</f>
        <v/>
      </c>
      <c r="AU411" s="4">
        <f>IF(OR($B411="",L411=""),"",--(L411=$B411))</f>
        <v/>
      </c>
      <c r="AV411" s="4">
        <f>IF(OR($B411="",L411=""),"",IF($B411=1,--(L411=1),""))</f>
        <v/>
      </c>
      <c r="AW411" s="4">
        <f>IF(OR($B411="",L411=""),"",IF($B411=0,--(L411=0),""))</f>
        <v/>
      </c>
      <c r="AX411" s="4">
        <f>IF(L411="","",--(L411=1))</f>
        <v/>
      </c>
      <c r="AY411" s="4">
        <f>IF(OR($B411="",M411=""),"",--(M411=$B411))</f>
        <v/>
      </c>
      <c r="AZ411" s="4">
        <f>IF(OR($B411="",M411=""),"",IF($B411=1,--(M411=1),""))</f>
        <v/>
      </c>
      <c r="BA411" s="4">
        <f>IF(OR($B411="",M411=""),"",IF($B411=0,--(M411=0),""))</f>
        <v/>
      </c>
      <c r="BB411" s="4">
        <f>IF(M411="","",--(M411=1))</f>
        <v/>
      </c>
      <c r="BC411" s="4">
        <f>IF(OR($B411="",N411=""),"",--(N411=$B411))</f>
        <v/>
      </c>
      <c r="BD411" s="4">
        <f>IF(OR($B411="",N411=""),"",IF($B411=1,--(N411=1),""))</f>
        <v/>
      </c>
      <c r="BE411" s="4">
        <f>IF(OR($B411="",N411=""),"",IF($B411=0,--(N411=0),""))</f>
        <v/>
      </c>
      <c r="BF411" s="4">
        <f>IF(N411="","",--(N411=1))</f>
        <v/>
      </c>
    </row>
    <row r="412">
      <c r="A412" s="3" t="inlineStr">
        <is>
          <t>202229767</t>
        </is>
      </c>
      <c r="B412" s="3" t="inlineStr">
        <is>
          <t>0</t>
        </is>
      </c>
      <c r="C412" s="3" t="inlineStr">
        <is>
          <t>Direct</t>
        </is>
      </c>
      <c r="D412" s="3" t="inlineStr">
        <is>
          <t>0</t>
        </is>
      </c>
      <c r="E412" s="3" t="inlineStr">
        <is>
          <t>1</t>
        </is>
      </c>
      <c r="F412" s="3" t="inlineStr">
        <is>
          <t>0</t>
        </is>
      </c>
      <c r="G412" s="3" t="inlineStr">
        <is>
          <t>0</t>
        </is>
      </c>
      <c r="H412" s="3" t="inlineStr">
        <is>
          <t>0</t>
        </is>
      </c>
      <c r="I412" s="3" t="inlineStr">
        <is>
          <t>0</t>
        </is>
      </c>
      <c r="J412" s="3" t="inlineStr">
        <is>
          <t>0</t>
        </is>
      </c>
      <c r="K412" s="3" t="inlineStr">
        <is>
          <t>1</t>
        </is>
      </c>
      <c r="L412" s="3" t="inlineStr">
        <is>
          <t>1</t>
        </is>
      </c>
      <c r="M412" s="3" t="inlineStr">
        <is>
          <t>1</t>
        </is>
      </c>
      <c r="N412" s="3" t="inlineStr">
        <is>
          <t>1</t>
        </is>
      </c>
      <c r="O412" s="4">
        <f>IF(OR($B412="",D412=""),"",--(D412=$B412))</f>
        <v/>
      </c>
      <c r="P412" s="4">
        <f>IF(OR($B412="",D412=""),"",IF($B412=1,--(D412=1),""))</f>
        <v/>
      </c>
      <c r="Q412" s="4">
        <f>IF(OR($B412="",D412=""),"",IF($B412=0,--(D412=0),""))</f>
        <v/>
      </c>
      <c r="R412" s="4">
        <f>IF(D412="","",--(D412=1))</f>
        <v/>
      </c>
      <c r="S412" s="4">
        <f>IF(OR($B412="",E412=""),"",--(E412=$B412))</f>
        <v/>
      </c>
      <c r="T412" s="4">
        <f>IF(OR($B412="",E412=""),"",IF($B412=1,--(E412=1),""))</f>
        <v/>
      </c>
      <c r="U412" s="4">
        <f>IF(OR($B412="",E412=""),"",IF($B412=0,--(E412=0),""))</f>
        <v/>
      </c>
      <c r="V412" s="4">
        <f>IF(E412="","",--(E412=1))</f>
        <v/>
      </c>
      <c r="W412" s="4">
        <f>IF(OR($B412="",F412=""),"",--(F412=$B412))</f>
        <v/>
      </c>
      <c r="X412" s="4">
        <f>IF(OR($B412="",F412=""),"",IF($B412=1,--(F412=1),""))</f>
        <v/>
      </c>
      <c r="Y412" s="4">
        <f>IF(OR($B412="",F412=""),"",IF($B412=0,--(F412=0),""))</f>
        <v/>
      </c>
      <c r="Z412" s="4">
        <f>IF(F412="","",--(F412=1))</f>
        <v/>
      </c>
      <c r="AA412" s="4">
        <f>IF(OR($B412="",G412=""),"",--(G412=$B412))</f>
        <v/>
      </c>
      <c r="AB412" s="4">
        <f>IF(OR($B412="",G412=""),"",IF($B412=1,--(G412=1),""))</f>
        <v/>
      </c>
      <c r="AC412" s="4">
        <f>IF(OR($B412="",G412=""),"",IF($B412=0,--(G412=0),""))</f>
        <v/>
      </c>
      <c r="AD412" s="4">
        <f>IF(G412="","",--(G412=1))</f>
        <v/>
      </c>
      <c r="AE412" s="4">
        <f>IF(OR($B412="",H412=""),"",--(H412=$B412))</f>
        <v/>
      </c>
      <c r="AF412" s="4">
        <f>IF(OR($B412="",H412=""),"",IF($B412=1,--(H412=1),""))</f>
        <v/>
      </c>
      <c r="AG412" s="4">
        <f>IF(OR($B412="",H412=""),"",IF($B412=0,--(H412=0),""))</f>
        <v/>
      </c>
      <c r="AH412" s="4">
        <f>IF(H412="","",--(H412=1))</f>
        <v/>
      </c>
      <c r="AI412" s="4">
        <f>IF(OR($B412="",I412=""),"",--(I412=$B412))</f>
        <v/>
      </c>
      <c r="AJ412" s="4">
        <f>IF(OR($B412="",I412=""),"",IF($B412=1,--(I412=1),""))</f>
        <v/>
      </c>
      <c r="AK412" s="4">
        <f>IF(OR($B412="",I412=""),"",IF($B412=0,--(I412=0),""))</f>
        <v/>
      </c>
      <c r="AL412" s="4">
        <f>IF(I412="","",--(I412=1))</f>
        <v/>
      </c>
      <c r="AM412" s="4">
        <f>IF(OR($B412="",J412=""),"",--(J412=$B412))</f>
        <v/>
      </c>
      <c r="AN412" s="4">
        <f>IF(OR($B412="",J412=""),"",IF($B412=1,--(J412=1),""))</f>
        <v/>
      </c>
      <c r="AO412" s="4">
        <f>IF(OR($B412="",J412=""),"",IF($B412=0,--(J412=0),""))</f>
        <v/>
      </c>
      <c r="AP412" s="4">
        <f>IF(J412="","",--(J412=1))</f>
        <v/>
      </c>
      <c r="AQ412" s="4">
        <f>IF(OR($B412="",K412=""),"",--(K412=$B412))</f>
        <v/>
      </c>
      <c r="AR412" s="4">
        <f>IF(OR($B412="",K412=""),"",IF($B412=1,--(K412=1),""))</f>
        <v/>
      </c>
      <c r="AS412" s="4">
        <f>IF(OR($B412="",K412=""),"",IF($B412=0,--(K412=0),""))</f>
        <v/>
      </c>
      <c r="AT412" s="4">
        <f>IF(K412="","",--(K412=1))</f>
        <v/>
      </c>
      <c r="AU412" s="4">
        <f>IF(OR($B412="",L412=""),"",--(L412=$B412))</f>
        <v/>
      </c>
      <c r="AV412" s="4">
        <f>IF(OR($B412="",L412=""),"",IF($B412=1,--(L412=1),""))</f>
        <v/>
      </c>
      <c r="AW412" s="4">
        <f>IF(OR($B412="",L412=""),"",IF($B412=0,--(L412=0),""))</f>
        <v/>
      </c>
      <c r="AX412" s="4">
        <f>IF(L412="","",--(L412=1))</f>
        <v/>
      </c>
      <c r="AY412" s="4">
        <f>IF(OR($B412="",M412=""),"",--(M412=$B412))</f>
        <v/>
      </c>
      <c r="AZ412" s="4">
        <f>IF(OR($B412="",M412=""),"",IF($B412=1,--(M412=1),""))</f>
        <v/>
      </c>
      <c r="BA412" s="4">
        <f>IF(OR($B412="",M412=""),"",IF($B412=0,--(M412=0),""))</f>
        <v/>
      </c>
      <c r="BB412" s="4">
        <f>IF(M412="","",--(M412=1))</f>
        <v/>
      </c>
      <c r="BC412" s="4">
        <f>IF(OR($B412="",N412=""),"",--(N412=$B412))</f>
        <v/>
      </c>
      <c r="BD412" s="4">
        <f>IF(OR($B412="",N412=""),"",IF($B412=1,--(N412=1),""))</f>
        <v/>
      </c>
      <c r="BE412" s="4">
        <f>IF(OR($B412="",N412=""),"",IF($B412=0,--(N412=0),""))</f>
        <v/>
      </c>
      <c r="BF412" s="4">
        <f>IF(N412="","",--(N412=1))</f>
        <v/>
      </c>
    </row>
    <row r="413">
      <c r="A413" s="3" t="inlineStr">
        <is>
          <t>202229775</t>
        </is>
      </c>
      <c r="B413" s="3" t="inlineStr">
        <is>
          <t>1</t>
        </is>
      </c>
      <c r="C413" s="3" t="inlineStr">
        <is>
          <t>Direct</t>
        </is>
      </c>
      <c r="D413" s="3" t="inlineStr">
        <is>
          <t>1</t>
        </is>
      </c>
      <c r="E413" s="3" t="inlineStr">
        <is>
          <t>1</t>
        </is>
      </c>
      <c r="F413" s="3" t="inlineStr">
        <is>
          <t>0</t>
        </is>
      </c>
      <c r="G413" s="3" t="inlineStr">
        <is>
          <t>0</t>
        </is>
      </c>
      <c r="H413" s="3" t="inlineStr">
        <is>
          <t>0</t>
        </is>
      </c>
      <c r="I413" s="3" t="inlineStr">
        <is>
          <t>0</t>
        </is>
      </c>
      <c r="J413" s="3" t="inlineStr">
        <is>
          <t>0</t>
        </is>
      </c>
      <c r="K413" s="3" t="inlineStr">
        <is>
          <t>0</t>
        </is>
      </c>
      <c r="L413" s="3" t="inlineStr">
        <is>
          <t>0</t>
        </is>
      </c>
      <c r="M413" s="3" t="inlineStr">
        <is>
          <t>1</t>
        </is>
      </c>
      <c r="N413" s="3" t="inlineStr">
        <is>
          <t>1</t>
        </is>
      </c>
      <c r="O413" s="4">
        <f>IF(OR($B413="",D413=""),"",--(D413=$B413))</f>
        <v/>
      </c>
      <c r="P413" s="4">
        <f>IF(OR($B413="",D413=""),"",IF($B413=1,--(D413=1),""))</f>
        <v/>
      </c>
      <c r="Q413" s="4">
        <f>IF(OR($B413="",D413=""),"",IF($B413=0,--(D413=0),""))</f>
        <v/>
      </c>
      <c r="R413" s="4">
        <f>IF(D413="","",--(D413=1))</f>
        <v/>
      </c>
      <c r="S413" s="4">
        <f>IF(OR($B413="",E413=""),"",--(E413=$B413))</f>
        <v/>
      </c>
      <c r="T413" s="4">
        <f>IF(OR($B413="",E413=""),"",IF($B413=1,--(E413=1),""))</f>
        <v/>
      </c>
      <c r="U413" s="4">
        <f>IF(OR($B413="",E413=""),"",IF($B413=0,--(E413=0),""))</f>
        <v/>
      </c>
      <c r="V413" s="4">
        <f>IF(E413="","",--(E413=1))</f>
        <v/>
      </c>
      <c r="W413" s="4">
        <f>IF(OR($B413="",F413=""),"",--(F413=$B413))</f>
        <v/>
      </c>
      <c r="X413" s="4">
        <f>IF(OR($B413="",F413=""),"",IF($B413=1,--(F413=1),""))</f>
        <v/>
      </c>
      <c r="Y413" s="4">
        <f>IF(OR($B413="",F413=""),"",IF($B413=0,--(F413=0),""))</f>
        <v/>
      </c>
      <c r="Z413" s="4">
        <f>IF(F413="","",--(F413=1))</f>
        <v/>
      </c>
      <c r="AA413" s="4">
        <f>IF(OR($B413="",G413=""),"",--(G413=$B413))</f>
        <v/>
      </c>
      <c r="AB413" s="4">
        <f>IF(OR($B413="",G413=""),"",IF($B413=1,--(G413=1),""))</f>
        <v/>
      </c>
      <c r="AC413" s="4">
        <f>IF(OR($B413="",G413=""),"",IF($B413=0,--(G413=0),""))</f>
        <v/>
      </c>
      <c r="AD413" s="4">
        <f>IF(G413="","",--(G413=1))</f>
        <v/>
      </c>
      <c r="AE413" s="4">
        <f>IF(OR($B413="",H413=""),"",--(H413=$B413))</f>
        <v/>
      </c>
      <c r="AF413" s="4">
        <f>IF(OR($B413="",H413=""),"",IF($B413=1,--(H413=1),""))</f>
        <v/>
      </c>
      <c r="AG413" s="4">
        <f>IF(OR($B413="",H413=""),"",IF($B413=0,--(H413=0),""))</f>
        <v/>
      </c>
      <c r="AH413" s="4">
        <f>IF(H413="","",--(H413=1))</f>
        <v/>
      </c>
      <c r="AI413" s="4">
        <f>IF(OR($B413="",I413=""),"",--(I413=$B413))</f>
        <v/>
      </c>
      <c r="AJ413" s="4">
        <f>IF(OR($B413="",I413=""),"",IF($B413=1,--(I413=1),""))</f>
        <v/>
      </c>
      <c r="AK413" s="4">
        <f>IF(OR($B413="",I413=""),"",IF($B413=0,--(I413=0),""))</f>
        <v/>
      </c>
      <c r="AL413" s="4">
        <f>IF(I413="","",--(I413=1))</f>
        <v/>
      </c>
      <c r="AM413" s="4">
        <f>IF(OR($B413="",J413=""),"",--(J413=$B413))</f>
        <v/>
      </c>
      <c r="AN413" s="4">
        <f>IF(OR($B413="",J413=""),"",IF($B413=1,--(J413=1),""))</f>
        <v/>
      </c>
      <c r="AO413" s="4">
        <f>IF(OR($B413="",J413=""),"",IF($B413=0,--(J413=0),""))</f>
        <v/>
      </c>
      <c r="AP413" s="4">
        <f>IF(J413="","",--(J413=1))</f>
        <v/>
      </c>
      <c r="AQ413" s="4">
        <f>IF(OR($B413="",K413=""),"",--(K413=$B413))</f>
        <v/>
      </c>
      <c r="AR413" s="4">
        <f>IF(OR($B413="",K413=""),"",IF($B413=1,--(K413=1),""))</f>
        <v/>
      </c>
      <c r="AS413" s="4">
        <f>IF(OR($B413="",K413=""),"",IF($B413=0,--(K413=0),""))</f>
        <v/>
      </c>
      <c r="AT413" s="4">
        <f>IF(K413="","",--(K413=1))</f>
        <v/>
      </c>
      <c r="AU413" s="4">
        <f>IF(OR($B413="",L413=""),"",--(L413=$B413))</f>
        <v/>
      </c>
      <c r="AV413" s="4">
        <f>IF(OR($B413="",L413=""),"",IF($B413=1,--(L413=1),""))</f>
        <v/>
      </c>
      <c r="AW413" s="4">
        <f>IF(OR($B413="",L413=""),"",IF($B413=0,--(L413=0),""))</f>
        <v/>
      </c>
      <c r="AX413" s="4">
        <f>IF(L413="","",--(L413=1))</f>
        <v/>
      </c>
      <c r="AY413" s="4">
        <f>IF(OR($B413="",M413=""),"",--(M413=$B413))</f>
        <v/>
      </c>
      <c r="AZ413" s="4">
        <f>IF(OR($B413="",M413=""),"",IF($B413=1,--(M413=1),""))</f>
        <v/>
      </c>
      <c r="BA413" s="4">
        <f>IF(OR($B413="",M413=""),"",IF($B413=0,--(M413=0),""))</f>
        <v/>
      </c>
      <c r="BB413" s="4">
        <f>IF(M413="","",--(M413=1))</f>
        <v/>
      </c>
      <c r="BC413" s="4">
        <f>IF(OR($B413="",N413=""),"",--(N413=$B413))</f>
        <v/>
      </c>
      <c r="BD413" s="4">
        <f>IF(OR($B413="",N413=""),"",IF($B413=1,--(N413=1),""))</f>
        <v/>
      </c>
      <c r="BE413" s="4">
        <f>IF(OR($B413="",N413=""),"",IF($B413=0,--(N413=0),""))</f>
        <v/>
      </c>
      <c r="BF413" s="4">
        <f>IF(N413="","",--(N413=1))</f>
        <v/>
      </c>
    </row>
    <row r="414">
      <c r="A414" s="3" t="inlineStr">
        <is>
          <t>202229895</t>
        </is>
      </c>
      <c r="B414" s="3" t="inlineStr">
        <is>
          <t>0</t>
        </is>
      </c>
      <c r="C414" s="3" t="inlineStr">
        <is>
          <t>Direct</t>
        </is>
      </c>
      <c r="D414" s="3" t="inlineStr">
        <is>
          <t>1</t>
        </is>
      </c>
      <c r="E414" s="3" t="inlineStr">
        <is>
          <t>0</t>
        </is>
      </c>
      <c r="F414" s="3" t="inlineStr">
        <is>
          <t>0</t>
        </is>
      </c>
      <c r="G414" s="3" t="inlineStr">
        <is>
          <t>0</t>
        </is>
      </c>
      <c r="H414" s="3" t="inlineStr">
        <is>
          <t>0</t>
        </is>
      </c>
      <c r="I414" s="3" t="inlineStr">
        <is>
          <t>0</t>
        </is>
      </c>
      <c r="J414" s="3" t="inlineStr">
        <is>
          <t>0</t>
        </is>
      </c>
      <c r="K414" s="3" t="inlineStr">
        <is>
          <t>0</t>
        </is>
      </c>
      <c r="L414" s="3" t="inlineStr">
        <is>
          <t>0</t>
        </is>
      </c>
      <c r="M414" s="3" t="inlineStr">
        <is>
          <t>0</t>
        </is>
      </c>
      <c r="N414" s="3" t="inlineStr">
        <is>
          <t>0</t>
        </is>
      </c>
      <c r="O414" s="4">
        <f>IF(OR($B414="",D414=""),"",--(D414=$B414))</f>
        <v/>
      </c>
      <c r="P414" s="4">
        <f>IF(OR($B414="",D414=""),"",IF($B414=1,--(D414=1),""))</f>
        <v/>
      </c>
      <c r="Q414" s="4">
        <f>IF(OR($B414="",D414=""),"",IF($B414=0,--(D414=0),""))</f>
        <v/>
      </c>
      <c r="R414" s="4">
        <f>IF(D414="","",--(D414=1))</f>
        <v/>
      </c>
      <c r="S414" s="4">
        <f>IF(OR($B414="",E414=""),"",--(E414=$B414))</f>
        <v/>
      </c>
      <c r="T414" s="4">
        <f>IF(OR($B414="",E414=""),"",IF($B414=1,--(E414=1),""))</f>
        <v/>
      </c>
      <c r="U414" s="4">
        <f>IF(OR($B414="",E414=""),"",IF($B414=0,--(E414=0),""))</f>
        <v/>
      </c>
      <c r="V414" s="4">
        <f>IF(E414="","",--(E414=1))</f>
        <v/>
      </c>
      <c r="W414" s="4">
        <f>IF(OR($B414="",F414=""),"",--(F414=$B414))</f>
        <v/>
      </c>
      <c r="X414" s="4">
        <f>IF(OR($B414="",F414=""),"",IF($B414=1,--(F414=1),""))</f>
        <v/>
      </c>
      <c r="Y414" s="4">
        <f>IF(OR($B414="",F414=""),"",IF($B414=0,--(F414=0),""))</f>
        <v/>
      </c>
      <c r="Z414" s="4">
        <f>IF(F414="","",--(F414=1))</f>
        <v/>
      </c>
      <c r="AA414" s="4">
        <f>IF(OR($B414="",G414=""),"",--(G414=$B414))</f>
        <v/>
      </c>
      <c r="AB414" s="4">
        <f>IF(OR($B414="",G414=""),"",IF($B414=1,--(G414=1),""))</f>
        <v/>
      </c>
      <c r="AC414" s="4">
        <f>IF(OR($B414="",G414=""),"",IF($B414=0,--(G414=0),""))</f>
        <v/>
      </c>
      <c r="AD414" s="4">
        <f>IF(G414="","",--(G414=1))</f>
        <v/>
      </c>
      <c r="AE414" s="4">
        <f>IF(OR($B414="",H414=""),"",--(H414=$B414))</f>
        <v/>
      </c>
      <c r="AF414" s="4">
        <f>IF(OR($B414="",H414=""),"",IF($B414=1,--(H414=1),""))</f>
        <v/>
      </c>
      <c r="AG414" s="4">
        <f>IF(OR($B414="",H414=""),"",IF($B414=0,--(H414=0),""))</f>
        <v/>
      </c>
      <c r="AH414" s="4">
        <f>IF(H414="","",--(H414=1))</f>
        <v/>
      </c>
      <c r="AI414" s="4">
        <f>IF(OR($B414="",I414=""),"",--(I414=$B414))</f>
        <v/>
      </c>
      <c r="AJ414" s="4">
        <f>IF(OR($B414="",I414=""),"",IF($B414=1,--(I414=1),""))</f>
        <v/>
      </c>
      <c r="AK414" s="4">
        <f>IF(OR($B414="",I414=""),"",IF($B414=0,--(I414=0),""))</f>
        <v/>
      </c>
      <c r="AL414" s="4">
        <f>IF(I414="","",--(I414=1))</f>
        <v/>
      </c>
      <c r="AM414" s="4">
        <f>IF(OR($B414="",J414=""),"",--(J414=$B414))</f>
        <v/>
      </c>
      <c r="AN414" s="4">
        <f>IF(OR($B414="",J414=""),"",IF($B414=1,--(J414=1),""))</f>
        <v/>
      </c>
      <c r="AO414" s="4">
        <f>IF(OR($B414="",J414=""),"",IF($B414=0,--(J414=0),""))</f>
        <v/>
      </c>
      <c r="AP414" s="4">
        <f>IF(J414="","",--(J414=1))</f>
        <v/>
      </c>
      <c r="AQ414" s="4">
        <f>IF(OR($B414="",K414=""),"",--(K414=$B414))</f>
        <v/>
      </c>
      <c r="AR414" s="4">
        <f>IF(OR($B414="",K414=""),"",IF($B414=1,--(K414=1),""))</f>
        <v/>
      </c>
      <c r="AS414" s="4">
        <f>IF(OR($B414="",K414=""),"",IF($B414=0,--(K414=0),""))</f>
        <v/>
      </c>
      <c r="AT414" s="4">
        <f>IF(K414="","",--(K414=1))</f>
        <v/>
      </c>
      <c r="AU414" s="4">
        <f>IF(OR($B414="",L414=""),"",--(L414=$B414))</f>
        <v/>
      </c>
      <c r="AV414" s="4">
        <f>IF(OR($B414="",L414=""),"",IF($B414=1,--(L414=1),""))</f>
        <v/>
      </c>
      <c r="AW414" s="4">
        <f>IF(OR($B414="",L414=""),"",IF($B414=0,--(L414=0),""))</f>
        <v/>
      </c>
      <c r="AX414" s="4">
        <f>IF(L414="","",--(L414=1))</f>
        <v/>
      </c>
      <c r="AY414" s="4">
        <f>IF(OR($B414="",M414=""),"",--(M414=$B414))</f>
        <v/>
      </c>
      <c r="AZ414" s="4">
        <f>IF(OR($B414="",M414=""),"",IF($B414=1,--(M414=1),""))</f>
        <v/>
      </c>
      <c r="BA414" s="4">
        <f>IF(OR($B414="",M414=""),"",IF($B414=0,--(M414=0),""))</f>
        <v/>
      </c>
      <c r="BB414" s="4">
        <f>IF(M414="","",--(M414=1))</f>
        <v/>
      </c>
      <c r="BC414" s="4">
        <f>IF(OR($B414="",N414=""),"",--(N414=$B414))</f>
        <v/>
      </c>
      <c r="BD414" s="4">
        <f>IF(OR($B414="",N414=""),"",IF($B414=1,--(N414=1),""))</f>
        <v/>
      </c>
      <c r="BE414" s="4">
        <f>IF(OR($B414="",N414=""),"",IF($B414=0,--(N414=0),""))</f>
        <v/>
      </c>
      <c r="BF414" s="4">
        <f>IF(N414="","",--(N414=1))</f>
        <v/>
      </c>
    </row>
    <row r="415">
      <c r="A415" s="3" t="inlineStr">
        <is>
          <t>202230487</t>
        </is>
      </c>
      <c r="B415" s="3" t="inlineStr">
        <is>
          <t>0</t>
        </is>
      </c>
      <c r="C415" s="3" t="inlineStr">
        <is>
          <t>Direct</t>
        </is>
      </c>
      <c r="D415" s="3" t="inlineStr">
        <is>
          <t>0</t>
        </is>
      </c>
      <c r="E415" s="3" t="inlineStr">
        <is>
          <t>0</t>
        </is>
      </c>
      <c r="F415" s="3" t="inlineStr">
        <is>
          <t>0</t>
        </is>
      </c>
      <c r="G415" s="3" t="inlineStr">
        <is>
          <t>0</t>
        </is>
      </c>
      <c r="H415" s="3" t="inlineStr">
        <is>
          <t>0</t>
        </is>
      </c>
      <c r="I415" s="3" t="inlineStr">
        <is>
          <t>0</t>
        </is>
      </c>
      <c r="J415" s="3" t="inlineStr">
        <is>
          <t>0</t>
        </is>
      </c>
      <c r="K415" s="3" t="inlineStr">
        <is>
          <t>0</t>
        </is>
      </c>
      <c r="L415" s="3" t="inlineStr">
        <is>
          <t>1</t>
        </is>
      </c>
      <c r="M415" s="3" t="inlineStr">
        <is>
          <t>0</t>
        </is>
      </c>
      <c r="N415" s="3" t="inlineStr">
        <is>
          <t>1</t>
        </is>
      </c>
      <c r="O415" s="4">
        <f>IF(OR($B415="",D415=""),"",--(D415=$B415))</f>
        <v/>
      </c>
      <c r="P415" s="4">
        <f>IF(OR($B415="",D415=""),"",IF($B415=1,--(D415=1),""))</f>
        <v/>
      </c>
      <c r="Q415" s="4">
        <f>IF(OR($B415="",D415=""),"",IF($B415=0,--(D415=0),""))</f>
        <v/>
      </c>
      <c r="R415" s="4">
        <f>IF(D415="","",--(D415=1))</f>
        <v/>
      </c>
      <c r="S415" s="4">
        <f>IF(OR($B415="",E415=""),"",--(E415=$B415))</f>
        <v/>
      </c>
      <c r="T415" s="4">
        <f>IF(OR($B415="",E415=""),"",IF($B415=1,--(E415=1),""))</f>
        <v/>
      </c>
      <c r="U415" s="4">
        <f>IF(OR($B415="",E415=""),"",IF($B415=0,--(E415=0),""))</f>
        <v/>
      </c>
      <c r="V415" s="4">
        <f>IF(E415="","",--(E415=1))</f>
        <v/>
      </c>
      <c r="W415" s="4">
        <f>IF(OR($B415="",F415=""),"",--(F415=$B415))</f>
        <v/>
      </c>
      <c r="X415" s="4">
        <f>IF(OR($B415="",F415=""),"",IF($B415=1,--(F415=1),""))</f>
        <v/>
      </c>
      <c r="Y415" s="4">
        <f>IF(OR($B415="",F415=""),"",IF($B415=0,--(F415=0),""))</f>
        <v/>
      </c>
      <c r="Z415" s="4">
        <f>IF(F415="","",--(F415=1))</f>
        <v/>
      </c>
      <c r="AA415" s="4">
        <f>IF(OR($B415="",G415=""),"",--(G415=$B415))</f>
        <v/>
      </c>
      <c r="AB415" s="4">
        <f>IF(OR($B415="",G415=""),"",IF($B415=1,--(G415=1),""))</f>
        <v/>
      </c>
      <c r="AC415" s="4">
        <f>IF(OR($B415="",G415=""),"",IF($B415=0,--(G415=0),""))</f>
        <v/>
      </c>
      <c r="AD415" s="4">
        <f>IF(G415="","",--(G415=1))</f>
        <v/>
      </c>
      <c r="AE415" s="4">
        <f>IF(OR($B415="",H415=""),"",--(H415=$B415))</f>
        <v/>
      </c>
      <c r="AF415" s="4">
        <f>IF(OR($B415="",H415=""),"",IF($B415=1,--(H415=1),""))</f>
        <v/>
      </c>
      <c r="AG415" s="4">
        <f>IF(OR($B415="",H415=""),"",IF($B415=0,--(H415=0),""))</f>
        <v/>
      </c>
      <c r="AH415" s="4">
        <f>IF(H415="","",--(H415=1))</f>
        <v/>
      </c>
      <c r="AI415" s="4">
        <f>IF(OR($B415="",I415=""),"",--(I415=$B415))</f>
        <v/>
      </c>
      <c r="AJ415" s="4">
        <f>IF(OR($B415="",I415=""),"",IF($B415=1,--(I415=1),""))</f>
        <v/>
      </c>
      <c r="AK415" s="4">
        <f>IF(OR($B415="",I415=""),"",IF($B415=0,--(I415=0),""))</f>
        <v/>
      </c>
      <c r="AL415" s="4">
        <f>IF(I415="","",--(I415=1))</f>
        <v/>
      </c>
      <c r="AM415" s="4">
        <f>IF(OR($B415="",J415=""),"",--(J415=$B415))</f>
        <v/>
      </c>
      <c r="AN415" s="4">
        <f>IF(OR($B415="",J415=""),"",IF($B415=1,--(J415=1),""))</f>
        <v/>
      </c>
      <c r="AO415" s="4">
        <f>IF(OR($B415="",J415=""),"",IF($B415=0,--(J415=0),""))</f>
        <v/>
      </c>
      <c r="AP415" s="4">
        <f>IF(J415="","",--(J415=1))</f>
        <v/>
      </c>
      <c r="AQ415" s="4">
        <f>IF(OR($B415="",K415=""),"",--(K415=$B415))</f>
        <v/>
      </c>
      <c r="AR415" s="4">
        <f>IF(OR($B415="",K415=""),"",IF($B415=1,--(K415=1),""))</f>
        <v/>
      </c>
      <c r="AS415" s="4">
        <f>IF(OR($B415="",K415=""),"",IF($B415=0,--(K415=0),""))</f>
        <v/>
      </c>
      <c r="AT415" s="4">
        <f>IF(K415="","",--(K415=1))</f>
        <v/>
      </c>
      <c r="AU415" s="4">
        <f>IF(OR($B415="",L415=""),"",--(L415=$B415))</f>
        <v/>
      </c>
      <c r="AV415" s="4">
        <f>IF(OR($B415="",L415=""),"",IF($B415=1,--(L415=1),""))</f>
        <v/>
      </c>
      <c r="AW415" s="4">
        <f>IF(OR($B415="",L415=""),"",IF($B415=0,--(L415=0),""))</f>
        <v/>
      </c>
      <c r="AX415" s="4">
        <f>IF(L415="","",--(L415=1))</f>
        <v/>
      </c>
      <c r="AY415" s="4">
        <f>IF(OR($B415="",M415=""),"",--(M415=$B415))</f>
        <v/>
      </c>
      <c r="AZ415" s="4">
        <f>IF(OR($B415="",M415=""),"",IF($B415=1,--(M415=1),""))</f>
        <v/>
      </c>
      <c r="BA415" s="4">
        <f>IF(OR($B415="",M415=""),"",IF($B415=0,--(M415=0),""))</f>
        <v/>
      </c>
      <c r="BB415" s="4">
        <f>IF(M415="","",--(M415=1))</f>
        <v/>
      </c>
      <c r="BC415" s="4">
        <f>IF(OR($B415="",N415=""),"",--(N415=$B415))</f>
        <v/>
      </c>
      <c r="BD415" s="4">
        <f>IF(OR($B415="",N415=""),"",IF($B415=1,--(N415=1),""))</f>
        <v/>
      </c>
      <c r="BE415" s="4">
        <f>IF(OR($B415="",N415=""),"",IF($B415=0,--(N415=0),""))</f>
        <v/>
      </c>
      <c r="BF415" s="4">
        <f>IF(N415="","",--(N415=1))</f>
        <v/>
      </c>
    </row>
    <row r="416">
      <c r="A416" s="3" t="inlineStr">
        <is>
          <t>202230796</t>
        </is>
      </c>
      <c r="B416" s="3" t="inlineStr">
        <is>
          <t>0</t>
        </is>
      </c>
      <c r="C416" s="3" t="inlineStr">
        <is>
          <t>Direct</t>
        </is>
      </c>
      <c r="D416" s="3" t="inlineStr">
        <is>
          <t>0</t>
        </is>
      </c>
      <c r="E416" s="3" t="inlineStr">
        <is>
          <t>1</t>
        </is>
      </c>
      <c r="F416" s="3" t="inlineStr">
        <is>
          <t>0</t>
        </is>
      </c>
      <c r="G416" s="3" t="inlineStr">
        <is>
          <t>0</t>
        </is>
      </c>
      <c r="H416" s="3" t="inlineStr">
        <is>
          <t>1</t>
        </is>
      </c>
      <c r="I416" s="3" t="inlineStr">
        <is>
          <t>0</t>
        </is>
      </c>
      <c r="J416" s="3" t="inlineStr">
        <is>
          <t>0</t>
        </is>
      </c>
      <c r="K416" s="3" t="inlineStr">
        <is>
          <t>0</t>
        </is>
      </c>
      <c r="L416" s="3" t="inlineStr">
        <is>
          <t>1</t>
        </is>
      </c>
      <c r="M416" s="3" t="inlineStr">
        <is>
          <t>1</t>
        </is>
      </c>
      <c r="N416" s="3" t="inlineStr">
        <is>
          <t>1</t>
        </is>
      </c>
      <c r="O416" s="4">
        <f>IF(OR($B416="",D416=""),"",--(D416=$B416))</f>
        <v/>
      </c>
      <c r="P416" s="4">
        <f>IF(OR($B416="",D416=""),"",IF($B416=1,--(D416=1),""))</f>
        <v/>
      </c>
      <c r="Q416" s="4">
        <f>IF(OR($B416="",D416=""),"",IF($B416=0,--(D416=0),""))</f>
        <v/>
      </c>
      <c r="R416" s="4">
        <f>IF(D416="","",--(D416=1))</f>
        <v/>
      </c>
      <c r="S416" s="4">
        <f>IF(OR($B416="",E416=""),"",--(E416=$B416))</f>
        <v/>
      </c>
      <c r="T416" s="4">
        <f>IF(OR($B416="",E416=""),"",IF($B416=1,--(E416=1),""))</f>
        <v/>
      </c>
      <c r="U416" s="4">
        <f>IF(OR($B416="",E416=""),"",IF($B416=0,--(E416=0),""))</f>
        <v/>
      </c>
      <c r="V416" s="4">
        <f>IF(E416="","",--(E416=1))</f>
        <v/>
      </c>
      <c r="W416" s="4">
        <f>IF(OR($B416="",F416=""),"",--(F416=$B416))</f>
        <v/>
      </c>
      <c r="X416" s="4">
        <f>IF(OR($B416="",F416=""),"",IF($B416=1,--(F416=1),""))</f>
        <v/>
      </c>
      <c r="Y416" s="4">
        <f>IF(OR($B416="",F416=""),"",IF($B416=0,--(F416=0),""))</f>
        <v/>
      </c>
      <c r="Z416" s="4">
        <f>IF(F416="","",--(F416=1))</f>
        <v/>
      </c>
      <c r="AA416" s="4">
        <f>IF(OR($B416="",G416=""),"",--(G416=$B416))</f>
        <v/>
      </c>
      <c r="AB416" s="4">
        <f>IF(OR($B416="",G416=""),"",IF($B416=1,--(G416=1),""))</f>
        <v/>
      </c>
      <c r="AC416" s="4">
        <f>IF(OR($B416="",G416=""),"",IF($B416=0,--(G416=0),""))</f>
        <v/>
      </c>
      <c r="AD416" s="4">
        <f>IF(G416="","",--(G416=1))</f>
        <v/>
      </c>
      <c r="AE416" s="4">
        <f>IF(OR($B416="",H416=""),"",--(H416=$B416))</f>
        <v/>
      </c>
      <c r="AF416" s="4">
        <f>IF(OR($B416="",H416=""),"",IF($B416=1,--(H416=1),""))</f>
        <v/>
      </c>
      <c r="AG416" s="4">
        <f>IF(OR($B416="",H416=""),"",IF($B416=0,--(H416=0),""))</f>
        <v/>
      </c>
      <c r="AH416" s="4">
        <f>IF(H416="","",--(H416=1))</f>
        <v/>
      </c>
      <c r="AI416" s="4">
        <f>IF(OR($B416="",I416=""),"",--(I416=$B416))</f>
        <v/>
      </c>
      <c r="AJ416" s="4">
        <f>IF(OR($B416="",I416=""),"",IF($B416=1,--(I416=1),""))</f>
        <v/>
      </c>
      <c r="AK416" s="4">
        <f>IF(OR($B416="",I416=""),"",IF($B416=0,--(I416=0),""))</f>
        <v/>
      </c>
      <c r="AL416" s="4">
        <f>IF(I416="","",--(I416=1))</f>
        <v/>
      </c>
      <c r="AM416" s="4">
        <f>IF(OR($B416="",J416=""),"",--(J416=$B416))</f>
        <v/>
      </c>
      <c r="AN416" s="4">
        <f>IF(OR($B416="",J416=""),"",IF($B416=1,--(J416=1),""))</f>
        <v/>
      </c>
      <c r="AO416" s="4">
        <f>IF(OR($B416="",J416=""),"",IF($B416=0,--(J416=0),""))</f>
        <v/>
      </c>
      <c r="AP416" s="4">
        <f>IF(J416="","",--(J416=1))</f>
        <v/>
      </c>
      <c r="AQ416" s="4">
        <f>IF(OR($B416="",K416=""),"",--(K416=$B416))</f>
        <v/>
      </c>
      <c r="AR416" s="4">
        <f>IF(OR($B416="",K416=""),"",IF($B416=1,--(K416=1),""))</f>
        <v/>
      </c>
      <c r="AS416" s="4">
        <f>IF(OR($B416="",K416=""),"",IF($B416=0,--(K416=0),""))</f>
        <v/>
      </c>
      <c r="AT416" s="4">
        <f>IF(K416="","",--(K416=1))</f>
        <v/>
      </c>
      <c r="AU416" s="4">
        <f>IF(OR($B416="",L416=""),"",--(L416=$B416))</f>
        <v/>
      </c>
      <c r="AV416" s="4">
        <f>IF(OR($B416="",L416=""),"",IF($B416=1,--(L416=1),""))</f>
        <v/>
      </c>
      <c r="AW416" s="4">
        <f>IF(OR($B416="",L416=""),"",IF($B416=0,--(L416=0),""))</f>
        <v/>
      </c>
      <c r="AX416" s="4">
        <f>IF(L416="","",--(L416=1))</f>
        <v/>
      </c>
      <c r="AY416" s="4">
        <f>IF(OR($B416="",M416=""),"",--(M416=$B416))</f>
        <v/>
      </c>
      <c r="AZ416" s="4">
        <f>IF(OR($B416="",M416=""),"",IF($B416=1,--(M416=1),""))</f>
        <v/>
      </c>
      <c r="BA416" s="4">
        <f>IF(OR($B416="",M416=""),"",IF($B416=0,--(M416=0),""))</f>
        <v/>
      </c>
      <c r="BB416" s="4">
        <f>IF(M416="","",--(M416=1))</f>
        <v/>
      </c>
      <c r="BC416" s="4">
        <f>IF(OR($B416="",N416=""),"",--(N416=$B416))</f>
        <v/>
      </c>
      <c r="BD416" s="4">
        <f>IF(OR($B416="",N416=""),"",IF($B416=1,--(N416=1),""))</f>
        <v/>
      </c>
      <c r="BE416" s="4">
        <f>IF(OR($B416="",N416=""),"",IF($B416=0,--(N416=0),""))</f>
        <v/>
      </c>
      <c r="BF416" s="4">
        <f>IF(N416="","",--(N416=1))</f>
        <v/>
      </c>
    </row>
    <row r="417">
      <c r="A417" s="3" t="inlineStr">
        <is>
          <t>202230839</t>
        </is>
      </c>
      <c r="B417" s="3" t="inlineStr">
        <is>
          <t>1</t>
        </is>
      </c>
      <c r="C417" s="3" t="inlineStr">
        <is>
          <t>Direct</t>
        </is>
      </c>
      <c r="D417" s="3" t="inlineStr">
        <is>
          <t>1</t>
        </is>
      </c>
      <c r="E417" s="3" t="inlineStr">
        <is>
          <t>1</t>
        </is>
      </c>
      <c r="F417" s="3" t="inlineStr">
        <is>
          <t>0</t>
        </is>
      </c>
      <c r="G417" s="3" t="inlineStr">
        <is>
          <t>0</t>
        </is>
      </c>
      <c r="H417" s="3" t="inlineStr">
        <is>
          <t>0</t>
        </is>
      </c>
      <c r="I417" s="3" t="inlineStr">
        <is>
          <t>0</t>
        </is>
      </c>
      <c r="J417" s="3" t="inlineStr">
        <is>
          <t>0</t>
        </is>
      </c>
      <c r="K417" s="3" t="inlineStr">
        <is>
          <t>0</t>
        </is>
      </c>
      <c r="L417" s="3" t="inlineStr">
        <is>
          <t>1</t>
        </is>
      </c>
      <c r="M417" s="3" t="inlineStr">
        <is>
          <t>0</t>
        </is>
      </c>
      <c r="N417" s="3" t="inlineStr">
        <is>
          <t>1</t>
        </is>
      </c>
      <c r="O417" s="4">
        <f>IF(OR($B417="",D417=""),"",--(D417=$B417))</f>
        <v/>
      </c>
      <c r="P417" s="4">
        <f>IF(OR($B417="",D417=""),"",IF($B417=1,--(D417=1),""))</f>
        <v/>
      </c>
      <c r="Q417" s="4">
        <f>IF(OR($B417="",D417=""),"",IF($B417=0,--(D417=0),""))</f>
        <v/>
      </c>
      <c r="R417" s="4">
        <f>IF(D417="","",--(D417=1))</f>
        <v/>
      </c>
      <c r="S417" s="4">
        <f>IF(OR($B417="",E417=""),"",--(E417=$B417))</f>
        <v/>
      </c>
      <c r="T417" s="4">
        <f>IF(OR($B417="",E417=""),"",IF($B417=1,--(E417=1),""))</f>
        <v/>
      </c>
      <c r="U417" s="4">
        <f>IF(OR($B417="",E417=""),"",IF($B417=0,--(E417=0),""))</f>
        <v/>
      </c>
      <c r="V417" s="4">
        <f>IF(E417="","",--(E417=1))</f>
        <v/>
      </c>
      <c r="W417" s="4">
        <f>IF(OR($B417="",F417=""),"",--(F417=$B417))</f>
        <v/>
      </c>
      <c r="X417" s="4">
        <f>IF(OR($B417="",F417=""),"",IF($B417=1,--(F417=1),""))</f>
        <v/>
      </c>
      <c r="Y417" s="4">
        <f>IF(OR($B417="",F417=""),"",IF($B417=0,--(F417=0),""))</f>
        <v/>
      </c>
      <c r="Z417" s="4">
        <f>IF(F417="","",--(F417=1))</f>
        <v/>
      </c>
      <c r="AA417" s="4">
        <f>IF(OR($B417="",G417=""),"",--(G417=$B417))</f>
        <v/>
      </c>
      <c r="AB417" s="4">
        <f>IF(OR($B417="",G417=""),"",IF($B417=1,--(G417=1),""))</f>
        <v/>
      </c>
      <c r="AC417" s="4">
        <f>IF(OR($B417="",G417=""),"",IF($B417=0,--(G417=0),""))</f>
        <v/>
      </c>
      <c r="AD417" s="4">
        <f>IF(G417="","",--(G417=1))</f>
        <v/>
      </c>
      <c r="AE417" s="4">
        <f>IF(OR($B417="",H417=""),"",--(H417=$B417))</f>
        <v/>
      </c>
      <c r="AF417" s="4">
        <f>IF(OR($B417="",H417=""),"",IF($B417=1,--(H417=1),""))</f>
        <v/>
      </c>
      <c r="AG417" s="4">
        <f>IF(OR($B417="",H417=""),"",IF($B417=0,--(H417=0),""))</f>
        <v/>
      </c>
      <c r="AH417" s="4">
        <f>IF(H417="","",--(H417=1))</f>
        <v/>
      </c>
      <c r="AI417" s="4">
        <f>IF(OR($B417="",I417=""),"",--(I417=$B417))</f>
        <v/>
      </c>
      <c r="AJ417" s="4">
        <f>IF(OR($B417="",I417=""),"",IF($B417=1,--(I417=1),""))</f>
        <v/>
      </c>
      <c r="AK417" s="4">
        <f>IF(OR($B417="",I417=""),"",IF($B417=0,--(I417=0),""))</f>
        <v/>
      </c>
      <c r="AL417" s="4">
        <f>IF(I417="","",--(I417=1))</f>
        <v/>
      </c>
      <c r="AM417" s="4">
        <f>IF(OR($B417="",J417=""),"",--(J417=$B417))</f>
        <v/>
      </c>
      <c r="AN417" s="4">
        <f>IF(OR($B417="",J417=""),"",IF($B417=1,--(J417=1),""))</f>
        <v/>
      </c>
      <c r="AO417" s="4">
        <f>IF(OR($B417="",J417=""),"",IF($B417=0,--(J417=0),""))</f>
        <v/>
      </c>
      <c r="AP417" s="4">
        <f>IF(J417="","",--(J417=1))</f>
        <v/>
      </c>
      <c r="AQ417" s="4">
        <f>IF(OR($B417="",K417=""),"",--(K417=$B417))</f>
        <v/>
      </c>
      <c r="AR417" s="4">
        <f>IF(OR($B417="",K417=""),"",IF($B417=1,--(K417=1),""))</f>
        <v/>
      </c>
      <c r="AS417" s="4">
        <f>IF(OR($B417="",K417=""),"",IF($B417=0,--(K417=0),""))</f>
        <v/>
      </c>
      <c r="AT417" s="4">
        <f>IF(K417="","",--(K417=1))</f>
        <v/>
      </c>
      <c r="AU417" s="4">
        <f>IF(OR($B417="",L417=""),"",--(L417=$B417))</f>
        <v/>
      </c>
      <c r="AV417" s="4">
        <f>IF(OR($B417="",L417=""),"",IF($B417=1,--(L417=1),""))</f>
        <v/>
      </c>
      <c r="AW417" s="4">
        <f>IF(OR($B417="",L417=""),"",IF($B417=0,--(L417=0),""))</f>
        <v/>
      </c>
      <c r="AX417" s="4">
        <f>IF(L417="","",--(L417=1))</f>
        <v/>
      </c>
      <c r="AY417" s="4">
        <f>IF(OR($B417="",M417=""),"",--(M417=$B417))</f>
        <v/>
      </c>
      <c r="AZ417" s="4">
        <f>IF(OR($B417="",M417=""),"",IF($B417=1,--(M417=1),""))</f>
        <v/>
      </c>
      <c r="BA417" s="4">
        <f>IF(OR($B417="",M417=""),"",IF($B417=0,--(M417=0),""))</f>
        <v/>
      </c>
      <c r="BB417" s="4">
        <f>IF(M417="","",--(M417=1))</f>
        <v/>
      </c>
      <c r="BC417" s="4">
        <f>IF(OR($B417="",N417=""),"",--(N417=$B417))</f>
        <v/>
      </c>
      <c r="BD417" s="4">
        <f>IF(OR($B417="",N417=""),"",IF($B417=1,--(N417=1),""))</f>
        <v/>
      </c>
      <c r="BE417" s="4">
        <f>IF(OR($B417="",N417=""),"",IF($B417=0,--(N417=0),""))</f>
        <v/>
      </c>
      <c r="BF417" s="4">
        <f>IF(N417="","",--(N417=1))</f>
        <v/>
      </c>
    </row>
    <row r="418">
      <c r="A418" s="3" t="inlineStr">
        <is>
          <t>202231114</t>
        </is>
      </c>
      <c r="B418" s="3" t="inlineStr">
        <is>
          <t>0</t>
        </is>
      </c>
      <c r="C418" s="3" t="inlineStr">
        <is>
          <t>Direct</t>
        </is>
      </c>
      <c r="D418" s="3" t="inlineStr">
        <is>
          <t>1</t>
        </is>
      </c>
      <c r="E418" s="3" t="inlineStr">
        <is>
          <t>0</t>
        </is>
      </c>
      <c r="F418" s="3" t="inlineStr">
        <is>
          <t>0</t>
        </is>
      </c>
      <c r="G418" s="3" t="inlineStr">
        <is>
          <t>0</t>
        </is>
      </c>
      <c r="H418" s="3" t="inlineStr">
        <is>
          <t>0</t>
        </is>
      </c>
      <c r="I418" s="3" t="inlineStr">
        <is>
          <t>1</t>
        </is>
      </c>
      <c r="J418" s="3" t="inlineStr">
        <is>
          <t>1</t>
        </is>
      </c>
      <c r="K418" s="3" t="inlineStr">
        <is>
          <t>1</t>
        </is>
      </c>
      <c r="L418" s="3" t="inlineStr">
        <is>
          <t>0</t>
        </is>
      </c>
      <c r="M418" s="3" t="inlineStr">
        <is>
          <t>1</t>
        </is>
      </c>
      <c r="N418" s="3" t="inlineStr">
        <is>
          <t>1</t>
        </is>
      </c>
      <c r="O418" s="4">
        <f>IF(OR($B418="",D418=""),"",--(D418=$B418))</f>
        <v/>
      </c>
      <c r="P418" s="4">
        <f>IF(OR($B418="",D418=""),"",IF($B418=1,--(D418=1),""))</f>
        <v/>
      </c>
      <c r="Q418" s="4">
        <f>IF(OR($B418="",D418=""),"",IF($B418=0,--(D418=0),""))</f>
        <v/>
      </c>
      <c r="R418" s="4">
        <f>IF(D418="","",--(D418=1))</f>
        <v/>
      </c>
      <c r="S418" s="4">
        <f>IF(OR($B418="",E418=""),"",--(E418=$B418))</f>
        <v/>
      </c>
      <c r="T418" s="4">
        <f>IF(OR($B418="",E418=""),"",IF($B418=1,--(E418=1),""))</f>
        <v/>
      </c>
      <c r="U418" s="4">
        <f>IF(OR($B418="",E418=""),"",IF($B418=0,--(E418=0),""))</f>
        <v/>
      </c>
      <c r="V418" s="4">
        <f>IF(E418="","",--(E418=1))</f>
        <v/>
      </c>
      <c r="W418" s="4">
        <f>IF(OR($B418="",F418=""),"",--(F418=$B418))</f>
        <v/>
      </c>
      <c r="X418" s="4">
        <f>IF(OR($B418="",F418=""),"",IF($B418=1,--(F418=1),""))</f>
        <v/>
      </c>
      <c r="Y418" s="4">
        <f>IF(OR($B418="",F418=""),"",IF($B418=0,--(F418=0),""))</f>
        <v/>
      </c>
      <c r="Z418" s="4">
        <f>IF(F418="","",--(F418=1))</f>
        <v/>
      </c>
      <c r="AA418" s="4">
        <f>IF(OR($B418="",G418=""),"",--(G418=$B418))</f>
        <v/>
      </c>
      <c r="AB418" s="4">
        <f>IF(OR($B418="",G418=""),"",IF($B418=1,--(G418=1),""))</f>
        <v/>
      </c>
      <c r="AC418" s="4">
        <f>IF(OR($B418="",G418=""),"",IF($B418=0,--(G418=0),""))</f>
        <v/>
      </c>
      <c r="AD418" s="4">
        <f>IF(G418="","",--(G418=1))</f>
        <v/>
      </c>
      <c r="AE418" s="4">
        <f>IF(OR($B418="",H418=""),"",--(H418=$B418))</f>
        <v/>
      </c>
      <c r="AF418" s="4">
        <f>IF(OR($B418="",H418=""),"",IF($B418=1,--(H418=1),""))</f>
        <v/>
      </c>
      <c r="AG418" s="4">
        <f>IF(OR($B418="",H418=""),"",IF($B418=0,--(H418=0),""))</f>
        <v/>
      </c>
      <c r="AH418" s="4">
        <f>IF(H418="","",--(H418=1))</f>
        <v/>
      </c>
      <c r="AI418" s="4">
        <f>IF(OR($B418="",I418=""),"",--(I418=$B418))</f>
        <v/>
      </c>
      <c r="AJ418" s="4">
        <f>IF(OR($B418="",I418=""),"",IF($B418=1,--(I418=1),""))</f>
        <v/>
      </c>
      <c r="AK418" s="4">
        <f>IF(OR($B418="",I418=""),"",IF($B418=0,--(I418=0),""))</f>
        <v/>
      </c>
      <c r="AL418" s="4">
        <f>IF(I418="","",--(I418=1))</f>
        <v/>
      </c>
      <c r="AM418" s="4">
        <f>IF(OR($B418="",J418=""),"",--(J418=$B418))</f>
        <v/>
      </c>
      <c r="AN418" s="4">
        <f>IF(OR($B418="",J418=""),"",IF($B418=1,--(J418=1),""))</f>
        <v/>
      </c>
      <c r="AO418" s="4">
        <f>IF(OR($B418="",J418=""),"",IF($B418=0,--(J418=0),""))</f>
        <v/>
      </c>
      <c r="AP418" s="4">
        <f>IF(J418="","",--(J418=1))</f>
        <v/>
      </c>
      <c r="AQ418" s="4">
        <f>IF(OR($B418="",K418=""),"",--(K418=$B418))</f>
        <v/>
      </c>
      <c r="AR418" s="4">
        <f>IF(OR($B418="",K418=""),"",IF($B418=1,--(K418=1),""))</f>
        <v/>
      </c>
      <c r="AS418" s="4">
        <f>IF(OR($B418="",K418=""),"",IF($B418=0,--(K418=0),""))</f>
        <v/>
      </c>
      <c r="AT418" s="4">
        <f>IF(K418="","",--(K418=1))</f>
        <v/>
      </c>
      <c r="AU418" s="4">
        <f>IF(OR($B418="",L418=""),"",--(L418=$B418))</f>
        <v/>
      </c>
      <c r="AV418" s="4">
        <f>IF(OR($B418="",L418=""),"",IF($B418=1,--(L418=1),""))</f>
        <v/>
      </c>
      <c r="AW418" s="4">
        <f>IF(OR($B418="",L418=""),"",IF($B418=0,--(L418=0),""))</f>
        <v/>
      </c>
      <c r="AX418" s="4">
        <f>IF(L418="","",--(L418=1))</f>
        <v/>
      </c>
      <c r="AY418" s="4">
        <f>IF(OR($B418="",M418=""),"",--(M418=$B418))</f>
        <v/>
      </c>
      <c r="AZ418" s="4">
        <f>IF(OR($B418="",M418=""),"",IF($B418=1,--(M418=1),""))</f>
        <v/>
      </c>
      <c r="BA418" s="4">
        <f>IF(OR($B418="",M418=""),"",IF($B418=0,--(M418=0),""))</f>
        <v/>
      </c>
      <c r="BB418" s="4">
        <f>IF(M418="","",--(M418=1))</f>
        <v/>
      </c>
      <c r="BC418" s="4">
        <f>IF(OR($B418="",N418=""),"",--(N418=$B418))</f>
        <v/>
      </c>
      <c r="BD418" s="4">
        <f>IF(OR($B418="",N418=""),"",IF($B418=1,--(N418=1),""))</f>
        <v/>
      </c>
      <c r="BE418" s="4">
        <f>IF(OR($B418="",N418=""),"",IF($B418=0,--(N418=0),""))</f>
        <v/>
      </c>
      <c r="BF418" s="4">
        <f>IF(N418="","",--(N418=1))</f>
        <v/>
      </c>
    </row>
    <row r="419">
      <c r="A419" s="3" t="inlineStr">
        <is>
          <t>202231715</t>
        </is>
      </c>
      <c r="B419" s="3" t="inlineStr">
        <is>
          <t>0</t>
        </is>
      </c>
      <c r="C419" s="3" t="inlineStr">
        <is>
          <t>Direct</t>
        </is>
      </c>
      <c r="D419" s="3" t="inlineStr">
        <is>
          <t>0</t>
        </is>
      </c>
      <c r="E419" s="3" t="inlineStr">
        <is>
          <t>1</t>
        </is>
      </c>
      <c r="F419" s="3" t="inlineStr">
        <is>
          <t>0</t>
        </is>
      </c>
      <c r="G419" s="3" t="inlineStr">
        <is>
          <t>0</t>
        </is>
      </c>
      <c r="H419" s="3" t="inlineStr">
        <is>
          <t>0</t>
        </is>
      </c>
      <c r="I419" s="3" t="inlineStr">
        <is>
          <t>0</t>
        </is>
      </c>
      <c r="J419" s="3" t="inlineStr">
        <is>
          <t>0</t>
        </is>
      </c>
      <c r="K419" s="3" t="inlineStr">
        <is>
          <t>0</t>
        </is>
      </c>
      <c r="L419" s="3" t="inlineStr">
        <is>
          <t>0</t>
        </is>
      </c>
      <c r="M419" s="3" t="inlineStr">
        <is>
          <t>1</t>
        </is>
      </c>
      <c r="N419" s="3" t="inlineStr">
        <is>
          <t>1</t>
        </is>
      </c>
      <c r="O419" s="4">
        <f>IF(OR($B419="",D419=""),"",--(D419=$B419))</f>
        <v/>
      </c>
      <c r="P419" s="4">
        <f>IF(OR($B419="",D419=""),"",IF($B419=1,--(D419=1),""))</f>
        <v/>
      </c>
      <c r="Q419" s="4">
        <f>IF(OR($B419="",D419=""),"",IF($B419=0,--(D419=0),""))</f>
        <v/>
      </c>
      <c r="R419" s="4">
        <f>IF(D419="","",--(D419=1))</f>
        <v/>
      </c>
      <c r="S419" s="4">
        <f>IF(OR($B419="",E419=""),"",--(E419=$B419))</f>
        <v/>
      </c>
      <c r="T419" s="4">
        <f>IF(OR($B419="",E419=""),"",IF($B419=1,--(E419=1),""))</f>
        <v/>
      </c>
      <c r="U419" s="4">
        <f>IF(OR($B419="",E419=""),"",IF($B419=0,--(E419=0),""))</f>
        <v/>
      </c>
      <c r="V419" s="4">
        <f>IF(E419="","",--(E419=1))</f>
        <v/>
      </c>
      <c r="W419" s="4">
        <f>IF(OR($B419="",F419=""),"",--(F419=$B419))</f>
        <v/>
      </c>
      <c r="X419" s="4">
        <f>IF(OR($B419="",F419=""),"",IF($B419=1,--(F419=1),""))</f>
        <v/>
      </c>
      <c r="Y419" s="4">
        <f>IF(OR($B419="",F419=""),"",IF($B419=0,--(F419=0),""))</f>
        <v/>
      </c>
      <c r="Z419" s="4">
        <f>IF(F419="","",--(F419=1))</f>
        <v/>
      </c>
      <c r="AA419" s="4">
        <f>IF(OR($B419="",G419=""),"",--(G419=$B419))</f>
        <v/>
      </c>
      <c r="AB419" s="4">
        <f>IF(OR($B419="",G419=""),"",IF($B419=1,--(G419=1),""))</f>
        <v/>
      </c>
      <c r="AC419" s="4">
        <f>IF(OR($B419="",G419=""),"",IF($B419=0,--(G419=0),""))</f>
        <v/>
      </c>
      <c r="AD419" s="4">
        <f>IF(G419="","",--(G419=1))</f>
        <v/>
      </c>
      <c r="AE419" s="4">
        <f>IF(OR($B419="",H419=""),"",--(H419=$B419))</f>
        <v/>
      </c>
      <c r="AF419" s="4">
        <f>IF(OR($B419="",H419=""),"",IF($B419=1,--(H419=1),""))</f>
        <v/>
      </c>
      <c r="AG419" s="4">
        <f>IF(OR($B419="",H419=""),"",IF($B419=0,--(H419=0),""))</f>
        <v/>
      </c>
      <c r="AH419" s="4">
        <f>IF(H419="","",--(H419=1))</f>
        <v/>
      </c>
      <c r="AI419" s="4">
        <f>IF(OR($B419="",I419=""),"",--(I419=$B419))</f>
        <v/>
      </c>
      <c r="AJ419" s="4">
        <f>IF(OR($B419="",I419=""),"",IF($B419=1,--(I419=1),""))</f>
        <v/>
      </c>
      <c r="AK419" s="4">
        <f>IF(OR($B419="",I419=""),"",IF($B419=0,--(I419=0),""))</f>
        <v/>
      </c>
      <c r="AL419" s="4">
        <f>IF(I419="","",--(I419=1))</f>
        <v/>
      </c>
      <c r="AM419" s="4">
        <f>IF(OR($B419="",J419=""),"",--(J419=$B419))</f>
        <v/>
      </c>
      <c r="AN419" s="4">
        <f>IF(OR($B419="",J419=""),"",IF($B419=1,--(J419=1),""))</f>
        <v/>
      </c>
      <c r="AO419" s="4">
        <f>IF(OR($B419="",J419=""),"",IF($B419=0,--(J419=0),""))</f>
        <v/>
      </c>
      <c r="AP419" s="4">
        <f>IF(J419="","",--(J419=1))</f>
        <v/>
      </c>
      <c r="AQ419" s="4">
        <f>IF(OR($B419="",K419=""),"",--(K419=$B419))</f>
        <v/>
      </c>
      <c r="AR419" s="4">
        <f>IF(OR($B419="",K419=""),"",IF($B419=1,--(K419=1),""))</f>
        <v/>
      </c>
      <c r="AS419" s="4">
        <f>IF(OR($B419="",K419=""),"",IF($B419=0,--(K419=0),""))</f>
        <v/>
      </c>
      <c r="AT419" s="4">
        <f>IF(K419="","",--(K419=1))</f>
        <v/>
      </c>
      <c r="AU419" s="4">
        <f>IF(OR($B419="",L419=""),"",--(L419=$B419))</f>
        <v/>
      </c>
      <c r="AV419" s="4">
        <f>IF(OR($B419="",L419=""),"",IF($B419=1,--(L419=1),""))</f>
        <v/>
      </c>
      <c r="AW419" s="4">
        <f>IF(OR($B419="",L419=""),"",IF($B419=0,--(L419=0),""))</f>
        <v/>
      </c>
      <c r="AX419" s="4">
        <f>IF(L419="","",--(L419=1))</f>
        <v/>
      </c>
      <c r="AY419" s="4">
        <f>IF(OR($B419="",M419=""),"",--(M419=$B419))</f>
        <v/>
      </c>
      <c r="AZ419" s="4">
        <f>IF(OR($B419="",M419=""),"",IF($B419=1,--(M419=1),""))</f>
        <v/>
      </c>
      <c r="BA419" s="4">
        <f>IF(OR($B419="",M419=""),"",IF($B419=0,--(M419=0),""))</f>
        <v/>
      </c>
      <c r="BB419" s="4">
        <f>IF(M419="","",--(M419=1))</f>
        <v/>
      </c>
      <c r="BC419" s="4">
        <f>IF(OR($B419="",N419=""),"",--(N419=$B419))</f>
        <v/>
      </c>
      <c r="BD419" s="4">
        <f>IF(OR($B419="",N419=""),"",IF($B419=1,--(N419=1),""))</f>
        <v/>
      </c>
      <c r="BE419" s="4">
        <f>IF(OR($B419="",N419=""),"",IF($B419=0,--(N419=0),""))</f>
        <v/>
      </c>
      <c r="BF419" s="4">
        <f>IF(N419="","",--(N419=1))</f>
        <v/>
      </c>
    </row>
    <row r="420">
      <c r="A420" s="3" t="inlineStr">
        <is>
          <t>202231730</t>
        </is>
      </c>
      <c r="B420" s="3" t="inlineStr">
        <is>
          <t>1</t>
        </is>
      </c>
      <c r="C420" s="3" t="inlineStr">
        <is>
          <t>Direct</t>
        </is>
      </c>
      <c r="D420" s="3" t="inlineStr">
        <is>
          <t>1</t>
        </is>
      </c>
      <c r="E420" s="3" t="inlineStr">
        <is>
          <t>1</t>
        </is>
      </c>
      <c r="F420" s="3" t="inlineStr">
        <is>
          <t>0</t>
        </is>
      </c>
      <c r="G420" s="3" t="inlineStr">
        <is>
          <t>0</t>
        </is>
      </c>
      <c r="H420" s="3" t="inlineStr">
        <is>
          <t>0</t>
        </is>
      </c>
      <c r="I420" s="3" t="inlineStr">
        <is>
          <t>0</t>
        </is>
      </c>
      <c r="J420" s="3" t="inlineStr">
        <is>
          <t>0</t>
        </is>
      </c>
      <c r="K420" s="3" t="inlineStr">
        <is>
          <t>1</t>
        </is>
      </c>
      <c r="L420" s="3" t="inlineStr">
        <is>
          <t>1</t>
        </is>
      </c>
      <c r="M420" s="3" t="inlineStr">
        <is>
          <t>1</t>
        </is>
      </c>
      <c r="N420" s="3" t="inlineStr">
        <is>
          <t>1</t>
        </is>
      </c>
      <c r="O420" s="4">
        <f>IF(OR($B420="",D420=""),"",--(D420=$B420))</f>
        <v/>
      </c>
      <c r="P420" s="4">
        <f>IF(OR($B420="",D420=""),"",IF($B420=1,--(D420=1),""))</f>
        <v/>
      </c>
      <c r="Q420" s="4">
        <f>IF(OR($B420="",D420=""),"",IF($B420=0,--(D420=0),""))</f>
        <v/>
      </c>
      <c r="R420" s="4">
        <f>IF(D420="","",--(D420=1))</f>
        <v/>
      </c>
      <c r="S420" s="4">
        <f>IF(OR($B420="",E420=""),"",--(E420=$B420))</f>
        <v/>
      </c>
      <c r="T420" s="4">
        <f>IF(OR($B420="",E420=""),"",IF($B420=1,--(E420=1),""))</f>
        <v/>
      </c>
      <c r="U420" s="4">
        <f>IF(OR($B420="",E420=""),"",IF($B420=0,--(E420=0),""))</f>
        <v/>
      </c>
      <c r="V420" s="4">
        <f>IF(E420="","",--(E420=1))</f>
        <v/>
      </c>
      <c r="W420" s="4">
        <f>IF(OR($B420="",F420=""),"",--(F420=$B420))</f>
        <v/>
      </c>
      <c r="X420" s="4">
        <f>IF(OR($B420="",F420=""),"",IF($B420=1,--(F420=1),""))</f>
        <v/>
      </c>
      <c r="Y420" s="4">
        <f>IF(OR($B420="",F420=""),"",IF($B420=0,--(F420=0),""))</f>
        <v/>
      </c>
      <c r="Z420" s="4">
        <f>IF(F420="","",--(F420=1))</f>
        <v/>
      </c>
      <c r="AA420" s="4">
        <f>IF(OR($B420="",G420=""),"",--(G420=$B420))</f>
        <v/>
      </c>
      <c r="AB420" s="4">
        <f>IF(OR($B420="",G420=""),"",IF($B420=1,--(G420=1),""))</f>
        <v/>
      </c>
      <c r="AC420" s="4">
        <f>IF(OR($B420="",G420=""),"",IF($B420=0,--(G420=0),""))</f>
        <v/>
      </c>
      <c r="AD420" s="4">
        <f>IF(G420="","",--(G420=1))</f>
        <v/>
      </c>
      <c r="AE420" s="4">
        <f>IF(OR($B420="",H420=""),"",--(H420=$B420))</f>
        <v/>
      </c>
      <c r="AF420" s="4">
        <f>IF(OR($B420="",H420=""),"",IF($B420=1,--(H420=1),""))</f>
        <v/>
      </c>
      <c r="AG420" s="4">
        <f>IF(OR($B420="",H420=""),"",IF($B420=0,--(H420=0),""))</f>
        <v/>
      </c>
      <c r="AH420" s="4">
        <f>IF(H420="","",--(H420=1))</f>
        <v/>
      </c>
      <c r="AI420" s="4">
        <f>IF(OR($B420="",I420=""),"",--(I420=$B420))</f>
        <v/>
      </c>
      <c r="AJ420" s="4">
        <f>IF(OR($B420="",I420=""),"",IF($B420=1,--(I420=1),""))</f>
        <v/>
      </c>
      <c r="AK420" s="4">
        <f>IF(OR($B420="",I420=""),"",IF($B420=0,--(I420=0),""))</f>
        <v/>
      </c>
      <c r="AL420" s="4">
        <f>IF(I420="","",--(I420=1))</f>
        <v/>
      </c>
      <c r="AM420" s="4">
        <f>IF(OR($B420="",J420=""),"",--(J420=$B420))</f>
        <v/>
      </c>
      <c r="AN420" s="4">
        <f>IF(OR($B420="",J420=""),"",IF($B420=1,--(J420=1),""))</f>
        <v/>
      </c>
      <c r="AO420" s="4">
        <f>IF(OR($B420="",J420=""),"",IF($B420=0,--(J420=0),""))</f>
        <v/>
      </c>
      <c r="AP420" s="4">
        <f>IF(J420="","",--(J420=1))</f>
        <v/>
      </c>
      <c r="AQ420" s="4">
        <f>IF(OR($B420="",K420=""),"",--(K420=$B420))</f>
        <v/>
      </c>
      <c r="AR420" s="4">
        <f>IF(OR($B420="",K420=""),"",IF($B420=1,--(K420=1),""))</f>
        <v/>
      </c>
      <c r="AS420" s="4">
        <f>IF(OR($B420="",K420=""),"",IF($B420=0,--(K420=0),""))</f>
        <v/>
      </c>
      <c r="AT420" s="4">
        <f>IF(K420="","",--(K420=1))</f>
        <v/>
      </c>
      <c r="AU420" s="4">
        <f>IF(OR($B420="",L420=""),"",--(L420=$B420))</f>
        <v/>
      </c>
      <c r="AV420" s="4">
        <f>IF(OR($B420="",L420=""),"",IF($B420=1,--(L420=1),""))</f>
        <v/>
      </c>
      <c r="AW420" s="4">
        <f>IF(OR($B420="",L420=""),"",IF($B420=0,--(L420=0),""))</f>
        <v/>
      </c>
      <c r="AX420" s="4">
        <f>IF(L420="","",--(L420=1))</f>
        <v/>
      </c>
      <c r="AY420" s="4">
        <f>IF(OR($B420="",M420=""),"",--(M420=$B420))</f>
        <v/>
      </c>
      <c r="AZ420" s="4">
        <f>IF(OR($B420="",M420=""),"",IF($B420=1,--(M420=1),""))</f>
        <v/>
      </c>
      <c r="BA420" s="4">
        <f>IF(OR($B420="",M420=""),"",IF($B420=0,--(M420=0),""))</f>
        <v/>
      </c>
      <c r="BB420" s="4">
        <f>IF(M420="","",--(M420=1))</f>
        <v/>
      </c>
      <c r="BC420" s="4">
        <f>IF(OR($B420="",N420=""),"",--(N420=$B420))</f>
        <v/>
      </c>
      <c r="BD420" s="4">
        <f>IF(OR($B420="",N420=""),"",IF($B420=1,--(N420=1),""))</f>
        <v/>
      </c>
      <c r="BE420" s="4">
        <f>IF(OR($B420="",N420=""),"",IF($B420=0,--(N420=0),""))</f>
        <v/>
      </c>
      <c r="BF420" s="4">
        <f>IF(N420="","",--(N420=1))</f>
        <v/>
      </c>
    </row>
    <row r="421">
      <c r="A421" s="3" t="inlineStr">
        <is>
          <t>202231895</t>
        </is>
      </c>
      <c r="B421" s="3" t="inlineStr">
        <is>
          <t>0</t>
        </is>
      </c>
      <c r="C421" s="3" t="inlineStr">
        <is>
          <t>Direct</t>
        </is>
      </c>
      <c r="D421" s="3" t="inlineStr">
        <is>
          <t>0</t>
        </is>
      </c>
      <c r="E421" s="3" t="inlineStr">
        <is>
          <t>1</t>
        </is>
      </c>
      <c r="F421" s="3" t="inlineStr">
        <is>
          <t>0</t>
        </is>
      </c>
      <c r="G421" s="3" t="inlineStr">
        <is>
          <t>1</t>
        </is>
      </c>
      <c r="H421" s="3" t="inlineStr">
        <is>
          <t>0</t>
        </is>
      </c>
      <c r="I421" s="3" t="inlineStr">
        <is>
          <t>1</t>
        </is>
      </c>
      <c r="J421" s="3" t="inlineStr">
        <is>
          <t>1</t>
        </is>
      </c>
      <c r="K421" s="3" t="inlineStr">
        <is>
          <t>1</t>
        </is>
      </c>
      <c r="L421" s="3" t="inlineStr">
        <is>
          <t>0</t>
        </is>
      </c>
      <c r="M421" s="3" t="inlineStr">
        <is>
          <t>1</t>
        </is>
      </c>
      <c r="N421" s="3" t="inlineStr">
        <is>
          <t>0</t>
        </is>
      </c>
      <c r="O421" s="4">
        <f>IF(OR($B421="",D421=""),"",--(D421=$B421))</f>
        <v/>
      </c>
      <c r="P421" s="4">
        <f>IF(OR($B421="",D421=""),"",IF($B421=1,--(D421=1),""))</f>
        <v/>
      </c>
      <c r="Q421" s="4">
        <f>IF(OR($B421="",D421=""),"",IF($B421=0,--(D421=0),""))</f>
        <v/>
      </c>
      <c r="R421" s="4">
        <f>IF(D421="","",--(D421=1))</f>
        <v/>
      </c>
      <c r="S421" s="4">
        <f>IF(OR($B421="",E421=""),"",--(E421=$B421))</f>
        <v/>
      </c>
      <c r="T421" s="4">
        <f>IF(OR($B421="",E421=""),"",IF($B421=1,--(E421=1),""))</f>
        <v/>
      </c>
      <c r="U421" s="4">
        <f>IF(OR($B421="",E421=""),"",IF($B421=0,--(E421=0),""))</f>
        <v/>
      </c>
      <c r="V421" s="4">
        <f>IF(E421="","",--(E421=1))</f>
        <v/>
      </c>
      <c r="W421" s="4">
        <f>IF(OR($B421="",F421=""),"",--(F421=$B421))</f>
        <v/>
      </c>
      <c r="X421" s="4">
        <f>IF(OR($B421="",F421=""),"",IF($B421=1,--(F421=1),""))</f>
        <v/>
      </c>
      <c r="Y421" s="4">
        <f>IF(OR($B421="",F421=""),"",IF($B421=0,--(F421=0),""))</f>
        <v/>
      </c>
      <c r="Z421" s="4">
        <f>IF(F421="","",--(F421=1))</f>
        <v/>
      </c>
      <c r="AA421" s="4">
        <f>IF(OR($B421="",G421=""),"",--(G421=$B421))</f>
        <v/>
      </c>
      <c r="AB421" s="4">
        <f>IF(OR($B421="",G421=""),"",IF($B421=1,--(G421=1),""))</f>
        <v/>
      </c>
      <c r="AC421" s="4">
        <f>IF(OR($B421="",G421=""),"",IF($B421=0,--(G421=0),""))</f>
        <v/>
      </c>
      <c r="AD421" s="4">
        <f>IF(G421="","",--(G421=1))</f>
        <v/>
      </c>
      <c r="AE421" s="4">
        <f>IF(OR($B421="",H421=""),"",--(H421=$B421))</f>
        <v/>
      </c>
      <c r="AF421" s="4">
        <f>IF(OR($B421="",H421=""),"",IF($B421=1,--(H421=1),""))</f>
        <v/>
      </c>
      <c r="AG421" s="4">
        <f>IF(OR($B421="",H421=""),"",IF($B421=0,--(H421=0),""))</f>
        <v/>
      </c>
      <c r="AH421" s="4">
        <f>IF(H421="","",--(H421=1))</f>
        <v/>
      </c>
      <c r="AI421" s="4">
        <f>IF(OR($B421="",I421=""),"",--(I421=$B421))</f>
        <v/>
      </c>
      <c r="AJ421" s="4">
        <f>IF(OR($B421="",I421=""),"",IF($B421=1,--(I421=1),""))</f>
        <v/>
      </c>
      <c r="AK421" s="4">
        <f>IF(OR($B421="",I421=""),"",IF($B421=0,--(I421=0),""))</f>
        <v/>
      </c>
      <c r="AL421" s="4">
        <f>IF(I421="","",--(I421=1))</f>
        <v/>
      </c>
      <c r="AM421" s="4">
        <f>IF(OR($B421="",J421=""),"",--(J421=$B421))</f>
        <v/>
      </c>
      <c r="AN421" s="4">
        <f>IF(OR($B421="",J421=""),"",IF($B421=1,--(J421=1),""))</f>
        <v/>
      </c>
      <c r="AO421" s="4">
        <f>IF(OR($B421="",J421=""),"",IF($B421=0,--(J421=0),""))</f>
        <v/>
      </c>
      <c r="AP421" s="4">
        <f>IF(J421="","",--(J421=1))</f>
        <v/>
      </c>
      <c r="AQ421" s="4">
        <f>IF(OR($B421="",K421=""),"",--(K421=$B421))</f>
        <v/>
      </c>
      <c r="AR421" s="4">
        <f>IF(OR($B421="",K421=""),"",IF($B421=1,--(K421=1),""))</f>
        <v/>
      </c>
      <c r="AS421" s="4">
        <f>IF(OR($B421="",K421=""),"",IF($B421=0,--(K421=0),""))</f>
        <v/>
      </c>
      <c r="AT421" s="4">
        <f>IF(K421="","",--(K421=1))</f>
        <v/>
      </c>
      <c r="AU421" s="4">
        <f>IF(OR($B421="",L421=""),"",--(L421=$B421))</f>
        <v/>
      </c>
      <c r="AV421" s="4">
        <f>IF(OR($B421="",L421=""),"",IF($B421=1,--(L421=1),""))</f>
        <v/>
      </c>
      <c r="AW421" s="4">
        <f>IF(OR($B421="",L421=""),"",IF($B421=0,--(L421=0),""))</f>
        <v/>
      </c>
      <c r="AX421" s="4">
        <f>IF(L421="","",--(L421=1))</f>
        <v/>
      </c>
      <c r="AY421" s="4">
        <f>IF(OR($B421="",M421=""),"",--(M421=$B421))</f>
        <v/>
      </c>
      <c r="AZ421" s="4">
        <f>IF(OR($B421="",M421=""),"",IF($B421=1,--(M421=1),""))</f>
        <v/>
      </c>
      <c r="BA421" s="4">
        <f>IF(OR($B421="",M421=""),"",IF($B421=0,--(M421=0),""))</f>
        <v/>
      </c>
      <c r="BB421" s="4">
        <f>IF(M421="","",--(M421=1))</f>
        <v/>
      </c>
      <c r="BC421" s="4">
        <f>IF(OR($B421="",N421=""),"",--(N421=$B421))</f>
        <v/>
      </c>
      <c r="BD421" s="4">
        <f>IF(OR($B421="",N421=""),"",IF($B421=1,--(N421=1),""))</f>
        <v/>
      </c>
      <c r="BE421" s="4">
        <f>IF(OR($B421="",N421=""),"",IF($B421=0,--(N421=0),""))</f>
        <v/>
      </c>
      <c r="BF421" s="4">
        <f>IF(N421="","",--(N421=1))</f>
        <v/>
      </c>
    </row>
    <row r="422">
      <c r="A422" s="3" t="inlineStr">
        <is>
          <t>202236179</t>
        </is>
      </c>
      <c r="B422" s="3" t="inlineStr">
        <is>
          <t>0</t>
        </is>
      </c>
      <c r="C422" s="3" t="inlineStr">
        <is>
          <t>Direct</t>
        </is>
      </c>
      <c r="D422" s="3" t="inlineStr">
        <is>
          <t>0</t>
        </is>
      </c>
      <c r="E422" s="3" t="inlineStr">
        <is>
          <t>1</t>
        </is>
      </c>
      <c r="F422" s="3" t="inlineStr">
        <is>
          <t>0</t>
        </is>
      </c>
      <c r="G422" s="3" t="inlineStr">
        <is>
          <t>0</t>
        </is>
      </c>
      <c r="H422" s="3" t="inlineStr">
        <is>
          <t>0</t>
        </is>
      </c>
      <c r="I422" s="3" t="inlineStr">
        <is>
          <t>0</t>
        </is>
      </c>
      <c r="J422" s="3" t="inlineStr">
        <is>
          <t>0</t>
        </is>
      </c>
      <c r="K422" s="3" t="inlineStr">
        <is>
          <t>0</t>
        </is>
      </c>
      <c r="L422" s="3" t="inlineStr">
        <is>
          <t>0</t>
        </is>
      </c>
      <c r="M422" s="3" t="inlineStr">
        <is>
          <t>0</t>
        </is>
      </c>
      <c r="N422" s="3" t="inlineStr">
        <is>
          <t>0</t>
        </is>
      </c>
      <c r="O422" s="4">
        <f>IF(OR($B422="",D422=""),"",--(D422=$B422))</f>
        <v/>
      </c>
      <c r="P422" s="4">
        <f>IF(OR($B422="",D422=""),"",IF($B422=1,--(D422=1),""))</f>
        <v/>
      </c>
      <c r="Q422" s="4">
        <f>IF(OR($B422="",D422=""),"",IF($B422=0,--(D422=0),""))</f>
        <v/>
      </c>
      <c r="R422" s="4">
        <f>IF(D422="","",--(D422=1))</f>
        <v/>
      </c>
      <c r="S422" s="4">
        <f>IF(OR($B422="",E422=""),"",--(E422=$B422))</f>
        <v/>
      </c>
      <c r="T422" s="4">
        <f>IF(OR($B422="",E422=""),"",IF($B422=1,--(E422=1),""))</f>
        <v/>
      </c>
      <c r="U422" s="4">
        <f>IF(OR($B422="",E422=""),"",IF($B422=0,--(E422=0),""))</f>
        <v/>
      </c>
      <c r="V422" s="4">
        <f>IF(E422="","",--(E422=1))</f>
        <v/>
      </c>
      <c r="W422" s="4">
        <f>IF(OR($B422="",F422=""),"",--(F422=$B422))</f>
        <v/>
      </c>
      <c r="X422" s="4">
        <f>IF(OR($B422="",F422=""),"",IF($B422=1,--(F422=1),""))</f>
        <v/>
      </c>
      <c r="Y422" s="4">
        <f>IF(OR($B422="",F422=""),"",IF($B422=0,--(F422=0),""))</f>
        <v/>
      </c>
      <c r="Z422" s="4">
        <f>IF(F422="","",--(F422=1))</f>
        <v/>
      </c>
      <c r="AA422" s="4">
        <f>IF(OR($B422="",G422=""),"",--(G422=$B422))</f>
        <v/>
      </c>
      <c r="AB422" s="4">
        <f>IF(OR($B422="",G422=""),"",IF($B422=1,--(G422=1),""))</f>
        <v/>
      </c>
      <c r="AC422" s="4">
        <f>IF(OR($B422="",G422=""),"",IF($B422=0,--(G422=0),""))</f>
        <v/>
      </c>
      <c r="AD422" s="4">
        <f>IF(G422="","",--(G422=1))</f>
        <v/>
      </c>
      <c r="AE422" s="4">
        <f>IF(OR($B422="",H422=""),"",--(H422=$B422))</f>
        <v/>
      </c>
      <c r="AF422" s="4">
        <f>IF(OR($B422="",H422=""),"",IF($B422=1,--(H422=1),""))</f>
        <v/>
      </c>
      <c r="AG422" s="4">
        <f>IF(OR($B422="",H422=""),"",IF($B422=0,--(H422=0),""))</f>
        <v/>
      </c>
      <c r="AH422" s="4">
        <f>IF(H422="","",--(H422=1))</f>
        <v/>
      </c>
      <c r="AI422" s="4">
        <f>IF(OR($B422="",I422=""),"",--(I422=$B422))</f>
        <v/>
      </c>
      <c r="AJ422" s="4">
        <f>IF(OR($B422="",I422=""),"",IF($B422=1,--(I422=1),""))</f>
        <v/>
      </c>
      <c r="AK422" s="4">
        <f>IF(OR($B422="",I422=""),"",IF($B422=0,--(I422=0),""))</f>
        <v/>
      </c>
      <c r="AL422" s="4">
        <f>IF(I422="","",--(I422=1))</f>
        <v/>
      </c>
      <c r="AM422" s="4">
        <f>IF(OR($B422="",J422=""),"",--(J422=$B422))</f>
        <v/>
      </c>
      <c r="AN422" s="4">
        <f>IF(OR($B422="",J422=""),"",IF($B422=1,--(J422=1),""))</f>
        <v/>
      </c>
      <c r="AO422" s="4">
        <f>IF(OR($B422="",J422=""),"",IF($B422=0,--(J422=0),""))</f>
        <v/>
      </c>
      <c r="AP422" s="4">
        <f>IF(J422="","",--(J422=1))</f>
        <v/>
      </c>
      <c r="AQ422" s="4">
        <f>IF(OR($B422="",K422=""),"",--(K422=$B422))</f>
        <v/>
      </c>
      <c r="AR422" s="4">
        <f>IF(OR($B422="",K422=""),"",IF($B422=1,--(K422=1),""))</f>
        <v/>
      </c>
      <c r="AS422" s="4">
        <f>IF(OR($B422="",K422=""),"",IF($B422=0,--(K422=0),""))</f>
        <v/>
      </c>
      <c r="AT422" s="4">
        <f>IF(K422="","",--(K422=1))</f>
        <v/>
      </c>
      <c r="AU422" s="4">
        <f>IF(OR($B422="",L422=""),"",--(L422=$B422))</f>
        <v/>
      </c>
      <c r="AV422" s="4">
        <f>IF(OR($B422="",L422=""),"",IF($B422=1,--(L422=1),""))</f>
        <v/>
      </c>
      <c r="AW422" s="4">
        <f>IF(OR($B422="",L422=""),"",IF($B422=0,--(L422=0),""))</f>
        <v/>
      </c>
      <c r="AX422" s="4">
        <f>IF(L422="","",--(L422=1))</f>
        <v/>
      </c>
      <c r="AY422" s="4">
        <f>IF(OR($B422="",M422=""),"",--(M422=$B422))</f>
        <v/>
      </c>
      <c r="AZ422" s="4">
        <f>IF(OR($B422="",M422=""),"",IF($B422=1,--(M422=1),""))</f>
        <v/>
      </c>
      <c r="BA422" s="4">
        <f>IF(OR($B422="",M422=""),"",IF($B422=0,--(M422=0),""))</f>
        <v/>
      </c>
      <c r="BB422" s="4">
        <f>IF(M422="","",--(M422=1))</f>
        <v/>
      </c>
      <c r="BC422" s="4">
        <f>IF(OR($B422="",N422=""),"",--(N422=$B422))</f>
        <v/>
      </c>
      <c r="BD422" s="4">
        <f>IF(OR($B422="",N422=""),"",IF($B422=1,--(N422=1),""))</f>
        <v/>
      </c>
      <c r="BE422" s="4">
        <f>IF(OR($B422="",N422=""),"",IF($B422=0,--(N422=0),""))</f>
        <v/>
      </c>
      <c r="BF422" s="4">
        <f>IF(N422="","",--(N422=1))</f>
        <v/>
      </c>
    </row>
    <row r="423">
      <c r="A423" s="3" t="inlineStr">
        <is>
          <t>202236277</t>
        </is>
      </c>
      <c r="B423" s="3" t="inlineStr">
        <is>
          <t>1</t>
        </is>
      </c>
      <c r="C423" s="3" t="inlineStr">
        <is>
          <t>Direct</t>
        </is>
      </c>
      <c r="D423" s="3" t="inlineStr">
        <is>
          <t>1</t>
        </is>
      </c>
      <c r="E423" s="3" t="inlineStr">
        <is>
          <t>1</t>
        </is>
      </c>
      <c r="F423" s="3" t="inlineStr">
        <is>
          <t>0</t>
        </is>
      </c>
      <c r="G423" s="3" t="inlineStr">
        <is>
          <t>0</t>
        </is>
      </c>
      <c r="H423" s="3" t="inlineStr">
        <is>
          <t>1</t>
        </is>
      </c>
      <c r="I423" s="3" t="inlineStr">
        <is>
          <t>1</t>
        </is>
      </c>
      <c r="J423" s="3" t="inlineStr">
        <is>
          <t>0</t>
        </is>
      </c>
      <c r="K423" s="3" t="inlineStr">
        <is>
          <t>1</t>
        </is>
      </c>
      <c r="L423" s="3" t="inlineStr">
        <is>
          <t>1</t>
        </is>
      </c>
      <c r="M423" s="3" t="inlineStr">
        <is>
          <t>1</t>
        </is>
      </c>
      <c r="N423" s="3" t="inlineStr">
        <is>
          <t>1</t>
        </is>
      </c>
      <c r="O423" s="4">
        <f>IF(OR($B423="",D423=""),"",--(D423=$B423))</f>
        <v/>
      </c>
      <c r="P423" s="4">
        <f>IF(OR($B423="",D423=""),"",IF($B423=1,--(D423=1),""))</f>
        <v/>
      </c>
      <c r="Q423" s="4">
        <f>IF(OR($B423="",D423=""),"",IF($B423=0,--(D423=0),""))</f>
        <v/>
      </c>
      <c r="R423" s="4">
        <f>IF(D423="","",--(D423=1))</f>
        <v/>
      </c>
      <c r="S423" s="4">
        <f>IF(OR($B423="",E423=""),"",--(E423=$B423))</f>
        <v/>
      </c>
      <c r="T423" s="4">
        <f>IF(OR($B423="",E423=""),"",IF($B423=1,--(E423=1),""))</f>
        <v/>
      </c>
      <c r="U423" s="4">
        <f>IF(OR($B423="",E423=""),"",IF($B423=0,--(E423=0),""))</f>
        <v/>
      </c>
      <c r="V423" s="4">
        <f>IF(E423="","",--(E423=1))</f>
        <v/>
      </c>
      <c r="W423" s="4">
        <f>IF(OR($B423="",F423=""),"",--(F423=$B423))</f>
        <v/>
      </c>
      <c r="X423" s="4">
        <f>IF(OR($B423="",F423=""),"",IF($B423=1,--(F423=1),""))</f>
        <v/>
      </c>
      <c r="Y423" s="4">
        <f>IF(OR($B423="",F423=""),"",IF($B423=0,--(F423=0),""))</f>
        <v/>
      </c>
      <c r="Z423" s="4">
        <f>IF(F423="","",--(F423=1))</f>
        <v/>
      </c>
      <c r="AA423" s="4">
        <f>IF(OR($B423="",G423=""),"",--(G423=$B423))</f>
        <v/>
      </c>
      <c r="AB423" s="4">
        <f>IF(OR($B423="",G423=""),"",IF($B423=1,--(G423=1),""))</f>
        <v/>
      </c>
      <c r="AC423" s="4">
        <f>IF(OR($B423="",G423=""),"",IF($B423=0,--(G423=0),""))</f>
        <v/>
      </c>
      <c r="AD423" s="4">
        <f>IF(G423="","",--(G423=1))</f>
        <v/>
      </c>
      <c r="AE423" s="4">
        <f>IF(OR($B423="",H423=""),"",--(H423=$B423))</f>
        <v/>
      </c>
      <c r="AF423" s="4">
        <f>IF(OR($B423="",H423=""),"",IF($B423=1,--(H423=1),""))</f>
        <v/>
      </c>
      <c r="AG423" s="4">
        <f>IF(OR($B423="",H423=""),"",IF($B423=0,--(H423=0),""))</f>
        <v/>
      </c>
      <c r="AH423" s="4">
        <f>IF(H423="","",--(H423=1))</f>
        <v/>
      </c>
      <c r="AI423" s="4">
        <f>IF(OR($B423="",I423=""),"",--(I423=$B423))</f>
        <v/>
      </c>
      <c r="AJ423" s="4">
        <f>IF(OR($B423="",I423=""),"",IF($B423=1,--(I423=1),""))</f>
        <v/>
      </c>
      <c r="AK423" s="4">
        <f>IF(OR($B423="",I423=""),"",IF($B423=0,--(I423=0),""))</f>
        <v/>
      </c>
      <c r="AL423" s="4">
        <f>IF(I423="","",--(I423=1))</f>
        <v/>
      </c>
      <c r="AM423" s="4">
        <f>IF(OR($B423="",J423=""),"",--(J423=$B423))</f>
        <v/>
      </c>
      <c r="AN423" s="4">
        <f>IF(OR($B423="",J423=""),"",IF($B423=1,--(J423=1),""))</f>
        <v/>
      </c>
      <c r="AO423" s="4">
        <f>IF(OR($B423="",J423=""),"",IF($B423=0,--(J423=0),""))</f>
        <v/>
      </c>
      <c r="AP423" s="4">
        <f>IF(J423="","",--(J423=1))</f>
        <v/>
      </c>
      <c r="AQ423" s="4">
        <f>IF(OR($B423="",K423=""),"",--(K423=$B423))</f>
        <v/>
      </c>
      <c r="AR423" s="4">
        <f>IF(OR($B423="",K423=""),"",IF($B423=1,--(K423=1),""))</f>
        <v/>
      </c>
      <c r="AS423" s="4">
        <f>IF(OR($B423="",K423=""),"",IF($B423=0,--(K423=0),""))</f>
        <v/>
      </c>
      <c r="AT423" s="4">
        <f>IF(K423="","",--(K423=1))</f>
        <v/>
      </c>
      <c r="AU423" s="4">
        <f>IF(OR($B423="",L423=""),"",--(L423=$B423))</f>
        <v/>
      </c>
      <c r="AV423" s="4">
        <f>IF(OR($B423="",L423=""),"",IF($B423=1,--(L423=1),""))</f>
        <v/>
      </c>
      <c r="AW423" s="4">
        <f>IF(OR($B423="",L423=""),"",IF($B423=0,--(L423=0),""))</f>
        <v/>
      </c>
      <c r="AX423" s="4">
        <f>IF(L423="","",--(L423=1))</f>
        <v/>
      </c>
      <c r="AY423" s="4">
        <f>IF(OR($B423="",M423=""),"",--(M423=$B423))</f>
        <v/>
      </c>
      <c r="AZ423" s="4">
        <f>IF(OR($B423="",M423=""),"",IF($B423=1,--(M423=1),""))</f>
        <v/>
      </c>
      <c r="BA423" s="4">
        <f>IF(OR($B423="",M423=""),"",IF($B423=0,--(M423=0),""))</f>
        <v/>
      </c>
      <c r="BB423" s="4">
        <f>IF(M423="","",--(M423=1))</f>
        <v/>
      </c>
      <c r="BC423" s="4">
        <f>IF(OR($B423="",N423=""),"",--(N423=$B423))</f>
        <v/>
      </c>
      <c r="BD423" s="4">
        <f>IF(OR($B423="",N423=""),"",IF($B423=1,--(N423=1),""))</f>
        <v/>
      </c>
      <c r="BE423" s="4">
        <f>IF(OR($B423="",N423=""),"",IF($B423=0,--(N423=0),""))</f>
        <v/>
      </c>
      <c r="BF423" s="4">
        <f>IF(N423="","",--(N423=1))</f>
        <v/>
      </c>
    </row>
    <row r="424">
      <c r="A424" s="3" t="inlineStr">
        <is>
          <t>202236423</t>
        </is>
      </c>
      <c r="B424" s="3" t="inlineStr">
        <is>
          <t>0</t>
        </is>
      </c>
      <c r="C424" s="3" t="inlineStr">
        <is>
          <t>Direct</t>
        </is>
      </c>
      <c r="D424" s="3" t="inlineStr">
        <is>
          <t>0</t>
        </is>
      </c>
      <c r="E424" s="3" t="inlineStr">
        <is>
          <t>0</t>
        </is>
      </c>
      <c r="F424" s="3" t="inlineStr">
        <is>
          <t>0</t>
        </is>
      </c>
      <c r="G424" s="3" t="inlineStr">
        <is>
          <t>0</t>
        </is>
      </c>
      <c r="H424" s="3" t="inlineStr">
        <is>
          <t>0</t>
        </is>
      </c>
      <c r="I424" s="3" t="inlineStr">
        <is>
          <t>0</t>
        </is>
      </c>
      <c r="J424" s="3" t="inlineStr">
        <is>
          <t>0</t>
        </is>
      </c>
      <c r="K424" s="3" t="inlineStr">
        <is>
          <t>1</t>
        </is>
      </c>
      <c r="L424" s="3" t="inlineStr">
        <is>
          <t>0</t>
        </is>
      </c>
      <c r="M424" s="3" t="inlineStr">
        <is>
          <t>0</t>
        </is>
      </c>
      <c r="N424" s="3" t="inlineStr">
        <is>
          <t>1</t>
        </is>
      </c>
      <c r="O424" s="4">
        <f>IF(OR($B424="",D424=""),"",--(D424=$B424))</f>
        <v/>
      </c>
      <c r="P424" s="4">
        <f>IF(OR($B424="",D424=""),"",IF($B424=1,--(D424=1),""))</f>
        <v/>
      </c>
      <c r="Q424" s="4">
        <f>IF(OR($B424="",D424=""),"",IF($B424=0,--(D424=0),""))</f>
        <v/>
      </c>
      <c r="R424" s="4">
        <f>IF(D424="","",--(D424=1))</f>
        <v/>
      </c>
      <c r="S424" s="4">
        <f>IF(OR($B424="",E424=""),"",--(E424=$B424))</f>
        <v/>
      </c>
      <c r="T424" s="4">
        <f>IF(OR($B424="",E424=""),"",IF($B424=1,--(E424=1),""))</f>
        <v/>
      </c>
      <c r="U424" s="4">
        <f>IF(OR($B424="",E424=""),"",IF($B424=0,--(E424=0),""))</f>
        <v/>
      </c>
      <c r="V424" s="4">
        <f>IF(E424="","",--(E424=1))</f>
        <v/>
      </c>
      <c r="W424" s="4">
        <f>IF(OR($B424="",F424=""),"",--(F424=$B424))</f>
        <v/>
      </c>
      <c r="X424" s="4">
        <f>IF(OR($B424="",F424=""),"",IF($B424=1,--(F424=1),""))</f>
        <v/>
      </c>
      <c r="Y424" s="4">
        <f>IF(OR($B424="",F424=""),"",IF($B424=0,--(F424=0),""))</f>
        <v/>
      </c>
      <c r="Z424" s="4">
        <f>IF(F424="","",--(F424=1))</f>
        <v/>
      </c>
      <c r="AA424" s="4">
        <f>IF(OR($B424="",G424=""),"",--(G424=$B424))</f>
        <v/>
      </c>
      <c r="AB424" s="4">
        <f>IF(OR($B424="",G424=""),"",IF($B424=1,--(G424=1),""))</f>
        <v/>
      </c>
      <c r="AC424" s="4">
        <f>IF(OR($B424="",G424=""),"",IF($B424=0,--(G424=0),""))</f>
        <v/>
      </c>
      <c r="AD424" s="4">
        <f>IF(G424="","",--(G424=1))</f>
        <v/>
      </c>
      <c r="AE424" s="4">
        <f>IF(OR($B424="",H424=""),"",--(H424=$B424))</f>
        <v/>
      </c>
      <c r="AF424" s="4">
        <f>IF(OR($B424="",H424=""),"",IF($B424=1,--(H424=1),""))</f>
        <v/>
      </c>
      <c r="AG424" s="4">
        <f>IF(OR($B424="",H424=""),"",IF($B424=0,--(H424=0),""))</f>
        <v/>
      </c>
      <c r="AH424" s="4">
        <f>IF(H424="","",--(H424=1))</f>
        <v/>
      </c>
      <c r="AI424" s="4">
        <f>IF(OR($B424="",I424=""),"",--(I424=$B424))</f>
        <v/>
      </c>
      <c r="AJ424" s="4">
        <f>IF(OR($B424="",I424=""),"",IF($B424=1,--(I424=1),""))</f>
        <v/>
      </c>
      <c r="AK424" s="4">
        <f>IF(OR($B424="",I424=""),"",IF($B424=0,--(I424=0),""))</f>
        <v/>
      </c>
      <c r="AL424" s="4">
        <f>IF(I424="","",--(I424=1))</f>
        <v/>
      </c>
      <c r="AM424" s="4">
        <f>IF(OR($B424="",J424=""),"",--(J424=$B424))</f>
        <v/>
      </c>
      <c r="AN424" s="4">
        <f>IF(OR($B424="",J424=""),"",IF($B424=1,--(J424=1),""))</f>
        <v/>
      </c>
      <c r="AO424" s="4">
        <f>IF(OR($B424="",J424=""),"",IF($B424=0,--(J424=0),""))</f>
        <v/>
      </c>
      <c r="AP424" s="4">
        <f>IF(J424="","",--(J424=1))</f>
        <v/>
      </c>
      <c r="AQ424" s="4">
        <f>IF(OR($B424="",K424=""),"",--(K424=$B424))</f>
        <v/>
      </c>
      <c r="AR424" s="4">
        <f>IF(OR($B424="",K424=""),"",IF($B424=1,--(K424=1),""))</f>
        <v/>
      </c>
      <c r="AS424" s="4">
        <f>IF(OR($B424="",K424=""),"",IF($B424=0,--(K424=0),""))</f>
        <v/>
      </c>
      <c r="AT424" s="4">
        <f>IF(K424="","",--(K424=1))</f>
        <v/>
      </c>
      <c r="AU424" s="4">
        <f>IF(OR($B424="",L424=""),"",--(L424=$B424))</f>
        <v/>
      </c>
      <c r="AV424" s="4">
        <f>IF(OR($B424="",L424=""),"",IF($B424=1,--(L424=1),""))</f>
        <v/>
      </c>
      <c r="AW424" s="4">
        <f>IF(OR($B424="",L424=""),"",IF($B424=0,--(L424=0),""))</f>
        <v/>
      </c>
      <c r="AX424" s="4">
        <f>IF(L424="","",--(L424=1))</f>
        <v/>
      </c>
      <c r="AY424" s="4">
        <f>IF(OR($B424="",M424=""),"",--(M424=$B424))</f>
        <v/>
      </c>
      <c r="AZ424" s="4">
        <f>IF(OR($B424="",M424=""),"",IF($B424=1,--(M424=1),""))</f>
        <v/>
      </c>
      <c r="BA424" s="4">
        <f>IF(OR($B424="",M424=""),"",IF($B424=0,--(M424=0),""))</f>
        <v/>
      </c>
      <c r="BB424" s="4">
        <f>IF(M424="","",--(M424=1))</f>
        <v/>
      </c>
      <c r="BC424" s="4">
        <f>IF(OR($B424="",N424=""),"",--(N424=$B424))</f>
        <v/>
      </c>
      <c r="BD424" s="4">
        <f>IF(OR($B424="",N424=""),"",IF($B424=1,--(N424=1),""))</f>
        <v/>
      </c>
      <c r="BE424" s="4">
        <f>IF(OR($B424="",N424=""),"",IF($B424=0,--(N424=0),""))</f>
        <v/>
      </c>
      <c r="BF424" s="4">
        <f>IF(N424="","",--(N424=1))</f>
        <v/>
      </c>
    </row>
    <row r="425">
      <c r="A425" s="3" t="inlineStr">
        <is>
          <t>202236982</t>
        </is>
      </c>
      <c r="B425" s="3" t="inlineStr">
        <is>
          <t>1</t>
        </is>
      </c>
      <c r="C425" s="3" t="inlineStr">
        <is>
          <t>Direct</t>
        </is>
      </c>
      <c r="D425" s="3" t="inlineStr">
        <is>
          <t>1</t>
        </is>
      </c>
      <c r="E425" s="3" t="inlineStr">
        <is>
          <t>0</t>
        </is>
      </c>
      <c r="F425" s="3" t="inlineStr">
        <is>
          <t>0</t>
        </is>
      </c>
      <c r="G425" s="3" t="inlineStr">
        <is>
          <t>0</t>
        </is>
      </c>
      <c r="H425" s="3" t="inlineStr">
        <is>
          <t>1</t>
        </is>
      </c>
      <c r="I425" s="3" t="inlineStr">
        <is>
          <t>1</t>
        </is>
      </c>
      <c r="J425" s="3" t="inlineStr">
        <is>
          <t>1</t>
        </is>
      </c>
      <c r="K425" s="3" t="inlineStr">
        <is>
          <t>1</t>
        </is>
      </c>
      <c r="L425" s="3" t="inlineStr">
        <is>
          <t>1</t>
        </is>
      </c>
      <c r="M425" s="3" t="inlineStr">
        <is>
          <t>1</t>
        </is>
      </c>
      <c r="N425" s="3" t="inlineStr">
        <is>
          <t>1</t>
        </is>
      </c>
      <c r="O425" s="4">
        <f>IF(OR($B425="",D425=""),"",--(D425=$B425))</f>
        <v/>
      </c>
      <c r="P425" s="4">
        <f>IF(OR($B425="",D425=""),"",IF($B425=1,--(D425=1),""))</f>
        <v/>
      </c>
      <c r="Q425" s="4">
        <f>IF(OR($B425="",D425=""),"",IF($B425=0,--(D425=0),""))</f>
        <v/>
      </c>
      <c r="R425" s="4">
        <f>IF(D425="","",--(D425=1))</f>
        <v/>
      </c>
      <c r="S425" s="4">
        <f>IF(OR($B425="",E425=""),"",--(E425=$B425))</f>
        <v/>
      </c>
      <c r="T425" s="4">
        <f>IF(OR($B425="",E425=""),"",IF($B425=1,--(E425=1),""))</f>
        <v/>
      </c>
      <c r="U425" s="4">
        <f>IF(OR($B425="",E425=""),"",IF($B425=0,--(E425=0),""))</f>
        <v/>
      </c>
      <c r="V425" s="4">
        <f>IF(E425="","",--(E425=1))</f>
        <v/>
      </c>
      <c r="W425" s="4">
        <f>IF(OR($B425="",F425=""),"",--(F425=$B425))</f>
        <v/>
      </c>
      <c r="X425" s="4">
        <f>IF(OR($B425="",F425=""),"",IF($B425=1,--(F425=1),""))</f>
        <v/>
      </c>
      <c r="Y425" s="4">
        <f>IF(OR($B425="",F425=""),"",IF($B425=0,--(F425=0),""))</f>
        <v/>
      </c>
      <c r="Z425" s="4">
        <f>IF(F425="","",--(F425=1))</f>
        <v/>
      </c>
      <c r="AA425" s="4">
        <f>IF(OR($B425="",G425=""),"",--(G425=$B425))</f>
        <v/>
      </c>
      <c r="AB425" s="4">
        <f>IF(OR($B425="",G425=""),"",IF($B425=1,--(G425=1),""))</f>
        <v/>
      </c>
      <c r="AC425" s="4">
        <f>IF(OR($B425="",G425=""),"",IF($B425=0,--(G425=0),""))</f>
        <v/>
      </c>
      <c r="AD425" s="4">
        <f>IF(G425="","",--(G425=1))</f>
        <v/>
      </c>
      <c r="AE425" s="4">
        <f>IF(OR($B425="",H425=""),"",--(H425=$B425))</f>
        <v/>
      </c>
      <c r="AF425" s="4">
        <f>IF(OR($B425="",H425=""),"",IF($B425=1,--(H425=1),""))</f>
        <v/>
      </c>
      <c r="AG425" s="4">
        <f>IF(OR($B425="",H425=""),"",IF($B425=0,--(H425=0),""))</f>
        <v/>
      </c>
      <c r="AH425" s="4">
        <f>IF(H425="","",--(H425=1))</f>
        <v/>
      </c>
      <c r="AI425" s="4">
        <f>IF(OR($B425="",I425=""),"",--(I425=$B425))</f>
        <v/>
      </c>
      <c r="AJ425" s="4">
        <f>IF(OR($B425="",I425=""),"",IF($B425=1,--(I425=1),""))</f>
        <v/>
      </c>
      <c r="AK425" s="4">
        <f>IF(OR($B425="",I425=""),"",IF($B425=0,--(I425=0),""))</f>
        <v/>
      </c>
      <c r="AL425" s="4">
        <f>IF(I425="","",--(I425=1))</f>
        <v/>
      </c>
      <c r="AM425" s="4">
        <f>IF(OR($B425="",J425=""),"",--(J425=$B425))</f>
        <v/>
      </c>
      <c r="AN425" s="4">
        <f>IF(OR($B425="",J425=""),"",IF($B425=1,--(J425=1),""))</f>
        <v/>
      </c>
      <c r="AO425" s="4">
        <f>IF(OR($B425="",J425=""),"",IF($B425=0,--(J425=0),""))</f>
        <v/>
      </c>
      <c r="AP425" s="4">
        <f>IF(J425="","",--(J425=1))</f>
        <v/>
      </c>
      <c r="AQ425" s="4">
        <f>IF(OR($B425="",K425=""),"",--(K425=$B425))</f>
        <v/>
      </c>
      <c r="AR425" s="4">
        <f>IF(OR($B425="",K425=""),"",IF($B425=1,--(K425=1),""))</f>
        <v/>
      </c>
      <c r="AS425" s="4">
        <f>IF(OR($B425="",K425=""),"",IF($B425=0,--(K425=0),""))</f>
        <v/>
      </c>
      <c r="AT425" s="4">
        <f>IF(K425="","",--(K425=1))</f>
        <v/>
      </c>
      <c r="AU425" s="4">
        <f>IF(OR($B425="",L425=""),"",--(L425=$B425))</f>
        <v/>
      </c>
      <c r="AV425" s="4">
        <f>IF(OR($B425="",L425=""),"",IF($B425=1,--(L425=1),""))</f>
        <v/>
      </c>
      <c r="AW425" s="4">
        <f>IF(OR($B425="",L425=""),"",IF($B425=0,--(L425=0),""))</f>
        <v/>
      </c>
      <c r="AX425" s="4">
        <f>IF(L425="","",--(L425=1))</f>
        <v/>
      </c>
      <c r="AY425" s="4">
        <f>IF(OR($B425="",M425=""),"",--(M425=$B425))</f>
        <v/>
      </c>
      <c r="AZ425" s="4">
        <f>IF(OR($B425="",M425=""),"",IF($B425=1,--(M425=1),""))</f>
        <v/>
      </c>
      <c r="BA425" s="4">
        <f>IF(OR($B425="",M425=""),"",IF($B425=0,--(M425=0),""))</f>
        <v/>
      </c>
      <c r="BB425" s="4">
        <f>IF(M425="","",--(M425=1))</f>
        <v/>
      </c>
      <c r="BC425" s="4">
        <f>IF(OR($B425="",N425=""),"",--(N425=$B425))</f>
        <v/>
      </c>
      <c r="BD425" s="4">
        <f>IF(OR($B425="",N425=""),"",IF($B425=1,--(N425=1),""))</f>
        <v/>
      </c>
      <c r="BE425" s="4">
        <f>IF(OR($B425="",N425=""),"",IF($B425=0,--(N425=0),""))</f>
        <v/>
      </c>
      <c r="BF425" s="4">
        <f>IF(N425="","",--(N425=1))</f>
        <v/>
      </c>
    </row>
    <row r="426">
      <c r="A426" s="3" t="inlineStr">
        <is>
          <t>202237088</t>
        </is>
      </c>
      <c r="B426" s="3" t="inlineStr">
        <is>
          <t>1</t>
        </is>
      </c>
      <c r="C426" s="3" t="inlineStr">
        <is>
          <t>Direct</t>
        </is>
      </c>
      <c r="D426" s="3" t="inlineStr">
        <is>
          <t>0</t>
        </is>
      </c>
      <c r="E426" s="3" t="inlineStr">
        <is>
          <t>1</t>
        </is>
      </c>
      <c r="F426" s="3" t="inlineStr">
        <is>
          <t>0</t>
        </is>
      </c>
      <c r="G426" s="3" t="inlineStr">
        <is>
          <t>0</t>
        </is>
      </c>
      <c r="H426" s="3" t="inlineStr">
        <is>
          <t>0</t>
        </is>
      </c>
      <c r="I426" s="3" t="inlineStr">
        <is>
          <t>0</t>
        </is>
      </c>
      <c r="J426" s="3" t="inlineStr">
        <is>
          <t>0</t>
        </is>
      </c>
      <c r="K426" s="3" t="inlineStr">
        <is>
          <t>0</t>
        </is>
      </c>
      <c r="L426" s="3" t="inlineStr">
        <is>
          <t>0</t>
        </is>
      </c>
      <c r="M426" s="3" t="inlineStr">
        <is>
          <t>0</t>
        </is>
      </c>
      <c r="N426" s="3" t="inlineStr">
        <is>
          <t>1</t>
        </is>
      </c>
      <c r="O426" s="4">
        <f>IF(OR($B426="",D426=""),"",--(D426=$B426))</f>
        <v/>
      </c>
      <c r="P426" s="4">
        <f>IF(OR($B426="",D426=""),"",IF($B426=1,--(D426=1),""))</f>
        <v/>
      </c>
      <c r="Q426" s="4">
        <f>IF(OR($B426="",D426=""),"",IF($B426=0,--(D426=0),""))</f>
        <v/>
      </c>
      <c r="R426" s="4">
        <f>IF(D426="","",--(D426=1))</f>
        <v/>
      </c>
      <c r="S426" s="4">
        <f>IF(OR($B426="",E426=""),"",--(E426=$B426))</f>
        <v/>
      </c>
      <c r="T426" s="4">
        <f>IF(OR($B426="",E426=""),"",IF($B426=1,--(E426=1),""))</f>
        <v/>
      </c>
      <c r="U426" s="4">
        <f>IF(OR($B426="",E426=""),"",IF($B426=0,--(E426=0),""))</f>
        <v/>
      </c>
      <c r="V426" s="4">
        <f>IF(E426="","",--(E426=1))</f>
        <v/>
      </c>
      <c r="W426" s="4">
        <f>IF(OR($B426="",F426=""),"",--(F426=$B426))</f>
        <v/>
      </c>
      <c r="X426" s="4">
        <f>IF(OR($B426="",F426=""),"",IF($B426=1,--(F426=1),""))</f>
        <v/>
      </c>
      <c r="Y426" s="4">
        <f>IF(OR($B426="",F426=""),"",IF($B426=0,--(F426=0),""))</f>
        <v/>
      </c>
      <c r="Z426" s="4">
        <f>IF(F426="","",--(F426=1))</f>
        <v/>
      </c>
      <c r="AA426" s="4">
        <f>IF(OR($B426="",G426=""),"",--(G426=$B426))</f>
        <v/>
      </c>
      <c r="AB426" s="4">
        <f>IF(OR($B426="",G426=""),"",IF($B426=1,--(G426=1),""))</f>
        <v/>
      </c>
      <c r="AC426" s="4">
        <f>IF(OR($B426="",G426=""),"",IF($B426=0,--(G426=0),""))</f>
        <v/>
      </c>
      <c r="AD426" s="4">
        <f>IF(G426="","",--(G426=1))</f>
        <v/>
      </c>
      <c r="AE426" s="4">
        <f>IF(OR($B426="",H426=""),"",--(H426=$B426))</f>
        <v/>
      </c>
      <c r="AF426" s="4">
        <f>IF(OR($B426="",H426=""),"",IF($B426=1,--(H426=1),""))</f>
        <v/>
      </c>
      <c r="AG426" s="4">
        <f>IF(OR($B426="",H426=""),"",IF($B426=0,--(H426=0),""))</f>
        <v/>
      </c>
      <c r="AH426" s="4">
        <f>IF(H426="","",--(H426=1))</f>
        <v/>
      </c>
      <c r="AI426" s="4">
        <f>IF(OR($B426="",I426=""),"",--(I426=$B426))</f>
        <v/>
      </c>
      <c r="AJ426" s="4">
        <f>IF(OR($B426="",I426=""),"",IF($B426=1,--(I426=1),""))</f>
        <v/>
      </c>
      <c r="AK426" s="4">
        <f>IF(OR($B426="",I426=""),"",IF($B426=0,--(I426=0),""))</f>
        <v/>
      </c>
      <c r="AL426" s="4">
        <f>IF(I426="","",--(I426=1))</f>
        <v/>
      </c>
      <c r="AM426" s="4">
        <f>IF(OR($B426="",J426=""),"",--(J426=$B426))</f>
        <v/>
      </c>
      <c r="AN426" s="4">
        <f>IF(OR($B426="",J426=""),"",IF($B426=1,--(J426=1),""))</f>
        <v/>
      </c>
      <c r="AO426" s="4">
        <f>IF(OR($B426="",J426=""),"",IF($B426=0,--(J426=0),""))</f>
        <v/>
      </c>
      <c r="AP426" s="4">
        <f>IF(J426="","",--(J426=1))</f>
        <v/>
      </c>
      <c r="AQ426" s="4">
        <f>IF(OR($B426="",K426=""),"",--(K426=$B426))</f>
        <v/>
      </c>
      <c r="AR426" s="4">
        <f>IF(OR($B426="",K426=""),"",IF($B426=1,--(K426=1),""))</f>
        <v/>
      </c>
      <c r="AS426" s="4">
        <f>IF(OR($B426="",K426=""),"",IF($B426=0,--(K426=0),""))</f>
        <v/>
      </c>
      <c r="AT426" s="4">
        <f>IF(K426="","",--(K426=1))</f>
        <v/>
      </c>
      <c r="AU426" s="4">
        <f>IF(OR($B426="",L426=""),"",--(L426=$B426))</f>
        <v/>
      </c>
      <c r="AV426" s="4">
        <f>IF(OR($B426="",L426=""),"",IF($B426=1,--(L426=1),""))</f>
        <v/>
      </c>
      <c r="AW426" s="4">
        <f>IF(OR($B426="",L426=""),"",IF($B426=0,--(L426=0),""))</f>
        <v/>
      </c>
      <c r="AX426" s="4">
        <f>IF(L426="","",--(L426=1))</f>
        <v/>
      </c>
      <c r="AY426" s="4">
        <f>IF(OR($B426="",M426=""),"",--(M426=$B426))</f>
        <v/>
      </c>
      <c r="AZ426" s="4">
        <f>IF(OR($B426="",M426=""),"",IF($B426=1,--(M426=1),""))</f>
        <v/>
      </c>
      <c r="BA426" s="4">
        <f>IF(OR($B426="",M426=""),"",IF($B426=0,--(M426=0),""))</f>
        <v/>
      </c>
      <c r="BB426" s="4">
        <f>IF(M426="","",--(M426=1))</f>
        <v/>
      </c>
      <c r="BC426" s="4">
        <f>IF(OR($B426="",N426=""),"",--(N426=$B426))</f>
        <v/>
      </c>
      <c r="BD426" s="4">
        <f>IF(OR($B426="",N426=""),"",IF($B426=1,--(N426=1),""))</f>
        <v/>
      </c>
      <c r="BE426" s="4">
        <f>IF(OR($B426="",N426=""),"",IF($B426=0,--(N426=0),""))</f>
        <v/>
      </c>
      <c r="BF426" s="4">
        <f>IF(N426="","",--(N426=1))</f>
        <v/>
      </c>
    </row>
    <row r="427">
      <c r="A427" s="3" t="inlineStr">
        <is>
          <t>202237547</t>
        </is>
      </c>
      <c r="B427" s="3" t="inlineStr">
        <is>
          <t>1</t>
        </is>
      </c>
      <c r="C427" s="3" t="inlineStr">
        <is>
          <t>Direct</t>
        </is>
      </c>
      <c r="D427" s="3" t="inlineStr">
        <is>
          <t>1</t>
        </is>
      </c>
      <c r="E427" s="3" t="inlineStr">
        <is>
          <t>1</t>
        </is>
      </c>
      <c r="F427" s="3" t="inlineStr">
        <is>
          <t>0</t>
        </is>
      </c>
      <c r="G427" s="3" t="inlineStr">
        <is>
          <t>0</t>
        </is>
      </c>
      <c r="H427" s="3" t="inlineStr">
        <is>
          <t>0</t>
        </is>
      </c>
      <c r="I427" s="3" t="inlineStr">
        <is>
          <t>1</t>
        </is>
      </c>
      <c r="J427" s="3" t="inlineStr">
        <is>
          <t>0</t>
        </is>
      </c>
      <c r="K427" s="3" t="inlineStr">
        <is>
          <t>1</t>
        </is>
      </c>
      <c r="L427" s="3" t="inlineStr">
        <is>
          <t>1</t>
        </is>
      </c>
      <c r="M427" s="3" t="inlineStr">
        <is>
          <t>1</t>
        </is>
      </c>
      <c r="N427" s="3" t="inlineStr">
        <is>
          <t>1</t>
        </is>
      </c>
      <c r="O427" s="4">
        <f>IF(OR($B427="",D427=""),"",--(D427=$B427))</f>
        <v/>
      </c>
      <c r="P427" s="4">
        <f>IF(OR($B427="",D427=""),"",IF($B427=1,--(D427=1),""))</f>
        <v/>
      </c>
      <c r="Q427" s="4">
        <f>IF(OR($B427="",D427=""),"",IF($B427=0,--(D427=0),""))</f>
        <v/>
      </c>
      <c r="R427" s="4">
        <f>IF(D427="","",--(D427=1))</f>
        <v/>
      </c>
      <c r="S427" s="4">
        <f>IF(OR($B427="",E427=""),"",--(E427=$B427))</f>
        <v/>
      </c>
      <c r="T427" s="4">
        <f>IF(OR($B427="",E427=""),"",IF($B427=1,--(E427=1),""))</f>
        <v/>
      </c>
      <c r="U427" s="4">
        <f>IF(OR($B427="",E427=""),"",IF($B427=0,--(E427=0),""))</f>
        <v/>
      </c>
      <c r="V427" s="4">
        <f>IF(E427="","",--(E427=1))</f>
        <v/>
      </c>
      <c r="W427" s="4">
        <f>IF(OR($B427="",F427=""),"",--(F427=$B427))</f>
        <v/>
      </c>
      <c r="X427" s="4">
        <f>IF(OR($B427="",F427=""),"",IF($B427=1,--(F427=1),""))</f>
        <v/>
      </c>
      <c r="Y427" s="4">
        <f>IF(OR($B427="",F427=""),"",IF($B427=0,--(F427=0),""))</f>
        <v/>
      </c>
      <c r="Z427" s="4">
        <f>IF(F427="","",--(F427=1))</f>
        <v/>
      </c>
      <c r="AA427" s="4">
        <f>IF(OR($B427="",G427=""),"",--(G427=$B427))</f>
        <v/>
      </c>
      <c r="AB427" s="4">
        <f>IF(OR($B427="",G427=""),"",IF($B427=1,--(G427=1),""))</f>
        <v/>
      </c>
      <c r="AC427" s="4">
        <f>IF(OR($B427="",G427=""),"",IF($B427=0,--(G427=0),""))</f>
        <v/>
      </c>
      <c r="AD427" s="4">
        <f>IF(G427="","",--(G427=1))</f>
        <v/>
      </c>
      <c r="AE427" s="4">
        <f>IF(OR($B427="",H427=""),"",--(H427=$B427))</f>
        <v/>
      </c>
      <c r="AF427" s="4">
        <f>IF(OR($B427="",H427=""),"",IF($B427=1,--(H427=1),""))</f>
        <v/>
      </c>
      <c r="AG427" s="4">
        <f>IF(OR($B427="",H427=""),"",IF($B427=0,--(H427=0),""))</f>
        <v/>
      </c>
      <c r="AH427" s="4">
        <f>IF(H427="","",--(H427=1))</f>
        <v/>
      </c>
      <c r="AI427" s="4">
        <f>IF(OR($B427="",I427=""),"",--(I427=$B427))</f>
        <v/>
      </c>
      <c r="AJ427" s="4">
        <f>IF(OR($B427="",I427=""),"",IF($B427=1,--(I427=1),""))</f>
        <v/>
      </c>
      <c r="AK427" s="4">
        <f>IF(OR($B427="",I427=""),"",IF($B427=0,--(I427=0),""))</f>
        <v/>
      </c>
      <c r="AL427" s="4">
        <f>IF(I427="","",--(I427=1))</f>
        <v/>
      </c>
      <c r="AM427" s="4">
        <f>IF(OR($B427="",J427=""),"",--(J427=$B427))</f>
        <v/>
      </c>
      <c r="AN427" s="4">
        <f>IF(OR($B427="",J427=""),"",IF($B427=1,--(J427=1),""))</f>
        <v/>
      </c>
      <c r="AO427" s="4">
        <f>IF(OR($B427="",J427=""),"",IF($B427=0,--(J427=0),""))</f>
        <v/>
      </c>
      <c r="AP427" s="4">
        <f>IF(J427="","",--(J427=1))</f>
        <v/>
      </c>
      <c r="AQ427" s="4">
        <f>IF(OR($B427="",K427=""),"",--(K427=$B427))</f>
        <v/>
      </c>
      <c r="AR427" s="4">
        <f>IF(OR($B427="",K427=""),"",IF($B427=1,--(K427=1),""))</f>
        <v/>
      </c>
      <c r="AS427" s="4">
        <f>IF(OR($B427="",K427=""),"",IF($B427=0,--(K427=0),""))</f>
        <v/>
      </c>
      <c r="AT427" s="4">
        <f>IF(K427="","",--(K427=1))</f>
        <v/>
      </c>
      <c r="AU427" s="4">
        <f>IF(OR($B427="",L427=""),"",--(L427=$B427))</f>
        <v/>
      </c>
      <c r="AV427" s="4">
        <f>IF(OR($B427="",L427=""),"",IF($B427=1,--(L427=1),""))</f>
        <v/>
      </c>
      <c r="AW427" s="4">
        <f>IF(OR($B427="",L427=""),"",IF($B427=0,--(L427=0),""))</f>
        <v/>
      </c>
      <c r="AX427" s="4">
        <f>IF(L427="","",--(L427=1))</f>
        <v/>
      </c>
      <c r="AY427" s="4">
        <f>IF(OR($B427="",M427=""),"",--(M427=$B427))</f>
        <v/>
      </c>
      <c r="AZ427" s="4">
        <f>IF(OR($B427="",M427=""),"",IF($B427=1,--(M427=1),""))</f>
        <v/>
      </c>
      <c r="BA427" s="4">
        <f>IF(OR($B427="",M427=""),"",IF($B427=0,--(M427=0),""))</f>
        <v/>
      </c>
      <c r="BB427" s="4">
        <f>IF(M427="","",--(M427=1))</f>
        <v/>
      </c>
      <c r="BC427" s="4">
        <f>IF(OR($B427="",N427=""),"",--(N427=$B427))</f>
        <v/>
      </c>
      <c r="BD427" s="4">
        <f>IF(OR($B427="",N427=""),"",IF($B427=1,--(N427=1),""))</f>
        <v/>
      </c>
      <c r="BE427" s="4">
        <f>IF(OR($B427="",N427=""),"",IF($B427=0,--(N427=0),""))</f>
        <v/>
      </c>
      <c r="BF427" s="4">
        <f>IF(N427="","",--(N427=1))</f>
        <v/>
      </c>
    </row>
    <row r="428">
      <c r="A428" s="3" t="inlineStr">
        <is>
          <t>202239138</t>
        </is>
      </c>
      <c r="B428" s="3" t="inlineStr">
        <is>
          <t>0</t>
        </is>
      </c>
      <c r="C428" s="3" t="inlineStr">
        <is>
          <t>Direct</t>
        </is>
      </c>
      <c r="D428" s="3" t="inlineStr">
        <is>
          <t>0</t>
        </is>
      </c>
      <c r="E428" s="3" t="inlineStr">
        <is>
          <t>1</t>
        </is>
      </c>
      <c r="F428" s="3" t="inlineStr">
        <is>
          <t>0</t>
        </is>
      </c>
      <c r="G428" s="3" t="inlineStr">
        <is>
          <t>0</t>
        </is>
      </c>
      <c r="H428" s="3" t="inlineStr">
        <is>
          <t>1</t>
        </is>
      </c>
      <c r="I428" s="3" t="inlineStr">
        <is>
          <t>0</t>
        </is>
      </c>
      <c r="J428" s="3" t="inlineStr">
        <is>
          <t>0</t>
        </is>
      </c>
      <c r="K428" s="3" t="inlineStr">
        <is>
          <t>0</t>
        </is>
      </c>
      <c r="L428" s="3" t="inlineStr">
        <is>
          <t>1</t>
        </is>
      </c>
      <c r="M428" s="3" t="inlineStr">
        <is>
          <t>1</t>
        </is>
      </c>
      <c r="N428" s="3" t="inlineStr">
        <is>
          <t>1</t>
        </is>
      </c>
      <c r="O428" s="4">
        <f>IF(OR($B428="",D428=""),"",--(D428=$B428))</f>
        <v/>
      </c>
      <c r="P428" s="4">
        <f>IF(OR($B428="",D428=""),"",IF($B428=1,--(D428=1),""))</f>
        <v/>
      </c>
      <c r="Q428" s="4">
        <f>IF(OR($B428="",D428=""),"",IF($B428=0,--(D428=0),""))</f>
        <v/>
      </c>
      <c r="R428" s="4">
        <f>IF(D428="","",--(D428=1))</f>
        <v/>
      </c>
      <c r="S428" s="4">
        <f>IF(OR($B428="",E428=""),"",--(E428=$B428))</f>
        <v/>
      </c>
      <c r="T428" s="4">
        <f>IF(OR($B428="",E428=""),"",IF($B428=1,--(E428=1),""))</f>
        <v/>
      </c>
      <c r="U428" s="4">
        <f>IF(OR($B428="",E428=""),"",IF($B428=0,--(E428=0),""))</f>
        <v/>
      </c>
      <c r="V428" s="4">
        <f>IF(E428="","",--(E428=1))</f>
        <v/>
      </c>
      <c r="W428" s="4">
        <f>IF(OR($B428="",F428=""),"",--(F428=$B428))</f>
        <v/>
      </c>
      <c r="X428" s="4">
        <f>IF(OR($B428="",F428=""),"",IF($B428=1,--(F428=1),""))</f>
        <v/>
      </c>
      <c r="Y428" s="4">
        <f>IF(OR($B428="",F428=""),"",IF($B428=0,--(F428=0),""))</f>
        <v/>
      </c>
      <c r="Z428" s="4">
        <f>IF(F428="","",--(F428=1))</f>
        <v/>
      </c>
      <c r="AA428" s="4">
        <f>IF(OR($B428="",G428=""),"",--(G428=$B428))</f>
        <v/>
      </c>
      <c r="AB428" s="4">
        <f>IF(OR($B428="",G428=""),"",IF($B428=1,--(G428=1),""))</f>
        <v/>
      </c>
      <c r="AC428" s="4">
        <f>IF(OR($B428="",G428=""),"",IF($B428=0,--(G428=0),""))</f>
        <v/>
      </c>
      <c r="AD428" s="4">
        <f>IF(G428="","",--(G428=1))</f>
        <v/>
      </c>
      <c r="AE428" s="4">
        <f>IF(OR($B428="",H428=""),"",--(H428=$B428))</f>
        <v/>
      </c>
      <c r="AF428" s="4">
        <f>IF(OR($B428="",H428=""),"",IF($B428=1,--(H428=1),""))</f>
        <v/>
      </c>
      <c r="AG428" s="4">
        <f>IF(OR($B428="",H428=""),"",IF($B428=0,--(H428=0),""))</f>
        <v/>
      </c>
      <c r="AH428" s="4">
        <f>IF(H428="","",--(H428=1))</f>
        <v/>
      </c>
      <c r="AI428" s="4">
        <f>IF(OR($B428="",I428=""),"",--(I428=$B428))</f>
        <v/>
      </c>
      <c r="AJ428" s="4">
        <f>IF(OR($B428="",I428=""),"",IF($B428=1,--(I428=1),""))</f>
        <v/>
      </c>
      <c r="AK428" s="4">
        <f>IF(OR($B428="",I428=""),"",IF($B428=0,--(I428=0),""))</f>
        <v/>
      </c>
      <c r="AL428" s="4">
        <f>IF(I428="","",--(I428=1))</f>
        <v/>
      </c>
      <c r="AM428" s="4">
        <f>IF(OR($B428="",J428=""),"",--(J428=$B428))</f>
        <v/>
      </c>
      <c r="AN428" s="4">
        <f>IF(OR($B428="",J428=""),"",IF($B428=1,--(J428=1),""))</f>
        <v/>
      </c>
      <c r="AO428" s="4">
        <f>IF(OR($B428="",J428=""),"",IF($B428=0,--(J428=0),""))</f>
        <v/>
      </c>
      <c r="AP428" s="4">
        <f>IF(J428="","",--(J428=1))</f>
        <v/>
      </c>
      <c r="AQ428" s="4">
        <f>IF(OR($B428="",K428=""),"",--(K428=$B428))</f>
        <v/>
      </c>
      <c r="AR428" s="4">
        <f>IF(OR($B428="",K428=""),"",IF($B428=1,--(K428=1),""))</f>
        <v/>
      </c>
      <c r="AS428" s="4">
        <f>IF(OR($B428="",K428=""),"",IF($B428=0,--(K428=0),""))</f>
        <v/>
      </c>
      <c r="AT428" s="4">
        <f>IF(K428="","",--(K428=1))</f>
        <v/>
      </c>
      <c r="AU428" s="4">
        <f>IF(OR($B428="",L428=""),"",--(L428=$B428))</f>
        <v/>
      </c>
      <c r="AV428" s="4">
        <f>IF(OR($B428="",L428=""),"",IF($B428=1,--(L428=1),""))</f>
        <v/>
      </c>
      <c r="AW428" s="4">
        <f>IF(OR($B428="",L428=""),"",IF($B428=0,--(L428=0),""))</f>
        <v/>
      </c>
      <c r="AX428" s="4">
        <f>IF(L428="","",--(L428=1))</f>
        <v/>
      </c>
      <c r="AY428" s="4">
        <f>IF(OR($B428="",M428=""),"",--(M428=$B428))</f>
        <v/>
      </c>
      <c r="AZ428" s="4">
        <f>IF(OR($B428="",M428=""),"",IF($B428=1,--(M428=1),""))</f>
        <v/>
      </c>
      <c r="BA428" s="4">
        <f>IF(OR($B428="",M428=""),"",IF($B428=0,--(M428=0),""))</f>
        <v/>
      </c>
      <c r="BB428" s="4">
        <f>IF(M428="","",--(M428=1))</f>
        <v/>
      </c>
      <c r="BC428" s="4">
        <f>IF(OR($B428="",N428=""),"",--(N428=$B428))</f>
        <v/>
      </c>
      <c r="BD428" s="4">
        <f>IF(OR($B428="",N428=""),"",IF($B428=1,--(N428=1),""))</f>
        <v/>
      </c>
      <c r="BE428" s="4">
        <f>IF(OR($B428="",N428=""),"",IF($B428=0,--(N428=0),""))</f>
        <v/>
      </c>
      <c r="BF428" s="4">
        <f>IF(N428="","",--(N428=1))</f>
        <v/>
      </c>
    </row>
    <row r="429">
      <c r="A429" s="3" t="inlineStr">
        <is>
          <t>202239704</t>
        </is>
      </c>
      <c r="B429" s="3" t="inlineStr">
        <is>
          <t>1</t>
        </is>
      </c>
      <c r="C429" s="3" t="inlineStr">
        <is>
          <t>Direct</t>
        </is>
      </c>
      <c r="D429" s="3" t="inlineStr">
        <is>
          <t>0</t>
        </is>
      </c>
      <c r="E429" s="3" t="inlineStr">
        <is>
          <t>1</t>
        </is>
      </c>
      <c r="F429" s="3" t="inlineStr">
        <is>
          <t>0</t>
        </is>
      </c>
      <c r="G429" s="3" t="inlineStr">
        <is>
          <t>1</t>
        </is>
      </c>
      <c r="H429" s="3" t="inlineStr">
        <is>
          <t>0</t>
        </is>
      </c>
      <c r="I429" s="3" t="inlineStr">
        <is>
          <t>1</t>
        </is>
      </c>
      <c r="J429" s="3" t="inlineStr">
        <is>
          <t>1</t>
        </is>
      </c>
      <c r="K429" s="3" t="inlineStr">
        <is>
          <t>1</t>
        </is>
      </c>
      <c r="L429" s="3" t="inlineStr">
        <is>
          <t>1</t>
        </is>
      </c>
      <c r="M429" s="3" t="inlineStr">
        <is>
          <t>1</t>
        </is>
      </c>
      <c r="N429" s="3" t="inlineStr">
        <is>
          <t>1</t>
        </is>
      </c>
      <c r="O429" s="4">
        <f>IF(OR($B429="",D429=""),"",--(D429=$B429))</f>
        <v/>
      </c>
      <c r="P429" s="4">
        <f>IF(OR($B429="",D429=""),"",IF($B429=1,--(D429=1),""))</f>
        <v/>
      </c>
      <c r="Q429" s="4">
        <f>IF(OR($B429="",D429=""),"",IF($B429=0,--(D429=0),""))</f>
        <v/>
      </c>
      <c r="R429" s="4">
        <f>IF(D429="","",--(D429=1))</f>
        <v/>
      </c>
      <c r="S429" s="4">
        <f>IF(OR($B429="",E429=""),"",--(E429=$B429))</f>
        <v/>
      </c>
      <c r="T429" s="4">
        <f>IF(OR($B429="",E429=""),"",IF($B429=1,--(E429=1),""))</f>
        <v/>
      </c>
      <c r="U429" s="4">
        <f>IF(OR($B429="",E429=""),"",IF($B429=0,--(E429=0),""))</f>
        <v/>
      </c>
      <c r="V429" s="4">
        <f>IF(E429="","",--(E429=1))</f>
        <v/>
      </c>
      <c r="W429" s="4">
        <f>IF(OR($B429="",F429=""),"",--(F429=$B429))</f>
        <v/>
      </c>
      <c r="X429" s="4">
        <f>IF(OR($B429="",F429=""),"",IF($B429=1,--(F429=1),""))</f>
        <v/>
      </c>
      <c r="Y429" s="4">
        <f>IF(OR($B429="",F429=""),"",IF($B429=0,--(F429=0),""))</f>
        <v/>
      </c>
      <c r="Z429" s="4">
        <f>IF(F429="","",--(F429=1))</f>
        <v/>
      </c>
      <c r="AA429" s="4">
        <f>IF(OR($B429="",G429=""),"",--(G429=$B429))</f>
        <v/>
      </c>
      <c r="AB429" s="4">
        <f>IF(OR($B429="",G429=""),"",IF($B429=1,--(G429=1),""))</f>
        <v/>
      </c>
      <c r="AC429" s="4">
        <f>IF(OR($B429="",G429=""),"",IF($B429=0,--(G429=0),""))</f>
        <v/>
      </c>
      <c r="AD429" s="4">
        <f>IF(G429="","",--(G429=1))</f>
        <v/>
      </c>
      <c r="AE429" s="4">
        <f>IF(OR($B429="",H429=""),"",--(H429=$B429))</f>
        <v/>
      </c>
      <c r="AF429" s="4">
        <f>IF(OR($B429="",H429=""),"",IF($B429=1,--(H429=1),""))</f>
        <v/>
      </c>
      <c r="AG429" s="4">
        <f>IF(OR($B429="",H429=""),"",IF($B429=0,--(H429=0),""))</f>
        <v/>
      </c>
      <c r="AH429" s="4">
        <f>IF(H429="","",--(H429=1))</f>
        <v/>
      </c>
      <c r="AI429" s="4">
        <f>IF(OR($B429="",I429=""),"",--(I429=$B429))</f>
        <v/>
      </c>
      <c r="AJ429" s="4">
        <f>IF(OR($B429="",I429=""),"",IF($B429=1,--(I429=1),""))</f>
        <v/>
      </c>
      <c r="AK429" s="4">
        <f>IF(OR($B429="",I429=""),"",IF($B429=0,--(I429=0),""))</f>
        <v/>
      </c>
      <c r="AL429" s="4">
        <f>IF(I429="","",--(I429=1))</f>
        <v/>
      </c>
      <c r="AM429" s="4">
        <f>IF(OR($B429="",J429=""),"",--(J429=$B429))</f>
        <v/>
      </c>
      <c r="AN429" s="4">
        <f>IF(OR($B429="",J429=""),"",IF($B429=1,--(J429=1),""))</f>
        <v/>
      </c>
      <c r="AO429" s="4">
        <f>IF(OR($B429="",J429=""),"",IF($B429=0,--(J429=0),""))</f>
        <v/>
      </c>
      <c r="AP429" s="4">
        <f>IF(J429="","",--(J429=1))</f>
        <v/>
      </c>
      <c r="AQ429" s="4">
        <f>IF(OR($B429="",K429=""),"",--(K429=$B429))</f>
        <v/>
      </c>
      <c r="AR429" s="4">
        <f>IF(OR($B429="",K429=""),"",IF($B429=1,--(K429=1),""))</f>
        <v/>
      </c>
      <c r="AS429" s="4">
        <f>IF(OR($B429="",K429=""),"",IF($B429=0,--(K429=0),""))</f>
        <v/>
      </c>
      <c r="AT429" s="4">
        <f>IF(K429="","",--(K429=1))</f>
        <v/>
      </c>
      <c r="AU429" s="4">
        <f>IF(OR($B429="",L429=""),"",--(L429=$B429))</f>
        <v/>
      </c>
      <c r="AV429" s="4">
        <f>IF(OR($B429="",L429=""),"",IF($B429=1,--(L429=1),""))</f>
        <v/>
      </c>
      <c r="AW429" s="4">
        <f>IF(OR($B429="",L429=""),"",IF($B429=0,--(L429=0),""))</f>
        <v/>
      </c>
      <c r="AX429" s="4">
        <f>IF(L429="","",--(L429=1))</f>
        <v/>
      </c>
      <c r="AY429" s="4">
        <f>IF(OR($B429="",M429=""),"",--(M429=$B429))</f>
        <v/>
      </c>
      <c r="AZ429" s="4">
        <f>IF(OR($B429="",M429=""),"",IF($B429=1,--(M429=1),""))</f>
        <v/>
      </c>
      <c r="BA429" s="4">
        <f>IF(OR($B429="",M429=""),"",IF($B429=0,--(M429=0),""))</f>
        <v/>
      </c>
      <c r="BB429" s="4">
        <f>IF(M429="","",--(M429=1))</f>
        <v/>
      </c>
      <c r="BC429" s="4">
        <f>IF(OR($B429="",N429=""),"",--(N429=$B429))</f>
        <v/>
      </c>
      <c r="BD429" s="4">
        <f>IF(OR($B429="",N429=""),"",IF($B429=1,--(N429=1),""))</f>
        <v/>
      </c>
      <c r="BE429" s="4">
        <f>IF(OR($B429="",N429=""),"",IF($B429=0,--(N429=0),""))</f>
        <v/>
      </c>
      <c r="BF429" s="4">
        <f>IF(N429="","",--(N429=1))</f>
        <v/>
      </c>
    </row>
    <row r="430">
      <c r="A430" s="3" t="inlineStr">
        <is>
          <t>202241955</t>
        </is>
      </c>
      <c r="B430" s="3" t="inlineStr">
        <is>
          <t>1</t>
        </is>
      </c>
      <c r="C430" s="3" t="inlineStr">
        <is>
          <t>Direct</t>
        </is>
      </c>
      <c r="D430" s="3" t="inlineStr">
        <is>
          <t>1</t>
        </is>
      </c>
      <c r="E430" s="3" t="inlineStr">
        <is>
          <t>1</t>
        </is>
      </c>
      <c r="F430" s="3" t="inlineStr">
        <is>
          <t>0</t>
        </is>
      </c>
      <c r="G430" s="3" t="inlineStr">
        <is>
          <t>0</t>
        </is>
      </c>
      <c r="H430" s="3" t="inlineStr">
        <is>
          <t>1</t>
        </is>
      </c>
      <c r="I430" s="3" t="inlineStr">
        <is>
          <t>0</t>
        </is>
      </c>
      <c r="J430" s="3" t="inlineStr">
        <is>
          <t>0</t>
        </is>
      </c>
      <c r="K430" s="3" t="inlineStr">
        <is>
          <t>1</t>
        </is>
      </c>
      <c r="L430" s="3" t="inlineStr">
        <is>
          <t>1</t>
        </is>
      </c>
      <c r="M430" s="3" t="inlineStr">
        <is>
          <t>1</t>
        </is>
      </c>
      <c r="N430" s="3" t="inlineStr">
        <is>
          <t>1</t>
        </is>
      </c>
      <c r="O430" s="4">
        <f>IF(OR($B430="",D430=""),"",--(D430=$B430))</f>
        <v/>
      </c>
      <c r="P430" s="4">
        <f>IF(OR($B430="",D430=""),"",IF($B430=1,--(D430=1),""))</f>
        <v/>
      </c>
      <c r="Q430" s="4">
        <f>IF(OR($B430="",D430=""),"",IF($B430=0,--(D430=0),""))</f>
        <v/>
      </c>
      <c r="R430" s="4">
        <f>IF(D430="","",--(D430=1))</f>
        <v/>
      </c>
      <c r="S430" s="4">
        <f>IF(OR($B430="",E430=""),"",--(E430=$B430))</f>
        <v/>
      </c>
      <c r="T430" s="4">
        <f>IF(OR($B430="",E430=""),"",IF($B430=1,--(E430=1),""))</f>
        <v/>
      </c>
      <c r="U430" s="4">
        <f>IF(OR($B430="",E430=""),"",IF($B430=0,--(E430=0),""))</f>
        <v/>
      </c>
      <c r="V430" s="4">
        <f>IF(E430="","",--(E430=1))</f>
        <v/>
      </c>
      <c r="W430" s="4">
        <f>IF(OR($B430="",F430=""),"",--(F430=$B430))</f>
        <v/>
      </c>
      <c r="X430" s="4">
        <f>IF(OR($B430="",F430=""),"",IF($B430=1,--(F430=1),""))</f>
        <v/>
      </c>
      <c r="Y430" s="4">
        <f>IF(OR($B430="",F430=""),"",IF($B430=0,--(F430=0),""))</f>
        <v/>
      </c>
      <c r="Z430" s="4">
        <f>IF(F430="","",--(F430=1))</f>
        <v/>
      </c>
      <c r="AA430" s="4">
        <f>IF(OR($B430="",G430=""),"",--(G430=$B430))</f>
        <v/>
      </c>
      <c r="AB430" s="4">
        <f>IF(OR($B430="",G430=""),"",IF($B430=1,--(G430=1),""))</f>
        <v/>
      </c>
      <c r="AC430" s="4">
        <f>IF(OR($B430="",G430=""),"",IF($B430=0,--(G430=0),""))</f>
        <v/>
      </c>
      <c r="AD430" s="4">
        <f>IF(G430="","",--(G430=1))</f>
        <v/>
      </c>
      <c r="AE430" s="4">
        <f>IF(OR($B430="",H430=""),"",--(H430=$B430))</f>
        <v/>
      </c>
      <c r="AF430" s="4">
        <f>IF(OR($B430="",H430=""),"",IF($B430=1,--(H430=1),""))</f>
        <v/>
      </c>
      <c r="AG430" s="4">
        <f>IF(OR($B430="",H430=""),"",IF($B430=0,--(H430=0),""))</f>
        <v/>
      </c>
      <c r="AH430" s="4">
        <f>IF(H430="","",--(H430=1))</f>
        <v/>
      </c>
      <c r="AI430" s="4">
        <f>IF(OR($B430="",I430=""),"",--(I430=$B430))</f>
        <v/>
      </c>
      <c r="AJ430" s="4">
        <f>IF(OR($B430="",I430=""),"",IF($B430=1,--(I430=1),""))</f>
        <v/>
      </c>
      <c r="AK430" s="4">
        <f>IF(OR($B430="",I430=""),"",IF($B430=0,--(I430=0),""))</f>
        <v/>
      </c>
      <c r="AL430" s="4">
        <f>IF(I430="","",--(I430=1))</f>
        <v/>
      </c>
      <c r="AM430" s="4">
        <f>IF(OR($B430="",J430=""),"",--(J430=$B430))</f>
        <v/>
      </c>
      <c r="AN430" s="4">
        <f>IF(OR($B430="",J430=""),"",IF($B430=1,--(J430=1),""))</f>
        <v/>
      </c>
      <c r="AO430" s="4">
        <f>IF(OR($B430="",J430=""),"",IF($B430=0,--(J430=0),""))</f>
        <v/>
      </c>
      <c r="AP430" s="4">
        <f>IF(J430="","",--(J430=1))</f>
        <v/>
      </c>
      <c r="AQ430" s="4">
        <f>IF(OR($B430="",K430=""),"",--(K430=$B430))</f>
        <v/>
      </c>
      <c r="AR430" s="4">
        <f>IF(OR($B430="",K430=""),"",IF($B430=1,--(K430=1),""))</f>
        <v/>
      </c>
      <c r="AS430" s="4">
        <f>IF(OR($B430="",K430=""),"",IF($B430=0,--(K430=0),""))</f>
        <v/>
      </c>
      <c r="AT430" s="4">
        <f>IF(K430="","",--(K430=1))</f>
        <v/>
      </c>
      <c r="AU430" s="4">
        <f>IF(OR($B430="",L430=""),"",--(L430=$B430))</f>
        <v/>
      </c>
      <c r="AV430" s="4">
        <f>IF(OR($B430="",L430=""),"",IF($B430=1,--(L430=1),""))</f>
        <v/>
      </c>
      <c r="AW430" s="4">
        <f>IF(OR($B430="",L430=""),"",IF($B430=0,--(L430=0),""))</f>
        <v/>
      </c>
      <c r="AX430" s="4">
        <f>IF(L430="","",--(L430=1))</f>
        <v/>
      </c>
      <c r="AY430" s="4">
        <f>IF(OR($B430="",M430=""),"",--(M430=$B430))</f>
        <v/>
      </c>
      <c r="AZ430" s="4">
        <f>IF(OR($B430="",M430=""),"",IF($B430=1,--(M430=1),""))</f>
        <v/>
      </c>
      <c r="BA430" s="4">
        <f>IF(OR($B430="",M430=""),"",IF($B430=0,--(M430=0),""))</f>
        <v/>
      </c>
      <c r="BB430" s="4">
        <f>IF(M430="","",--(M430=1))</f>
        <v/>
      </c>
      <c r="BC430" s="4">
        <f>IF(OR($B430="",N430=""),"",--(N430=$B430))</f>
        <v/>
      </c>
      <c r="BD430" s="4">
        <f>IF(OR($B430="",N430=""),"",IF($B430=1,--(N430=1),""))</f>
        <v/>
      </c>
      <c r="BE430" s="4">
        <f>IF(OR($B430="",N430=""),"",IF($B430=0,--(N430=0),""))</f>
        <v/>
      </c>
      <c r="BF430" s="4">
        <f>IF(N430="","",--(N430=1))</f>
        <v/>
      </c>
    </row>
    <row r="431">
      <c r="A431" s="3" t="inlineStr">
        <is>
          <t>202242623</t>
        </is>
      </c>
      <c r="B431" s="3" t="inlineStr">
        <is>
          <t>0</t>
        </is>
      </c>
      <c r="C431" s="3" t="inlineStr">
        <is>
          <t>Direct</t>
        </is>
      </c>
      <c r="D431" s="3" t="inlineStr">
        <is>
          <t>1</t>
        </is>
      </c>
      <c r="E431" s="3" t="inlineStr">
        <is>
          <t>1</t>
        </is>
      </c>
      <c r="F431" s="3" t="inlineStr">
        <is>
          <t>1</t>
        </is>
      </c>
      <c r="G431" s="3" t="inlineStr">
        <is>
          <t>1</t>
        </is>
      </c>
      <c r="H431" s="3" t="inlineStr">
        <is>
          <t>1</t>
        </is>
      </c>
      <c r="I431" s="3" t="inlineStr">
        <is>
          <t>1</t>
        </is>
      </c>
      <c r="J431" s="3" t="inlineStr">
        <is>
          <t>1</t>
        </is>
      </c>
      <c r="K431" s="3" t="inlineStr">
        <is>
          <t>1</t>
        </is>
      </c>
      <c r="L431" s="3" t="inlineStr">
        <is>
          <t>1</t>
        </is>
      </c>
      <c r="M431" s="3" t="inlineStr">
        <is>
          <t>1</t>
        </is>
      </c>
      <c r="N431" s="3" t="inlineStr">
        <is>
          <t>1</t>
        </is>
      </c>
      <c r="O431" s="4">
        <f>IF(OR($B431="",D431=""),"",--(D431=$B431))</f>
        <v/>
      </c>
      <c r="P431" s="4">
        <f>IF(OR($B431="",D431=""),"",IF($B431=1,--(D431=1),""))</f>
        <v/>
      </c>
      <c r="Q431" s="4">
        <f>IF(OR($B431="",D431=""),"",IF($B431=0,--(D431=0),""))</f>
        <v/>
      </c>
      <c r="R431" s="4">
        <f>IF(D431="","",--(D431=1))</f>
        <v/>
      </c>
      <c r="S431" s="4">
        <f>IF(OR($B431="",E431=""),"",--(E431=$B431))</f>
        <v/>
      </c>
      <c r="T431" s="4">
        <f>IF(OR($B431="",E431=""),"",IF($B431=1,--(E431=1),""))</f>
        <v/>
      </c>
      <c r="U431" s="4">
        <f>IF(OR($B431="",E431=""),"",IF($B431=0,--(E431=0),""))</f>
        <v/>
      </c>
      <c r="V431" s="4">
        <f>IF(E431="","",--(E431=1))</f>
        <v/>
      </c>
      <c r="W431" s="4">
        <f>IF(OR($B431="",F431=""),"",--(F431=$B431))</f>
        <v/>
      </c>
      <c r="X431" s="4">
        <f>IF(OR($B431="",F431=""),"",IF($B431=1,--(F431=1),""))</f>
        <v/>
      </c>
      <c r="Y431" s="4">
        <f>IF(OR($B431="",F431=""),"",IF($B431=0,--(F431=0),""))</f>
        <v/>
      </c>
      <c r="Z431" s="4">
        <f>IF(F431="","",--(F431=1))</f>
        <v/>
      </c>
      <c r="AA431" s="4">
        <f>IF(OR($B431="",G431=""),"",--(G431=$B431))</f>
        <v/>
      </c>
      <c r="AB431" s="4">
        <f>IF(OR($B431="",G431=""),"",IF($B431=1,--(G431=1),""))</f>
        <v/>
      </c>
      <c r="AC431" s="4">
        <f>IF(OR($B431="",G431=""),"",IF($B431=0,--(G431=0),""))</f>
        <v/>
      </c>
      <c r="AD431" s="4">
        <f>IF(G431="","",--(G431=1))</f>
        <v/>
      </c>
      <c r="AE431" s="4">
        <f>IF(OR($B431="",H431=""),"",--(H431=$B431))</f>
        <v/>
      </c>
      <c r="AF431" s="4">
        <f>IF(OR($B431="",H431=""),"",IF($B431=1,--(H431=1),""))</f>
        <v/>
      </c>
      <c r="AG431" s="4">
        <f>IF(OR($B431="",H431=""),"",IF($B431=0,--(H431=0),""))</f>
        <v/>
      </c>
      <c r="AH431" s="4">
        <f>IF(H431="","",--(H431=1))</f>
        <v/>
      </c>
      <c r="AI431" s="4">
        <f>IF(OR($B431="",I431=""),"",--(I431=$B431))</f>
        <v/>
      </c>
      <c r="AJ431" s="4">
        <f>IF(OR($B431="",I431=""),"",IF($B431=1,--(I431=1),""))</f>
        <v/>
      </c>
      <c r="AK431" s="4">
        <f>IF(OR($B431="",I431=""),"",IF($B431=0,--(I431=0),""))</f>
        <v/>
      </c>
      <c r="AL431" s="4">
        <f>IF(I431="","",--(I431=1))</f>
        <v/>
      </c>
      <c r="AM431" s="4">
        <f>IF(OR($B431="",J431=""),"",--(J431=$B431))</f>
        <v/>
      </c>
      <c r="AN431" s="4">
        <f>IF(OR($B431="",J431=""),"",IF($B431=1,--(J431=1),""))</f>
        <v/>
      </c>
      <c r="AO431" s="4">
        <f>IF(OR($B431="",J431=""),"",IF($B431=0,--(J431=0),""))</f>
        <v/>
      </c>
      <c r="AP431" s="4">
        <f>IF(J431="","",--(J431=1))</f>
        <v/>
      </c>
      <c r="AQ431" s="4">
        <f>IF(OR($B431="",K431=""),"",--(K431=$B431))</f>
        <v/>
      </c>
      <c r="AR431" s="4">
        <f>IF(OR($B431="",K431=""),"",IF($B431=1,--(K431=1),""))</f>
        <v/>
      </c>
      <c r="AS431" s="4">
        <f>IF(OR($B431="",K431=""),"",IF($B431=0,--(K431=0),""))</f>
        <v/>
      </c>
      <c r="AT431" s="4">
        <f>IF(K431="","",--(K431=1))</f>
        <v/>
      </c>
      <c r="AU431" s="4">
        <f>IF(OR($B431="",L431=""),"",--(L431=$B431))</f>
        <v/>
      </c>
      <c r="AV431" s="4">
        <f>IF(OR($B431="",L431=""),"",IF($B431=1,--(L431=1),""))</f>
        <v/>
      </c>
      <c r="AW431" s="4">
        <f>IF(OR($B431="",L431=""),"",IF($B431=0,--(L431=0),""))</f>
        <v/>
      </c>
      <c r="AX431" s="4">
        <f>IF(L431="","",--(L431=1))</f>
        <v/>
      </c>
      <c r="AY431" s="4">
        <f>IF(OR($B431="",M431=""),"",--(M431=$B431))</f>
        <v/>
      </c>
      <c r="AZ431" s="4">
        <f>IF(OR($B431="",M431=""),"",IF($B431=1,--(M431=1),""))</f>
        <v/>
      </c>
      <c r="BA431" s="4">
        <f>IF(OR($B431="",M431=""),"",IF($B431=0,--(M431=0),""))</f>
        <v/>
      </c>
      <c r="BB431" s="4">
        <f>IF(M431="","",--(M431=1))</f>
        <v/>
      </c>
      <c r="BC431" s="4">
        <f>IF(OR($B431="",N431=""),"",--(N431=$B431))</f>
        <v/>
      </c>
      <c r="BD431" s="4">
        <f>IF(OR($B431="",N431=""),"",IF($B431=1,--(N431=1),""))</f>
        <v/>
      </c>
      <c r="BE431" s="4">
        <f>IF(OR($B431="",N431=""),"",IF($B431=0,--(N431=0),""))</f>
        <v/>
      </c>
      <c r="BF431" s="4">
        <f>IF(N431="","",--(N431=1))</f>
        <v/>
      </c>
    </row>
    <row r="432">
      <c r="A432" s="3" t="inlineStr">
        <is>
          <t>202243909</t>
        </is>
      </c>
      <c r="B432" s="3" t="inlineStr">
        <is>
          <t>1</t>
        </is>
      </c>
      <c r="C432" s="3" t="inlineStr">
        <is>
          <t>Direct</t>
        </is>
      </c>
      <c r="D432" s="3" t="inlineStr">
        <is>
          <t>1</t>
        </is>
      </c>
      <c r="E432" s="3" t="inlineStr">
        <is>
          <t>1</t>
        </is>
      </c>
      <c r="F432" s="3" t="inlineStr">
        <is>
          <t>0</t>
        </is>
      </c>
      <c r="G432" s="3" t="inlineStr">
        <is>
          <t>1</t>
        </is>
      </c>
      <c r="H432" s="3" t="inlineStr">
        <is>
          <t>0</t>
        </is>
      </c>
      <c r="I432" s="3" t="inlineStr">
        <is>
          <t>0</t>
        </is>
      </c>
      <c r="J432" s="3" t="inlineStr">
        <is>
          <t>1</t>
        </is>
      </c>
      <c r="K432" s="3" t="inlineStr">
        <is>
          <t>1</t>
        </is>
      </c>
      <c r="L432" s="3" t="inlineStr">
        <is>
          <t>1</t>
        </is>
      </c>
      <c r="M432" s="3" t="inlineStr">
        <is>
          <t>1</t>
        </is>
      </c>
      <c r="N432" s="3" t="inlineStr">
        <is>
          <t>1</t>
        </is>
      </c>
      <c r="O432" s="4">
        <f>IF(OR($B432="",D432=""),"",--(D432=$B432))</f>
        <v/>
      </c>
      <c r="P432" s="4">
        <f>IF(OR($B432="",D432=""),"",IF($B432=1,--(D432=1),""))</f>
        <v/>
      </c>
      <c r="Q432" s="4">
        <f>IF(OR($B432="",D432=""),"",IF($B432=0,--(D432=0),""))</f>
        <v/>
      </c>
      <c r="R432" s="4">
        <f>IF(D432="","",--(D432=1))</f>
        <v/>
      </c>
      <c r="S432" s="4">
        <f>IF(OR($B432="",E432=""),"",--(E432=$B432))</f>
        <v/>
      </c>
      <c r="T432" s="4">
        <f>IF(OR($B432="",E432=""),"",IF($B432=1,--(E432=1),""))</f>
        <v/>
      </c>
      <c r="U432" s="4">
        <f>IF(OR($B432="",E432=""),"",IF($B432=0,--(E432=0),""))</f>
        <v/>
      </c>
      <c r="V432" s="4">
        <f>IF(E432="","",--(E432=1))</f>
        <v/>
      </c>
      <c r="W432" s="4">
        <f>IF(OR($B432="",F432=""),"",--(F432=$B432))</f>
        <v/>
      </c>
      <c r="X432" s="4">
        <f>IF(OR($B432="",F432=""),"",IF($B432=1,--(F432=1),""))</f>
        <v/>
      </c>
      <c r="Y432" s="4">
        <f>IF(OR($B432="",F432=""),"",IF($B432=0,--(F432=0),""))</f>
        <v/>
      </c>
      <c r="Z432" s="4">
        <f>IF(F432="","",--(F432=1))</f>
        <v/>
      </c>
      <c r="AA432" s="4">
        <f>IF(OR($B432="",G432=""),"",--(G432=$B432))</f>
        <v/>
      </c>
      <c r="AB432" s="4">
        <f>IF(OR($B432="",G432=""),"",IF($B432=1,--(G432=1),""))</f>
        <v/>
      </c>
      <c r="AC432" s="4">
        <f>IF(OR($B432="",G432=""),"",IF($B432=0,--(G432=0),""))</f>
        <v/>
      </c>
      <c r="AD432" s="4">
        <f>IF(G432="","",--(G432=1))</f>
        <v/>
      </c>
      <c r="AE432" s="4">
        <f>IF(OR($B432="",H432=""),"",--(H432=$B432))</f>
        <v/>
      </c>
      <c r="AF432" s="4">
        <f>IF(OR($B432="",H432=""),"",IF($B432=1,--(H432=1),""))</f>
        <v/>
      </c>
      <c r="AG432" s="4">
        <f>IF(OR($B432="",H432=""),"",IF($B432=0,--(H432=0),""))</f>
        <v/>
      </c>
      <c r="AH432" s="4">
        <f>IF(H432="","",--(H432=1))</f>
        <v/>
      </c>
      <c r="AI432" s="4">
        <f>IF(OR($B432="",I432=""),"",--(I432=$B432))</f>
        <v/>
      </c>
      <c r="AJ432" s="4">
        <f>IF(OR($B432="",I432=""),"",IF($B432=1,--(I432=1),""))</f>
        <v/>
      </c>
      <c r="AK432" s="4">
        <f>IF(OR($B432="",I432=""),"",IF($B432=0,--(I432=0),""))</f>
        <v/>
      </c>
      <c r="AL432" s="4">
        <f>IF(I432="","",--(I432=1))</f>
        <v/>
      </c>
      <c r="AM432" s="4">
        <f>IF(OR($B432="",J432=""),"",--(J432=$B432))</f>
        <v/>
      </c>
      <c r="AN432" s="4">
        <f>IF(OR($B432="",J432=""),"",IF($B432=1,--(J432=1),""))</f>
        <v/>
      </c>
      <c r="AO432" s="4">
        <f>IF(OR($B432="",J432=""),"",IF($B432=0,--(J432=0),""))</f>
        <v/>
      </c>
      <c r="AP432" s="4">
        <f>IF(J432="","",--(J432=1))</f>
        <v/>
      </c>
      <c r="AQ432" s="4">
        <f>IF(OR($B432="",K432=""),"",--(K432=$B432))</f>
        <v/>
      </c>
      <c r="AR432" s="4">
        <f>IF(OR($B432="",K432=""),"",IF($B432=1,--(K432=1),""))</f>
        <v/>
      </c>
      <c r="AS432" s="4">
        <f>IF(OR($B432="",K432=""),"",IF($B432=0,--(K432=0),""))</f>
        <v/>
      </c>
      <c r="AT432" s="4">
        <f>IF(K432="","",--(K432=1))</f>
        <v/>
      </c>
      <c r="AU432" s="4">
        <f>IF(OR($B432="",L432=""),"",--(L432=$B432))</f>
        <v/>
      </c>
      <c r="AV432" s="4">
        <f>IF(OR($B432="",L432=""),"",IF($B432=1,--(L432=1),""))</f>
        <v/>
      </c>
      <c r="AW432" s="4">
        <f>IF(OR($B432="",L432=""),"",IF($B432=0,--(L432=0),""))</f>
        <v/>
      </c>
      <c r="AX432" s="4">
        <f>IF(L432="","",--(L432=1))</f>
        <v/>
      </c>
      <c r="AY432" s="4">
        <f>IF(OR($B432="",M432=""),"",--(M432=$B432))</f>
        <v/>
      </c>
      <c r="AZ432" s="4">
        <f>IF(OR($B432="",M432=""),"",IF($B432=1,--(M432=1),""))</f>
        <v/>
      </c>
      <c r="BA432" s="4">
        <f>IF(OR($B432="",M432=""),"",IF($B432=0,--(M432=0),""))</f>
        <v/>
      </c>
      <c r="BB432" s="4">
        <f>IF(M432="","",--(M432=1))</f>
        <v/>
      </c>
      <c r="BC432" s="4">
        <f>IF(OR($B432="",N432=""),"",--(N432=$B432))</f>
        <v/>
      </c>
      <c r="BD432" s="4">
        <f>IF(OR($B432="",N432=""),"",IF($B432=1,--(N432=1),""))</f>
        <v/>
      </c>
      <c r="BE432" s="4">
        <f>IF(OR($B432="",N432=""),"",IF($B432=0,--(N432=0),""))</f>
        <v/>
      </c>
      <c r="BF432" s="4">
        <f>IF(N432="","",--(N432=1))</f>
        <v/>
      </c>
    </row>
    <row r="433">
      <c r="A433" s="3" t="inlineStr">
        <is>
          <t>202244415</t>
        </is>
      </c>
      <c r="B433" s="3" t="inlineStr">
        <is>
          <t>0</t>
        </is>
      </c>
      <c r="C433" s="3" t="inlineStr">
        <is>
          <t>Direct</t>
        </is>
      </c>
      <c r="D433" s="3" t="inlineStr">
        <is>
          <t>1</t>
        </is>
      </c>
      <c r="E433" s="3" t="inlineStr">
        <is>
          <t>0</t>
        </is>
      </c>
      <c r="F433" s="3" t="inlineStr">
        <is>
          <t>1</t>
        </is>
      </c>
      <c r="G433" s="3" t="inlineStr">
        <is>
          <t>1</t>
        </is>
      </c>
      <c r="H433" s="3" t="inlineStr">
        <is>
          <t>1</t>
        </is>
      </c>
      <c r="I433" s="3" t="inlineStr">
        <is>
          <t>1</t>
        </is>
      </c>
      <c r="J433" s="3" t="inlineStr">
        <is>
          <t>1</t>
        </is>
      </c>
      <c r="K433" s="3" t="inlineStr">
        <is>
          <t>1</t>
        </is>
      </c>
      <c r="L433" s="3" t="inlineStr">
        <is>
          <t>1</t>
        </is>
      </c>
      <c r="M433" s="3" t="inlineStr">
        <is>
          <t>1</t>
        </is>
      </c>
      <c r="N433" s="3" t="inlineStr">
        <is>
          <t>1</t>
        </is>
      </c>
      <c r="O433" s="4">
        <f>IF(OR($B433="",D433=""),"",--(D433=$B433))</f>
        <v/>
      </c>
      <c r="P433" s="4">
        <f>IF(OR($B433="",D433=""),"",IF($B433=1,--(D433=1),""))</f>
        <v/>
      </c>
      <c r="Q433" s="4">
        <f>IF(OR($B433="",D433=""),"",IF($B433=0,--(D433=0),""))</f>
        <v/>
      </c>
      <c r="R433" s="4">
        <f>IF(D433="","",--(D433=1))</f>
        <v/>
      </c>
      <c r="S433" s="4">
        <f>IF(OR($B433="",E433=""),"",--(E433=$B433))</f>
        <v/>
      </c>
      <c r="T433" s="4">
        <f>IF(OR($B433="",E433=""),"",IF($B433=1,--(E433=1),""))</f>
        <v/>
      </c>
      <c r="U433" s="4">
        <f>IF(OR($B433="",E433=""),"",IF($B433=0,--(E433=0),""))</f>
        <v/>
      </c>
      <c r="V433" s="4">
        <f>IF(E433="","",--(E433=1))</f>
        <v/>
      </c>
      <c r="W433" s="4">
        <f>IF(OR($B433="",F433=""),"",--(F433=$B433))</f>
        <v/>
      </c>
      <c r="X433" s="4">
        <f>IF(OR($B433="",F433=""),"",IF($B433=1,--(F433=1),""))</f>
        <v/>
      </c>
      <c r="Y433" s="4">
        <f>IF(OR($B433="",F433=""),"",IF($B433=0,--(F433=0),""))</f>
        <v/>
      </c>
      <c r="Z433" s="4">
        <f>IF(F433="","",--(F433=1))</f>
        <v/>
      </c>
      <c r="AA433" s="4">
        <f>IF(OR($B433="",G433=""),"",--(G433=$B433))</f>
        <v/>
      </c>
      <c r="AB433" s="4">
        <f>IF(OR($B433="",G433=""),"",IF($B433=1,--(G433=1),""))</f>
        <v/>
      </c>
      <c r="AC433" s="4">
        <f>IF(OR($B433="",G433=""),"",IF($B433=0,--(G433=0),""))</f>
        <v/>
      </c>
      <c r="AD433" s="4">
        <f>IF(G433="","",--(G433=1))</f>
        <v/>
      </c>
      <c r="AE433" s="4">
        <f>IF(OR($B433="",H433=""),"",--(H433=$B433))</f>
        <v/>
      </c>
      <c r="AF433" s="4">
        <f>IF(OR($B433="",H433=""),"",IF($B433=1,--(H433=1),""))</f>
        <v/>
      </c>
      <c r="AG433" s="4">
        <f>IF(OR($B433="",H433=""),"",IF($B433=0,--(H433=0),""))</f>
        <v/>
      </c>
      <c r="AH433" s="4">
        <f>IF(H433="","",--(H433=1))</f>
        <v/>
      </c>
      <c r="AI433" s="4">
        <f>IF(OR($B433="",I433=""),"",--(I433=$B433))</f>
        <v/>
      </c>
      <c r="AJ433" s="4">
        <f>IF(OR($B433="",I433=""),"",IF($B433=1,--(I433=1),""))</f>
        <v/>
      </c>
      <c r="AK433" s="4">
        <f>IF(OR($B433="",I433=""),"",IF($B433=0,--(I433=0),""))</f>
        <v/>
      </c>
      <c r="AL433" s="4">
        <f>IF(I433="","",--(I433=1))</f>
        <v/>
      </c>
      <c r="AM433" s="4">
        <f>IF(OR($B433="",J433=""),"",--(J433=$B433))</f>
        <v/>
      </c>
      <c r="AN433" s="4">
        <f>IF(OR($B433="",J433=""),"",IF($B433=1,--(J433=1),""))</f>
        <v/>
      </c>
      <c r="AO433" s="4">
        <f>IF(OR($B433="",J433=""),"",IF($B433=0,--(J433=0),""))</f>
        <v/>
      </c>
      <c r="AP433" s="4">
        <f>IF(J433="","",--(J433=1))</f>
        <v/>
      </c>
      <c r="AQ433" s="4">
        <f>IF(OR($B433="",K433=""),"",--(K433=$B433))</f>
        <v/>
      </c>
      <c r="AR433" s="4">
        <f>IF(OR($B433="",K433=""),"",IF($B433=1,--(K433=1),""))</f>
        <v/>
      </c>
      <c r="AS433" s="4">
        <f>IF(OR($B433="",K433=""),"",IF($B433=0,--(K433=0),""))</f>
        <v/>
      </c>
      <c r="AT433" s="4">
        <f>IF(K433="","",--(K433=1))</f>
        <v/>
      </c>
      <c r="AU433" s="4">
        <f>IF(OR($B433="",L433=""),"",--(L433=$B433))</f>
        <v/>
      </c>
      <c r="AV433" s="4">
        <f>IF(OR($B433="",L433=""),"",IF($B433=1,--(L433=1),""))</f>
        <v/>
      </c>
      <c r="AW433" s="4">
        <f>IF(OR($B433="",L433=""),"",IF($B433=0,--(L433=0),""))</f>
        <v/>
      </c>
      <c r="AX433" s="4">
        <f>IF(L433="","",--(L433=1))</f>
        <v/>
      </c>
      <c r="AY433" s="4">
        <f>IF(OR($B433="",M433=""),"",--(M433=$B433))</f>
        <v/>
      </c>
      <c r="AZ433" s="4">
        <f>IF(OR($B433="",M433=""),"",IF($B433=1,--(M433=1),""))</f>
        <v/>
      </c>
      <c r="BA433" s="4">
        <f>IF(OR($B433="",M433=""),"",IF($B433=0,--(M433=0),""))</f>
        <v/>
      </c>
      <c r="BB433" s="4">
        <f>IF(M433="","",--(M433=1))</f>
        <v/>
      </c>
      <c r="BC433" s="4">
        <f>IF(OR($B433="",N433=""),"",--(N433=$B433))</f>
        <v/>
      </c>
      <c r="BD433" s="4">
        <f>IF(OR($B433="",N433=""),"",IF($B433=1,--(N433=1),""))</f>
        <v/>
      </c>
      <c r="BE433" s="4">
        <f>IF(OR($B433="",N433=""),"",IF($B433=0,--(N433=0),""))</f>
        <v/>
      </c>
      <c r="BF433" s="4">
        <f>IF(N433="","",--(N433=1))</f>
        <v/>
      </c>
    </row>
    <row r="434">
      <c r="A434" s="3" t="inlineStr">
        <is>
          <t>202244461</t>
        </is>
      </c>
      <c r="B434" s="3" t="inlineStr">
        <is>
          <t>1</t>
        </is>
      </c>
      <c r="C434" s="3" t="inlineStr">
        <is>
          <t>Direct</t>
        </is>
      </c>
      <c r="D434" s="3" t="inlineStr">
        <is>
          <t>1</t>
        </is>
      </c>
      <c r="E434" s="3" t="inlineStr">
        <is>
          <t>1</t>
        </is>
      </c>
      <c r="F434" s="3" t="inlineStr">
        <is>
          <t>0</t>
        </is>
      </c>
      <c r="G434" s="3" t="inlineStr">
        <is>
          <t>1</t>
        </is>
      </c>
      <c r="H434" s="3" t="inlineStr">
        <is>
          <t>0</t>
        </is>
      </c>
      <c r="I434" s="3" t="inlineStr">
        <is>
          <t>0</t>
        </is>
      </c>
      <c r="J434" s="3" t="inlineStr">
        <is>
          <t>1</t>
        </is>
      </c>
      <c r="K434" s="3" t="inlineStr">
        <is>
          <t>1</t>
        </is>
      </c>
      <c r="L434" s="3" t="inlineStr">
        <is>
          <t>1</t>
        </is>
      </c>
      <c r="M434" s="3" t="inlineStr">
        <is>
          <t>1</t>
        </is>
      </c>
      <c r="N434" s="3" t="inlineStr">
        <is>
          <t>1</t>
        </is>
      </c>
      <c r="O434" s="4">
        <f>IF(OR($B434="",D434=""),"",--(D434=$B434))</f>
        <v/>
      </c>
      <c r="P434" s="4">
        <f>IF(OR($B434="",D434=""),"",IF($B434=1,--(D434=1),""))</f>
        <v/>
      </c>
      <c r="Q434" s="4">
        <f>IF(OR($B434="",D434=""),"",IF($B434=0,--(D434=0),""))</f>
        <v/>
      </c>
      <c r="R434" s="4">
        <f>IF(D434="","",--(D434=1))</f>
        <v/>
      </c>
      <c r="S434" s="4">
        <f>IF(OR($B434="",E434=""),"",--(E434=$B434))</f>
        <v/>
      </c>
      <c r="T434" s="4">
        <f>IF(OR($B434="",E434=""),"",IF($B434=1,--(E434=1),""))</f>
        <v/>
      </c>
      <c r="U434" s="4">
        <f>IF(OR($B434="",E434=""),"",IF($B434=0,--(E434=0),""))</f>
        <v/>
      </c>
      <c r="V434" s="4">
        <f>IF(E434="","",--(E434=1))</f>
        <v/>
      </c>
      <c r="W434" s="4">
        <f>IF(OR($B434="",F434=""),"",--(F434=$B434))</f>
        <v/>
      </c>
      <c r="X434" s="4">
        <f>IF(OR($B434="",F434=""),"",IF($B434=1,--(F434=1),""))</f>
        <v/>
      </c>
      <c r="Y434" s="4">
        <f>IF(OR($B434="",F434=""),"",IF($B434=0,--(F434=0),""))</f>
        <v/>
      </c>
      <c r="Z434" s="4">
        <f>IF(F434="","",--(F434=1))</f>
        <v/>
      </c>
      <c r="AA434" s="4">
        <f>IF(OR($B434="",G434=""),"",--(G434=$B434))</f>
        <v/>
      </c>
      <c r="AB434" s="4">
        <f>IF(OR($B434="",G434=""),"",IF($B434=1,--(G434=1),""))</f>
        <v/>
      </c>
      <c r="AC434" s="4">
        <f>IF(OR($B434="",G434=""),"",IF($B434=0,--(G434=0),""))</f>
        <v/>
      </c>
      <c r="AD434" s="4">
        <f>IF(G434="","",--(G434=1))</f>
        <v/>
      </c>
      <c r="AE434" s="4">
        <f>IF(OR($B434="",H434=""),"",--(H434=$B434))</f>
        <v/>
      </c>
      <c r="AF434" s="4">
        <f>IF(OR($B434="",H434=""),"",IF($B434=1,--(H434=1),""))</f>
        <v/>
      </c>
      <c r="AG434" s="4">
        <f>IF(OR($B434="",H434=""),"",IF($B434=0,--(H434=0),""))</f>
        <v/>
      </c>
      <c r="AH434" s="4">
        <f>IF(H434="","",--(H434=1))</f>
        <v/>
      </c>
      <c r="AI434" s="4">
        <f>IF(OR($B434="",I434=""),"",--(I434=$B434))</f>
        <v/>
      </c>
      <c r="AJ434" s="4">
        <f>IF(OR($B434="",I434=""),"",IF($B434=1,--(I434=1),""))</f>
        <v/>
      </c>
      <c r="AK434" s="4">
        <f>IF(OR($B434="",I434=""),"",IF($B434=0,--(I434=0),""))</f>
        <v/>
      </c>
      <c r="AL434" s="4">
        <f>IF(I434="","",--(I434=1))</f>
        <v/>
      </c>
      <c r="AM434" s="4">
        <f>IF(OR($B434="",J434=""),"",--(J434=$B434))</f>
        <v/>
      </c>
      <c r="AN434" s="4">
        <f>IF(OR($B434="",J434=""),"",IF($B434=1,--(J434=1),""))</f>
        <v/>
      </c>
      <c r="AO434" s="4">
        <f>IF(OR($B434="",J434=""),"",IF($B434=0,--(J434=0),""))</f>
        <v/>
      </c>
      <c r="AP434" s="4">
        <f>IF(J434="","",--(J434=1))</f>
        <v/>
      </c>
      <c r="AQ434" s="4">
        <f>IF(OR($B434="",K434=""),"",--(K434=$B434))</f>
        <v/>
      </c>
      <c r="AR434" s="4">
        <f>IF(OR($B434="",K434=""),"",IF($B434=1,--(K434=1),""))</f>
        <v/>
      </c>
      <c r="AS434" s="4">
        <f>IF(OR($B434="",K434=""),"",IF($B434=0,--(K434=0),""))</f>
        <v/>
      </c>
      <c r="AT434" s="4">
        <f>IF(K434="","",--(K434=1))</f>
        <v/>
      </c>
      <c r="AU434" s="4">
        <f>IF(OR($B434="",L434=""),"",--(L434=$B434))</f>
        <v/>
      </c>
      <c r="AV434" s="4">
        <f>IF(OR($B434="",L434=""),"",IF($B434=1,--(L434=1),""))</f>
        <v/>
      </c>
      <c r="AW434" s="4">
        <f>IF(OR($B434="",L434=""),"",IF($B434=0,--(L434=0),""))</f>
        <v/>
      </c>
      <c r="AX434" s="4">
        <f>IF(L434="","",--(L434=1))</f>
        <v/>
      </c>
      <c r="AY434" s="4">
        <f>IF(OR($B434="",M434=""),"",--(M434=$B434))</f>
        <v/>
      </c>
      <c r="AZ434" s="4">
        <f>IF(OR($B434="",M434=""),"",IF($B434=1,--(M434=1),""))</f>
        <v/>
      </c>
      <c r="BA434" s="4">
        <f>IF(OR($B434="",M434=""),"",IF($B434=0,--(M434=0),""))</f>
        <v/>
      </c>
      <c r="BB434" s="4">
        <f>IF(M434="","",--(M434=1))</f>
        <v/>
      </c>
      <c r="BC434" s="4">
        <f>IF(OR($B434="",N434=""),"",--(N434=$B434))</f>
        <v/>
      </c>
      <c r="BD434" s="4">
        <f>IF(OR($B434="",N434=""),"",IF($B434=1,--(N434=1),""))</f>
        <v/>
      </c>
      <c r="BE434" s="4">
        <f>IF(OR($B434="",N434=""),"",IF($B434=0,--(N434=0),""))</f>
        <v/>
      </c>
      <c r="BF434" s="4">
        <f>IF(N434="","",--(N434=1))</f>
        <v/>
      </c>
    </row>
    <row r="435">
      <c r="A435" s="3" t="inlineStr">
        <is>
          <t>202246333</t>
        </is>
      </c>
      <c r="B435" s="3" t="inlineStr">
        <is>
          <t>1</t>
        </is>
      </c>
      <c r="C435" s="3" t="inlineStr">
        <is>
          <t>Direct</t>
        </is>
      </c>
      <c r="D435" s="3" t="inlineStr">
        <is>
          <t>1</t>
        </is>
      </c>
      <c r="E435" s="3" t="inlineStr">
        <is>
          <t>1</t>
        </is>
      </c>
      <c r="F435" s="3" t="inlineStr">
        <is>
          <t>0</t>
        </is>
      </c>
      <c r="G435" s="3" t="inlineStr">
        <is>
          <t>0</t>
        </is>
      </c>
      <c r="H435" s="3" t="inlineStr">
        <is>
          <t>0</t>
        </is>
      </c>
      <c r="I435" s="3" t="inlineStr">
        <is>
          <t>0</t>
        </is>
      </c>
      <c r="J435" s="3" t="inlineStr">
        <is>
          <t>1</t>
        </is>
      </c>
      <c r="K435" s="3" t="inlineStr">
        <is>
          <t>1</t>
        </is>
      </c>
      <c r="L435" s="3" t="inlineStr">
        <is>
          <t>1</t>
        </is>
      </c>
      <c r="M435" s="3" t="inlineStr">
        <is>
          <t>1</t>
        </is>
      </c>
      <c r="N435" s="3" t="inlineStr">
        <is>
          <t>1</t>
        </is>
      </c>
      <c r="O435" s="4">
        <f>IF(OR($B435="",D435=""),"",--(D435=$B435))</f>
        <v/>
      </c>
      <c r="P435" s="4">
        <f>IF(OR($B435="",D435=""),"",IF($B435=1,--(D435=1),""))</f>
        <v/>
      </c>
      <c r="Q435" s="4">
        <f>IF(OR($B435="",D435=""),"",IF($B435=0,--(D435=0),""))</f>
        <v/>
      </c>
      <c r="R435" s="4">
        <f>IF(D435="","",--(D435=1))</f>
        <v/>
      </c>
      <c r="S435" s="4">
        <f>IF(OR($B435="",E435=""),"",--(E435=$B435))</f>
        <v/>
      </c>
      <c r="T435" s="4">
        <f>IF(OR($B435="",E435=""),"",IF($B435=1,--(E435=1),""))</f>
        <v/>
      </c>
      <c r="U435" s="4">
        <f>IF(OR($B435="",E435=""),"",IF($B435=0,--(E435=0),""))</f>
        <v/>
      </c>
      <c r="V435" s="4">
        <f>IF(E435="","",--(E435=1))</f>
        <v/>
      </c>
      <c r="W435" s="4">
        <f>IF(OR($B435="",F435=""),"",--(F435=$B435))</f>
        <v/>
      </c>
      <c r="X435" s="4">
        <f>IF(OR($B435="",F435=""),"",IF($B435=1,--(F435=1),""))</f>
        <v/>
      </c>
      <c r="Y435" s="4">
        <f>IF(OR($B435="",F435=""),"",IF($B435=0,--(F435=0),""))</f>
        <v/>
      </c>
      <c r="Z435" s="4">
        <f>IF(F435="","",--(F435=1))</f>
        <v/>
      </c>
      <c r="AA435" s="4">
        <f>IF(OR($B435="",G435=""),"",--(G435=$B435))</f>
        <v/>
      </c>
      <c r="AB435" s="4">
        <f>IF(OR($B435="",G435=""),"",IF($B435=1,--(G435=1),""))</f>
        <v/>
      </c>
      <c r="AC435" s="4">
        <f>IF(OR($B435="",G435=""),"",IF($B435=0,--(G435=0),""))</f>
        <v/>
      </c>
      <c r="AD435" s="4">
        <f>IF(G435="","",--(G435=1))</f>
        <v/>
      </c>
      <c r="AE435" s="4">
        <f>IF(OR($B435="",H435=""),"",--(H435=$B435))</f>
        <v/>
      </c>
      <c r="AF435" s="4">
        <f>IF(OR($B435="",H435=""),"",IF($B435=1,--(H435=1),""))</f>
        <v/>
      </c>
      <c r="AG435" s="4">
        <f>IF(OR($B435="",H435=""),"",IF($B435=0,--(H435=0),""))</f>
        <v/>
      </c>
      <c r="AH435" s="4">
        <f>IF(H435="","",--(H435=1))</f>
        <v/>
      </c>
      <c r="AI435" s="4">
        <f>IF(OR($B435="",I435=""),"",--(I435=$B435))</f>
        <v/>
      </c>
      <c r="AJ435" s="4">
        <f>IF(OR($B435="",I435=""),"",IF($B435=1,--(I435=1),""))</f>
        <v/>
      </c>
      <c r="AK435" s="4">
        <f>IF(OR($B435="",I435=""),"",IF($B435=0,--(I435=0),""))</f>
        <v/>
      </c>
      <c r="AL435" s="4">
        <f>IF(I435="","",--(I435=1))</f>
        <v/>
      </c>
      <c r="AM435" s="4">
        <f>IF(OR($B435="",J435=""),"",--(J435=$B435))</f>
        <v/>
      </c>
      <c r="AN435" s="4">
        <f>IF(OR($B435="",J435=""),"",IF($B435=1,--(J435=1),""))</f>
        <v/>
      </c>
      <c r="AO435" s="4">
        <f>IF(OR($B435="",J435=""),"",IF($B435=0,--(J435=0),""))</f>
        <v/>
      </c>
      <c r="AP435" s="4">
        <f>IF(J435="","",--(J435=1))</f>
        <v/>
      </c>
      <c r="AQ435" s="4">
        <f>IF(OR($B435="",K435=""),"",--(K435=$B435))</f>
        <v/>
      </c>
      <c r="AR435" s="4">
        <f>IF(OR($B435="",K435=""),"",IF($B435=1,--(K435=1),""))</f>
        <v/>
      </c>
      <c r="AS435" s="4">
        <f>IF(OR($B435="",K435=""),"",IF($B435=0,--(K435=0),""))</f>
        <v/>
      </c>
      <c r="AT435" s="4">
        <f>IF(K435="","",--(K435=1))</f>
        <v/>
      </c>
      <c r="AU435" s="4">
        <f>IF(OR($B435="",L435=""),"",--(L435=$B435))</f>
        <v/>
      </c>
      <c r="AV435" s="4">
        <f>IF(OR($B435="",L435=""),"",IF($B435=1,--(L435=1),""))</f>
        <v/>
      </c>
      <c r="AW435" s="4">
        <f>IF(OR($B435="",L435=""),"",IF($B435=0,--(L435=0),""))</f>
        <v/>
      </c>
      <c r="AX435" s="4">
        <f>IF(L435="","",--(L435=1))</f>
        <v/>
      </c>
      <c r="AY435" s="4">
        <f>IF(OR($B435="",M435=""),"",--(M435=$B435))</f>
        <v/>
      </c>
      <c r="AZ435" s="4">
        <f>IF(OR($B435="",M435=""),"",IF($B435=1,--(M435=1),""))</f>
        <v/>
      </c>
      <c r="BA435" s="4">
        <f>IF(OR($B435="",M435=""),"",IF($B435=0,--(M435=0),""))</f>
        <v/>
      </c>
      <c r="BB435" s="4">
        <f>IF(M435="","",--(M435=1))</f>
        <v/>
      </c>
      <c r="BC435" s="4">
        <f>IF(OR($B435="",N435=""),"",--(N435=$B435))</f>
        <v/>
      </c>
      <c r="BD435" s="4">
        <f>IF(OR($B435="",N435=""),"",IF($B435=1,--(N435=1),""))</f>
        <v/>
      </c>
      <c r="BE435" s="4">
        <f>IF(OR($B435="",N435=""),"",IF($B435=0,--(N435=0),""))</f>
        <v/>
      </c>
      <c r="BF435" s="4">
        <f>IF(N435="","",--(N435=1))</f>
        <v/>
      </c>
    </row>
    <row r="436">
      <c r="A436" s="3" t="inlineStr">
        <is>
          <t>202247209</t>
        </is>
      </c>
      <c r="B436" s="3" t="inlineStr">
        <is>
          <t>0</t>
        </is>
      </c>
      <c r="C436" s="3" t="inlineStr">
        <is>
          <t>Direct</t>
        </is>
      </c>
      <c r="D436" s="3" t="inlineStr">
        <is>
          <t>1</t>
        </is>
      </c>
      <c r="E436" s="3" t="inlineStr">
        <is>
          <t>1</t>
        </is>
      </c>
      <c r="F436" s="3" t="inlineStr">
        <is>
          <t>0</t>
        </is>
      </c>
      <c r="G436" s="3" t="inlineStr">
        <is>
          <t>0</t>
        </is>
      </c>
      <c r="H436" s="3" t="inlineStr">
        <is>
          <t>1</t>
        </is>
      </c>
      <c r="I436" s="3" t="inlineStr">
        <is>
          <t>0</t>
        </is>
      </c>
      <c r="J436" s="3" t="inlineStr">
        <is>
          <t>0</t>
        </is>
      </c>
      <c r="K436" s="3" t="inlineStr">
        <is>
          <t>0</t>
        </is>
      </c>
      <c r="L436" s="3" t="inlineStr">
        <is>
          <t>0</t>
        </is>
      </c>
      <c r="M436" s="3" t="inlineStr">
        <is>
          <t>1</t>
        </is>
      </c>
      <c r="N436" s="3" t="inlineStr">
        <is>
          <t>1</t>
        </is>
      </c>
      <c r="O436" s="4">
        <f>IF(OR($B436="",D436=""),"",--(D436=$B436))</f>
        <v/>
      </c>
      <c r="P436" s="4">
        <f>IF(OR($B436="",D436=""),"",IF($B436=1,--(D436=1),""))</f>
        <v/>
      </c>
      <c r="Q436" s="4">
        <f>IF(OR($B436="",D436=""),"",IF($B436=0,--(D436=0),""))</f>
        <v/>
      </c>
      <c r="R436" s="4">
        <f>IF(D436="","",--(D436=1))</f>
        <v/>
      </c>
      <c r="S436" s="4">
        <f>IF(OR($B436="",E436=""),"",--(E436=$B436))</f>
        <v/>
      </c>
      <c r="T436" s="4">
        <f>IF(OR($B436="",E436=""),"",IF($B436=1,--(E436=1),""))</f>
        <v/>
      </c>
      <c r="U436" s="4">
        <f>IF(OR($B436="",E436=""),"",IF($B436=0,--(E436=0),""))</f>
        <v/>
      </c>
      <c r="V436" s="4">
        <f>IF(E436="","",--(E436=1))</f>
        <v/>
      </c>
      <c r="W436" s="4">
        <f>IF(OR($B436="",F436=""),"",--(F436=$B436))</f>
        <v/>
      </c>
      <c r="X436" s="4">
        <f>IF(OR($B436="",F436=""),"",IF($B436=1,--(F436=1),""))</f>
        <v/>
      </c>
      <c r="Y436" s="4">
        <f>IF(OR($B436="",F436=""),"",IF($B436=0,--(F436=0),""))</f>
        <v/>
      </c>
      <c r="Z436" s="4">
        <f>IF(F436="","",--(F436=1))</f>
        <v/>
      </c>
      <c r="AA436" s="4">
        <f>IF(OR($B436="",G436=""),"",--(G436=$B436))</f>
        <v/>
      </c>
      <c r="AB436" s="4">
        <f>IF(OR($B436="",G436=""),"",IF($B436=1,--(G436=1),""))</f>
        <v/>
      </c>
      <c r="AC436" s="4">
        <f>IF(OR($B436="",G436=""),"",IF($B436=0,--(G436=0),""))</f>
        <v/>
      </c>
      <c r="AD436" s="4">
        <f>IF(G436="","",--(G436=1))</f>
        <v/>
      </c>
      <c r="AE436" s="4">
        <f>IF(OR($B436="",H436=""),"",--(H436=$B436))</f>
        <v/>
      </c>
      <c r="AF436" s="4">
        <f>IF(OR($B436="",H436=""),"",IF($B436=1,--(H436=1),""))</f>
        <v/>
      </c>
      <c r="AG436" s="4">
        <f>IF(OR($B436="",H436=""),"",IF($B436=0,--(H436=0),""))</f>
        <v/>
      </c>
      <c r="AH436" s="4">
        <f>IF(H436="","",--(H436=1))</f>
        <v/>
      </c>
      <c r="AI436" s="4">
        <f>IF(OR($B436="",I436=""),"",--(I436=$B436))</f>
        <v/>
      </c>
      <c r="AJ436" s="4">
        <f>IF(OR($B436="",I436=""),"",IF($B436=1,--(I436=1),""))</f>
        <v/>
      </c>
      <c r="AK436" s="4">
        <f>IF(OR($B436="",I436=""),"",IF($B436=0,--(I436=0),""))</f>
        <v/>
      </c>
      <c r="AL436" s="4">
        <f>IF(I436="","",--(I436=1))</f>
        <v/>
      </c>
      <c r="AM436" s="4">
        <f>IF(OR($B436="",J436=""),"",--(J436=$B436))</f>
        <v/>
      </c>
      <c r="AN436" s="4">
        <f>IF(OR($B436="",J436=""),"",IF($B436=1,--(J436=1),""))</f>
        <v/>
      </c>
      <c r="AO436" s="4">
        <f>IF(OR($B436="",J436=""),"",IF($B436=0,--(J436=0),""))</f>
        <v/>
      </c>
      <c r="AP436" s="4">
        <f>IF(J436="","",--(J436=1))</f>
        <v/>
      </c>
      <c r="AQ436" s="4">
        <f>IF(OR($B436="",K436=""),"",--(K436=$B436))</f>
        <v/>
      </c>
      <c r="AR436" s="4">
        <f>IF(OR($B436="",K436=""),"",IF($B436=1,--(K436=1),""))</f>
        <v/>
      </c>
      <c r="AS436" s="4">
        <f>IF(OR($B436="",K436=""),"",IF($B436=0,--(K436=0),""))</f>
        <v/>
      </c>
      <c r="AT436" s="4">
        <f>IF(K436="","",--(K436=1))</f>
        <v/>
      </c>
      <c r="AU436" s="4">
        <f>IF(OR($B436="",L436=""),"",--(L436=$B436))</f>
        <v/>
      </c>
      <c r="AV436" s="4">
        <f>IF(OR($B436="",L436=""),"",IF($B436=1,--(L436=1),""))</f>
        <v/>
      </c>
      <c r="AW436" s="4">
        <f>IF(OR($B436="",L436=""),"",IF($B436=0,--(L436=0),""))</f>
        <v/>
      </c>
      <c r="AX436" s="4">
        <f>IF(L436="","",--(L436=1))</f>
        <v/>
      </c>
      <c r="AY436" s="4">
        <f>IF(OR($B436="",M436=""),"",--(M436=$B436))</f>
        <v/>
      </c>
      <c r="AZ436" s="4">
        <f>IF(OR($B436="",M436=""),"",IF($B436=1,--(M436=1),""))</f>
        <v/>
      </c>
      <c r="BA436" s="4">
        <f>IF(OR($B436="",M436=""),"",IF($B436=0,--(M436=0),""))</f>
        <v/>
      </c>
      <c r="BB436" s="4">
        <f>IF(M436="","",--(M436=1))</f>
        <v/>
      </c>
      <c r="BC436" s="4">
        <f>IF(OR($B436="",N436=""),"",--(N436=$B436))</f>
        <v/>
      </c>
      <c r="BD436" s="4">
        <f>IF(OR($B436="",N436=""),"",IF($B436=1,--(N436=1),""))</f>
        <v/>
      </c>
      <c r="BE436" s="4">
        <f>IF(OR($B436="",N436=""),"",IF($B436=0,--(N436=0),""))</f>
        <v/>
      </c>
      <c r="BF436" s="4">
        <f>IF(N436="","",--(N436=1))</f>
        <v/>
      </c>
    </row>
    <row r="437">
      <c r="A437" s="3" t="inlineStr">
        <is>
          <t>202248231</t>
        </is>
      </c>
      <c r="B437" s="3" t="inlineStr">
        <is>
          <t>0</t>
        </is>
      </c>
      <c r="C437" s="3" t="inlineStr">
        <is>
          <t>Direct</t>
        </is>
      </c>
      <c r="D437" s="3" t="inlineStr">
        <is>
          <t>0</t>
        </is>
      </c>
      <c r="E437" s="3" t="inlineStr">
        <is>
          <t>1</t>
        </is>
      </c>
      <c r="F437" s="3" t="inlineStr">
        <is>
          <t>0</t>
        </is>
      </c>
      <c r="G437" s="3" t="inlineStr">
        <is>
          <t>0</t>
        </is>
      </c>
      <c r="H437" s="3" t="inlineStr">
        <is>
          <t>0</t>
        </is>
      </c>
      <c r="I437" s="3" t="inlineStr">
        <is>
          <t>1</t>
        </is>
      </c>
      <c r="J437" s="3" t="inlineStr">
        <is>
          <t>1</t>
        </is>
      </c>
      <c r="K437" s="3" t="inlineStr">
        <is>
          <t>1</t>
        </is>
      </c>
      <c r="L437" s="3" t="inlineStr">
        <is>
          <t>1</t>
        </is>
      </c>
      <c r="M437" s="3" t="inlineStr">
        <is>
          <t>1</t>
        </is>
      </c>
      <c r="N437" s="3" t="inlineStr">
        <is>
          <t>1</t>
        </is>
      </c>
      <c r="O437" s="4">
        <f>IF(OR($B437="",D437=""),"",--(D437=$B437))</f>
        <v/>
      </c>
      <c r="P437" s="4">
        <f>IF(OR($B437="",D437=""),"",IF($B437=1,--(D437=1),""))</f>
        <v/>
      </c>
      <c r="Q437" s="4">
        <f>IF(OR($B437="",D437=""),"",IF($B437=0,--(D437=0),""))</f>
        <v/>
      </c>
      <c r="R437" s="4">
        <f>IF(D437="","",--(D437=1))</f>
        <v/>
      </c>
      <c r="S437" s="4">
        <f>IF(OR($B437="",E437=""),"",--(E437=$B437))</f>
        <v/>
      </c>
      <c r="T437" s="4">
        <f>IF(OR($B437="",E437=""),"",IF($B437=1,--(E437=1),""))</f>
        <v/>
      </c>
      <c r="U437" s="4">
        <f>IF(OR($B437="",E437=""),"",IF($B437=0,--(E437=0),""))</f>
        <v/>
      </c>
      <c r="V437" s="4">
        <f>IF(E437="","",--(E437=1))</f>
        <v/>
      </c>
      <c r="W437" s="4">
        <f>IF(OR($B437="",F437=""),"",--(F437=$B437))</f>
        <v/>
      </c>
      <c r="X437" s="4">
        <f>IF(OR($B437="",F437=""),"",IF($B437=1,--(F437=1),""))</f>
        <v/>
      </c>
      <c r="Y437" s="4">
        <f>IF(OR($B437="",F437=""),"",IF($B437=0,--(F437=0),""))</f>
        <v/>
      </c>
      <c r="Z437" s="4">
        <f>IF(F437="","",--(F437=1))</f>
        <v/>
      </c>
      <c r="AA437" s="4">
        <f>IF(OR($B437="",G437=""),"",--(G437=$B437))</f>
        <v/>
      </c>
      <c r="AB437" s="4">
        <f>IF(OR($B437="",G437=""),"",IF($B437=1,--(G437=1),""))</f>
        <v/>
      </c>
      <c r="AC437" s="4">
        <f>IF(OR($B437="",G437=""),"",IF($B437=0,--(G437=0),""))</f>
        <v/>
      </c>
      <c r="AD437" s="4">
        <f>IF(G437="","",--(G437=1))</f>
        <v/>
      </c>
      <c r="AE437" s="4">
        <f>IF(OR($B437="",H437=""),"",--(H437=$B437))</f>
        <v/>
      </c>
      <c r="AF437" s="4">
        <f>IF(OR($B437="",H437=""),"",IF($B437=1,--(H437=1),""))</f>
        <v/>
      </c>
      <c r="AG437" s="4">
        <f>IF(OR($B437="",H437=""),"",IF($B437=0,--(H437=0),""))</f>
        <v/>
      </c>
      <c r="AH437" s="4">
        <f>IF(H437="","",--(H437=1))</f>
        <v/>
      </c>
      <c r="AI437" s="4">
        <f>IF(OR($B437="",I437=""),"",--(I437=$B437))</f>
        <v/>
      </c>
      <c r="AJ437" s="4">
        <f>IF(OR($B437="",I437=""),"",IF($B437=1,--(I437=1),""))</f>
        <v/>
      </c>
      <c r="AK437" s="4">
        <f>IF(OR($B437="",I437=""),"",IF($B437=0,--(I437=0),""))</f>
        <v/>
      </c>
      <c r="AL437" s="4">
        <f>IF(I437="","",--(I437=1))</f>
        <v/>
      </c>
      <c r="AM437" s="4">
        <f>IF(OR($B437="",J437=""),"",--(J437=$B437))</f>
        <v/>
      </c>
      <c r="AN437" s="4">
        <f>IF(OR($B437="",J437=""),"",IF($B437=1,--(J437=1),""))</f>
        <v/>
      </c>
      <c r="AO437" s="4">
        <f>IF(OR($B437="",J437=""),"",IF($B437=0,--(J437=0),""))</f>
        <v/>
      </c>
      <c r="AP437" s="4">
        <f>IF(J437="","",--(J437=1))</f>
        <v/>
      </c>
      <c r="AQ437" s="4">
        <f>IF(OR($B437="",K437=""),"",--(K437=$B437))</f>
        <v/>
      </c>
      <c r="AR437" s="4">
        <f>IF(OR($B437="",K437=""),"",IF($B437=1,--(K437=1),""))</f>
        <v/>
      </c>
      <c r="AS437" s="4">
        <f>IF(OR($B437="",K437=""),"",IF($B437=0,--(K437=0),""))</f>
        <v/>
      </c>
      <c r="AT437" s="4">
        <f>IF(K437="","",--(K437=1))</f>
        <v/>
      </c>
      <c r="AU437" s="4">
        <f>IF(OR($B437="",L437=""),"",--(L437=$B437))</f>
        <v/>
      </c>
      <c r="AV437" s="4">
        <f>IF(OR($B437="",L437=""),"",IF($B437=1,--(L437=1),""))</f>
        <v/>
      </c>
      <c r="AW437" s="4">
        <f>IF(OR($B437="",L437=""),"",IF($B437=0,--(L437=0),""))</f>
        <v/>
      </c>
      <c r="AX437" s="4">
        <f>IF(L437="","",--(L437=1))</f>
        <v/>
      </c>
      <c r="AY437" s="4">
        <f>IF(OR($B437="",M437=""),"",--(M437=$B437))</f>
        <v/>
      </c>
      <c r="AZ437" s="4">
        <f>IF(OR($B437="",M437=""),"",IF($B437=1,--(M437=1),""))</f>
        <v/>
      </c>
      <c r="BA437" s="4">
        <f>IF(OR($B437="",M437=""),"",IF($B437=0,--(M437=0),""))</f>
        <v/>
      </c>
      <c r="BB437" s="4">
        <f>IF(M437="","",--(M437=1))</f>
        <v/>
      </c>
      <c r="BC437" s="4">
        <f>IF(OR($B437="",N437=""),"",--(N437=$B437))</f>
        <v/>
      </c>
      <c r="BD437" s="4">
        <f>IF(OR($B437="",N437=""),"",IF($B437=1,--(N437=1),""))</f>
        <v/>
      </c>
      <c r="BE437" s="4">
        <f>IF(OR($B437="",N437=""),"",IF($B437=0,--(N437=0),""))</f>
        <v/>
      </c>
      <c r="BF437" s="4">
        <f>IF(N437="","",--(N437=1))</f>
        <v/>
      </c>
    </row>
    <row r="438">
      <c r="A438" s="3" t="inlineStr">
        <is>
          <t>202249086</t>
        </is>
      </c>
      <c r="B438" s="3" t="inlineStr">
        <is>
          <t>1</t>
        </is>
      </c>
      <c r="C438" s="3" t="inlineStr">
        <is>
          <t>Direct</t>
        </is>
      </c>
      <c r="D438" s="3" t="inlineStr">
        <is>
          <t>1</t>
        </is>
      </c>
      <c r="E438" s="3" t="inlineStr">
        <is>
          <t>1</t>
        </is>
      </c>
      <c r="F438" s="3" t="inlineStr">
        <is>
          <t>0</t>
        </is>
      </c>
      <c r="G438" s="3" t="inlineStr">
        <is>
          <t>0</t>
        </is>
      </c>
      <c r="H438" s="3" t="inlineStr">
        <is>
          <t>0</t>
        </is>
      </c>
      <c r="I438" s="3" t="inlineStr">
        <is>
          <t>0</t>
        </is>
      </c>
      <c r="J438" s="3" t="inlineStr">
        <is>
          <t>1</t>
        </is>
      </c>
      <c r="K438" s="3" t="inlineStr">
        <is>
          <t>1</t>
        </is>
      </c>
      <c r="L438" s="3" t="inlineStr">
        <is>
          <t>1</t>
        </is>
      </c>
      <c r="M438" s="3" t="inlineStr">
        <is>
          <t>1</t>
        </is>
      </c>
      <c r="N438" s="3" t="inlineStr">
        <is>
          <t>1</t>
        </is>
      </c>
      <c r="O438" s="4">
        <f>IF(OR($B438="",D438=""),"",--(D438=$B438))</f>
        <v/>
      </c>
      <c r="P438" s="4">
        <f>IF(OR($B438="",D438=""),"",IF($B438=1,--(D438=1),""))</f>
        <v/>
      </c>
      <c r="Q438" s="4">
        <f>IF(OR($B438="",D438=""),"",IF($B438=0,--(D438=0),""))</f>
        <v/>
      </c>
      <c r="R438" s="4">
        <f>IF(D438="","",--(D438=1))</f>
        <v/>
      </c>
      <c r="S438" s="4">
        <f>IF(OR($B438="",E438=""),"",--(E438=$B438))</f>
        <v/>
      </c>
      <c r="T438" s="4">
        <f>IF(OR($B438="",E438=""),"",IF($B438=1,--(E438=1),""))</f>
        <v/>
      </c>
      <c r="U438" s="4">
        <f>IF(OR($B438="",E438=""),"",IF($B438=0,--(E438=0),""))</f>
        <v/>
      </c>
      <c r="V438" s="4">
        <f>IF(E438="","",--(E438=1))</f>
        <v/>
      </c>
      <c r="W438" s="4">
        <f>IF(OR($B438="",F438=""),"",--(F438=$B438))</f>
        <v/>
      </c>
      <c r="X438" s="4">
        <f>IF(OR($B438="",F438=""),"",IF($B438=1,--(F438=1),""))</f>
        <v/>
      </c>
      <c r="Y438" s="4">
        <f>IF(OR($B438="",F438=""),"",IF($B438=0,--(F438=0),""))</f>
        <v/>
      </c>
      <c r="Z438" s="4">
        <f>IF(F438="","",--(F438=1))</f>
        <v/>
      </c>
      <c r="AA438" s="4">
        <f>IF(OR($B438="",G438=""),"",--(G438=$B438))</f>
        <v/>
      </c>
      <c r="AB438" s="4">
        <f>IF(OR($B438="",G438=""),"",IF($B438=1,--(G438=1),""))</f>
        <v/>
      </c>
      <c r="AC438" s="4">
        <f>IF(OR($B438="",G438=""),"",IF($B438=0,--(G438=0),""))</f>
        <v/>
      </c>
      <c r="AD438" s="4">
        <f>IF(G438="","",--(G438=1))</f>
        <v/>
      </c>
      <c r="AE438" s="4">
        <f>IF(OR($B438="",H438=""),"",--(H438=$B438))</f>
        <v/>
      </c>
      <c r="AF438" s="4">
        <f>IF(OR($B438="",H438=""),"",IF($B438=1,--(H438=1),""))</f>
        <v/>
      </c>
      <c r="AG438" s="4">
        <f>IF(OR($B438="",H438=""),"",IF($B438=0,--(H438=0),""))</f>
        <v/>
      </c>
      <c r="AH438" s="4">
        <f>IF(H438="","",--(H438=1))</f>
        <v/>
      </c>
      <c r="AI438" s="4">
        <f>IF(OR($B438="",I438=""),"",--(I438=$B438))</f>
        <v/>
      </c>
      <c r="AJ438" s="4">
        <f>IF(OR($B438="",I438=""),"",IF($B438=1,--(I438=1),""))</f>
        <v/>
      </c>
      <c r="AK438" s="4">
        <f>IF(OR($B438="",I438=""),"",IF($B438=0,--(I438=0),""))</f>
        <v/>
      </c>
      <c r="AL438" s="4">
        <f>IF(I438="","",--(I438=1))</f>
        <v/>
      </c>
      <c r="AM438" s="4">
        <f>IF(OR($B438="",J438=""),"",--(J438=$B438))</f>
        <v/>
      </c>
      <c r="AN438" s="4">
        <f>IF(OR($B438="",J438=""),"",IF($B438=1,--(J438=1),""))</f>
        <v/>
      </c>
      <c r="AO438" s="4">
        <f>IF(OR($B438="",J438=""),"",IF($B438=0,--(J438=0),""))</f>
        <v/>
      </c>
      <c r="AP438" s="4">
        <f>IF(J438="","",--(J438=1))</f>
        <v/>
      </c>
      <c r="AQ438" s="4">
        <f>IF(OR($B438="",K438=""),"",--(K438=$B438))</f>
        <v/>
      </c>
      <c r="AR438" s="4">
        <f>IF(OR($B438="",K438=""),"",IF($B438=1,--(K438=1),""))</f>
        <v/>
      </c>
      <c r="AS438" s="4">
        <f>IF(OR($B438="",K438=""),"",IF($B438=0,--(K438=0),""))</f>
        <v/>
      </c>
      <c r="AT438" s="4">
        <f>IF(K438="","",--(K438=1))</f>
        <v/>
      </c>
      <c r="AU438" s="4">
        <f>IF(OR($B438="",L438=""),"",--(L438=$B438))</f>
        <v/>
      </c>
      <c r="AV438" s="4">
        <f>IF(OR($B438="",L438=""),"",IF($B438=1,--(L438=1),""))</f>
        <v/>
      </c>
      <c r="AW438" s="4">
        <f>IF(OR($B438="",L438=""),"",IF($B438=0,--(L438=0),""))</f>
        <v/>
      </c>
      <c r="AX438" s="4">
        <f>IF(L438="","",--(L438=1))</f>
        <v/>
      </c>
      <c r="AY438" s="4">
        <f>IF(OR($B438="",M438=""),"",--(M438=$B438))</f>
        <v/>
      </c>
      <c r="AZ438" s="4">
        <f>IF(OR($B438="",M438=""),"",IF($B438=1,--(M438=1),""))</f>
        <v/>
      </c>
      <c r="BA438" s="4">
        <f>IF(OR($B438="",M438=""),"",IF($B438=0,--(M438=0),""))</f>
        <v/>
      </c>
      <c r="BB438" s="4">
        <f>IF(M438="","",--(M438=1))</f>
        <v/>
      </c>
      <c r="BC438" s="4">
        <f>IF(OR($B438="",N438=""),"",--(N438=$B438))</f>
        <v/>
      </c>
      <c r="BD438" s="4">
        <f>IF(OR($B438="",N438=""),"",IF($B438=1,--(N438=1),""))</f>
        <v/>
      </c>
      <c r="BE438" s="4">
        <f>IF(OR($B438="",N438=""),"",IF($B438=0,--(N438=0),""))</f>
        <v/>
      </c>
      <c r="BF438" s="4">
        <f>IF(N438="","",--(N438=1))</f>
        <v/>
      </c>
    </row>
    <row r="439">
      <c r="A439" s="3" t="inlineStr">
        <is>
          <t>202249094</t>
        </is>
      </c>
      <c r="B439" s="3" t="inlineStr">
        <is>
          <t>1</t>
        </is>
      </c>
      <c r="C439" s="3" t="inlineStr">
        <is>
          <t>Direct</t>
        </is>
      </c>
      <c r="D439" s="3" t="inlineStr">
        <is>
          <t>1</t>
        </is>
      </c>
      <c r="E439" s="3" t="inlineStr">
        <is>
          <t>1</t>
        </is>
      </c>
      <c r="F439" s="3" t="inlineStr">
        <is>
          <t>1</t>
        </is>
      </c>
      <c r="G439" s="3" t="inlineStr">
        <is>
          <t>1</t>
        </is>
      </c>
      <c r="H439" s="3" t="inlineStr">
        <is>
          <t>1</t>
        </is>
      </c>
      <c r="I439" s="3" t="inlineStr">
        <is>
          <t>0</t>
        </is>
      </c>
      <c r="J439" s="3" t="inlineStr">
        <is>
          <t>0</t>
        </is>
      </c>
      <c r="K439" s="3" t="inlineStr">
        <is>
          <t>1</t>
        </is>
      </c>
      <c r="L439" s="3" t="inlineStr">
        <is>
          <t>1</t>
        </is>
      </c>
      <c r="M439" s="3" t="inlineStr">
        <is>
          <t>1</t>
        </is>
      </c>
      <c r="N439" s="3" t="inlineStr">
        <is>
          <t>1</t>
        </is>
      </c>
      <c r="O439" s="4">
        <f>IF(OR($B439="",D439=""),"",--(D439=$B439))</f>
        <v/>
      </c>
      <c r="P439" s="4">
        <f>IF(OR($B439="",D439=""),"",IF($B439=1,--(D439=1),""))</f>
        <v/>
      </c>
      <c r="Q439" s="4">
        <f>IF(OR($B439="",D439=""),"",IF($B439=0,--(D439=0),""))</f>
        <v/>
      </c>
      <c r="R439" s="4">
        <f>IF(D439="","",--(D439=1))</f>
        <v/>
      </c>
      <c r="S439" s="4">
        <f>IF(OR($B439="",E439=""),"",--(E439=$B439))</f>
        <v/>
      </c>
      <c r="T439" s="4">
        <f>IF(OR($B439="",E439=""),"",IF($B439=1,--(E439=1),""))</f>
        <v/>
      </c>
      <c r="U439" s="4">
        <f>IF(OR($B439="",E439=""),"",IF($B439=0,--(E439=0),""))</f>
        <v/>
      </c>
      <c r="V439" s="4">
        <f>IF(E439="","",--(E439=1))</f>
        <v/>
      </c>
      <c r="W439" s="4">
        <f>IF(OR($B439="",F439=""),"",--(F439=$B439))</f>
        <v/>
      </c>
      <c r="X439" s="4">
        <f>IF(OR($B439="",F439=""),"",IF($B439=1,--(F439=1),""))</f>
        <v/>
      </c>
      <c r="Y439" s="4">
        <f>IF(OR($B439="",F439=""),"",IF($B439=0,--(F439=0),""))</f>
        <v/>
      </c>
      <c r="Z439" s="4">
        <f>IF(F439="","",--(F439=1))</f>
        <v/>
      </c>
      <c r="AA439" s="4">
        <f>IF(OR($B439="",G439=""),"",--(G439=$B439))</f>
        <v/>
      </c>
      <c r="AB439" s="4">
        <f>IF(OR($B439="",G439=""),"",IF($B439=1,--(G439=1),""))</f>
        <v/>
      </c>
      <c r="AC439" s="4">
        <f>IF(OR($B439="",G439=""),"",IF($B439=0,--(G439=0),""))</f>
        <v/>
      </c>
      <c r="AD439" s="4">
        <f>IF(G439="","",--(G439=1))</f>
        <v/>
      </c>
      <c r="AE439" s="4">
        <f>IF(OR($B439="",H439=""),"",--(H439=$B439))</f>
        <v/>
      </c>
      <c r="AF439" s="4">
        <f>IF(OR($B439="",H439=""),"",IF($B439=1,--(H439=1),""))</f>
        <v/>
      </c>
      <c r="AG439" s="4">
        <f>IF(OR($B439="",H439=""),"",IF($B439=0,--(H439=0),""))</f>
        <v/>
      </c>
      <c r="AH439" s="4">
        <f>IF(H439="","",--(H439=1))</f>
        <v/>
      </c>
      <c r="AI439" s="4">
        <f>IF(OR($B439="",I439=""),"",--(I439=$B439))</f>
        <v/>
      </c>
      <c r="AJ439" s="4">
        <f>IF(OR($B439="",I439=""),"",IF($B439=1,--(I439=1),""))</f>
        <v/>
      </c>
      <c r="AK439" s="4">
        <f>IF(OR($B439="",I439=""),"",IF($B439=0,--(I439=0),""))</f>
        <v/>
      </c>
      <c r="AL439" s="4">
        <f>IF(I439="","",--(I439=1))</f>
        <v/>
      </c>
      <c r="AM439" s="4">
        <f>IF(OR($B439="",J439=""),"",--(J439=$B439))</f>
        <v/>
      </c>
      <c r="AN439" s="4">
        <f>IF(OR($B439="",J439=""),"",IF($B439=1,--(J439=1),""))</f>
        <v/>
      </c>
      <c r="AO439" s="4">
        <f>IF(OR($B439="",J439=""),"",IF($B439=0,--(J439=0),""))</f>
        <v/>
      </c>
      <c r="AP439" s="4">
        <f>IF(J439="","",--(J439=1))</f>
        <v/>
      </c>
      <c r="AQ439" s="4">
        <f>IF(OR($B439="",K439=""),"",--(K439=$B439))</f>
        <v/>
      </c>
      <c r="AR439" s="4">
        <f>IF(OR($B439="",K439=""),"",IF($B439=1,--(K439=1),""))</f>
        <v/>
      </c>
      <c r="AS439" s="4">
        <f>IF(OR($B439="",K439=""),"",IF($B439=0,--(K439=0),""))</f>
        <v/>
      </c>
      <c r="AT439" s="4">
        <f>IF(K439="","",--(K439=1))</f>
        <v/>
      </c>
      <c r="AU439" s="4">
        <f>IF(OR($B439="",L439=""),"",--(L439=$B439))</f>
        <v/>
      </c>
      <c r="AV439" s="4">
        <f>IF(OR($B439="",L439=""),"",IF($B439=1,--(L439=1),""))</f>
        <v/>
      </c>
      <c r="AW439" s="4">
        <f>IF(OR($B439="",L439=""),"",IF($B439=0,--(L439=0),""))</f>
        <v/>
      </c>
      <c r="AX439" s="4">
        <f>IF(L439="","",--(L439=1))</f>
        <v/>
      </c>
      <c r="AY439" s="4">
        <f>IF(OR($B439="",M439=""),"",--(M439=$B439))</f>
        <v/>
      </c>
      <c r="AZ439" s="4">
        <f>IF(OR($B439="",M439=""),"",IF($B439=1,--(M439=1),""))</f>
        <v/>
      </c>
      <c r="BA439" s="4">
        <f>IF(OR($B439="",M439=""),"",IF($B439=0,--(M439=0),""))</f>
        <v/>
      </c>
      <c r="BB439" s="4">
        <f>IF(M439="","",--(M439=1))</f>
        <v/>
      </c>
      <c r="BC439" s="4">
        <f>IF(OR($B439="",N439=""),"",--(N439=$B439))</f>
        <v/>
      </c>
      <c r="BD439" s="4">
        <f>IF(OR($B439="",N439=""),"",IF($B439=1,--(N439=1),""))</f>
        <v/>
      </c>
      <c r="BE439" s="4">
        <f>IF(OR($B439="",N439=""),"",IF($B439=0,--(N439=0),""))</f>
        <v/>
      </c>
      <c r="BF439" s="4">
        <f>IF(N439="","",--(N439=1))</f>
        <v/>
      </c>
    </row>
    <row r="440">
      <c r="A440" s="3" t="inlineStr">
        <is>
          <t>202249620</t>
        </is>
      </c>
      <c r="B440" s="3" t="inlineStr">
        <is>
          <t>1</t>
        </is>
      </c>
      <c r="C440" s="3" t="inlineStr">
        <is>
          <t>Direct</t>
        </is>
      </c>
      <c r="D440" s="3" t="inlineStr">
        <is>
          <t>1</t>
        </is>
      </c>
      <c r="E440" s="3" t="inlineStr">
        <is>
          <t>1</t>
        </is>
      </c>
      <c r="F440" s="3" t="inlineStr">
        <is>
          <t>0</t>
        </is>
      </c>
      <c r="G440" s="3" t="inlineStr">
        <is>
          <t>0</t>
        </is>
      </c>
      <c r="H440" s="3" t="inlineStr">
        <is>
          <t>1</t>
        </is>
      </c>
      <c r="I440" s="3" t="inlineStr">
        <is>
          <t>1</t>
        </is>
      </c>
      <c r="J440" s="3" t="inlineStr">
        <is>
          <t>0</t>
        </is>
      </c>
      <c r="K440" s="3" t="inlineStr">
        <is>
          <t>1</t>
        </is>
      </c>
      <c r="L440" s="3" t="inlineStr">
        <is>
          <t>1</t>
        </is>
      </c>
      <c r="M440" s="3" t="inlineStr">
        <is>
          <t>1</t>
        </is>
      </c>
      <c r="N440" s="3" t="inlineStr">
        <is>
          <t>1</t>
        </is>
      </c>
      <c r="O440" s="4">
        <f>IF(OR($B440="",D440=""),"",--(D440=$B440))</f>
        <v/>
      </c>
      <c r="P440" s="4">
        <f>IF(OR($B440="",D440=""),"",IF($B440=1,--(D440=1),""))</f>
        <v/>
      </c>
      <c r="Q440" s="4">
        <f>IF(OR($B440="",D440=""),"",IF($B440=0,--(D440=0),""))</f>
        <v/>
      </c>
      <c r="R440" s="4">
        <f>IF(D440="","",--(D440=1))</f>
        <v/>
      </c>
      <c r="S440" s="4">
        <f>IF(OR($B440="",E440=""),"",--(E440=$B440))</f>
        <v/>
      </c>
      <c r="T440" s="4">
        <f>IF(OR($B440="",E440=""),"",IF($B440=1,--(E440=1),""))</f>
        <v/>
      </c>
      <c r="U440" s="4">
        <f>IF(OR($B440="",E440=""),"",IF($B440=0,--(E440=0),""))</f>
        <v/>
      </c>
      <c r="V440" s="4">
        <f>IF(E440="","",--(E440=1))</f>
        <v/>
      </c>
      <c r="W440" s="4">
        <f>IF(OR($B440="",F440=""),"",--(F440=$B440))</f>
        <v/>
      </c>
      <c r="X440" s="4">
        <f>IF(OR($B440="",F440=""),"",IF($B440=1,--(F440=1),""))</f>
        <v/>
      </c>
      <c r="Y440" s="4">
        <f>IF(OR($B440="",F440=""),"",IF($B440=0,--(F440=0),""))</f>
        <v/>
      </c>
      <c r="Z440" s="4">
        <f>IF(F440="","",--(F440=1))</f>
        <v/>
      </c>
      <c r="AA440" s="4">
        <f>IF(OR($B440="",G440=""),"",--(G440=$B440))</f>
        <v/>
      </c>
      <c r="AB440" s="4">
        <f>IF(OR($B440="",G440=""),"",IF($B440=1,--(G440=1),""))</f>
        <v/>
      </c>
      <c r="AC440" s="4">
        <f>IF(OR($B440="",G440=""),"",IF($B440=0,--(G440=0),""))</f>
        <v/>
      </c>
      <c r="AD440" s="4">
        <f>IF(G440="","",--(G440=1))</f>
        <v/>
      </c>
      <c r="AE440" s="4">
        <f>IF(OR($B440="",H440=""),"",--(H440=$B440))</f>
        <v/>
      </c>
      <c r="AF440" s="4">
        <f>IF(OR($B440="",H440=""),"",IF($B440=1,--(H440=1),""))</f>
        <v/>
      </c>
      <c r="AG440" s="4">
        <f>IF(OR($B440="",H440=""),"",IF($B440=0,--(H440=0),""))</f>
        <v/>
      </c>
      <c r="AH440" s="4">
        <f>IF(H440="","",--(H440=1))</f>
        <v/>
      </c>
      <c r="AI440" s="4">
        <f>IF(OR($B440="",I440=""),"",--(I440=$B440))</f>
        <v/>
      </c>
      <c r="AJ440" s="4">
        <f>IF(OR($B440="",I440=""),"",IF($B440=1,--(I440=1),""))</f>
        <v/>
      </c>
      <c r="AK440" s="4">
        <f>IF(OR($B440="",I440=""),"",IF($B440=0,--(I440=0),""))</f>
        <v/>
      </c>
      <c r="AL440" s="4">
        <f>IF(I440="","",--(I440=1))</f>
        <v/>
      </c>
      <c r="AM440" s="4">
        <f>IF(OR($B440="",J440=""),"",--(J440=$B440))</f>
        <v/>
      </c>
      <c r="AN440" s="4">
        <f>IF(OR($B440="",J440=""),"",IF($B440=1,--(J440=1),""))</f>
        <v/>
      </c>
      <c r="AO440" s="4">
        <f>IF(OR($B440="",J440=""),"",IF($B440=0,--(J440=0),""))</f>
        <v/>
      </c>
      <c r="AP440" s="4">
        <f>IF(J440="","",--(J440=1))</f>
        <v/>
      </c>
      <c r="AQ440" s="4">
        <f>IF(OR($B440="",K440=""),"",--(K440=$B440))</f>
        <v/>
      </c>
      <c r="AR440" s="4">
        <f>IF(OR($B440="",K440=""),"",IF($B440=1,--(K440=1),""))</f>
        <v/>
      </c>
      <c r="AS440" s="4">
        <f>IF(OR($B440="",K440=""),"",IF($B440=0,--(K440=0),""))</f>
        <v/>
      </c>
      <c r="AT440" s="4">
        <f>IF(K440="","",--(K440=1))</f>
        <v/>
      </c>
      <c r="AU440" s="4">
        <f>IF(OR($B440="",L440=""),"",--(L440=$B440))</f>
        <v/>
      </c>
      <c r="AV440" s="4">
        <f>IF(OR($B440="",L440=""),"",IF($B440=1,--(L440=1),""))</f>
        <v/>
      </c>
      <c r="AW440" s="4">
        <f>IF(OR($B440="",L440=""),"",IF($B440=0,--(L440=0),""))</f>
        <v/>
      </c>
      <c r="AX440" s="4">
        <f>IF(L440="","",--(L440=1))</f>
        <v/>
      </c>
      <c r="AY440" s="4">
        <f>IF(OR($B440="",M440=""),"",--(M440=$B440))</f>
        <v/>
      </c>
      <c r="AZ440" s="4">
        <f>IF(OR($B440="",M440=""),"",IF($B440=1,--(M440=1),""))</f>
        <v/>
      </c>
      <c r="BA440" s="4">
        <f>IF(OR($B440="",M440=""),"",IF($B440=0,--(M440=0),""))</f>
        <v/>
      </c>
      <c r="BB440" s="4">
        <f>IF(M440="","",--(M440=1))</f>
        <v/>
      </c>
      <c r="BC440" s="4">
        <f>IF(OR($B440="",N440=""),"",--(N440=$B440))</f>
        <v/>
      </c>
      <c r="BD440" s="4">
        <f>IF(OR($B440="",N440=""),"",IF($B440=1,--(N440=1),""))</f>
        <v/>
      </c>
      <c r="BE440" s="4">
        <f>IF(OR($B440="",N440=""),"",IF($B440=0,--(N440=0),""))</f>
        <v/>
      </c>
      <c r="BF440" s="4">
        <f>IF(N440="","",--(N440=1))</f>
        <v/>
      </c>
    </row>
    <row r="441">
      <c r="A441" s="3" t="inlineStr">
        <is>
          <t>202249737</t>
        </is>
      </c>
      <c r="B441" s="3" t="inlineStr">
        <is>
          <t>0</t>
        </is>
      </c>
      <c r="C441" s="3" t="inlineStr">
        <is>
          <t>Direct</t>
        </is>
      </c>
      <c r="D441" s="3" t="inlineStr">
        <is>
          <t>0</t>
        </is>
      </c>
      <c r="E441" s="3" t="inlineStr">
        <is>
          <t>0</t>
        </is>
      </c>
      <c r="F441" s="3" t="inlineStr">
        <is>
          <t>0</t>
        </is>
      </c>
      <c r="G441" s="3" t="inlineStr">
        <is>
          <t>0</t>
        </is>
      </c>
      <c r="H441" s="3" t="inlineStr">
        <is>
          <t>0</t>
        </is>
      </c>
      <c r="I441" s="3" t="inlineStr">
        <is>
          <t>0</t>
        </is>
      </c>
      <c r="J441" s="3" t="inlineStr">
        <is>
          <t>0</t>
        </is>
      </c>
      <c r="K441" s="3" t="inlineStr">
        <is>
          <t>0</t>
        </is>
      </c>
      <c r="L441" s="3" t="inlineStr">
        <is>
          <t>0</t>
        </is>
      </c>
      <c r="M441" s="3" t="inlineStr">
        <is>
          <t>0</t>
        </is>
      </c>
      <c r="N441" s="3" t="inlineStr">
        <is>
          <t>0</t>
        </is>
      </c>
      <c r="O441" s="4">
        <f>IF(OR($B441="",D441=""),"",--(D441=$B441))</f>
        <v/>
      </c>
      <c r="P441" s="4">
        <f>IF(OR($B441="",D441=""),"",IF($B441=1,--(D441=1),""))</f>
        <v/>
      </c>
      <c r="Q441" s="4">
        <f>IF(OR($B441="",D441=""),"",IF($B441=0,--(D441=0),""))</f>
        <v/>
      </c>
      <c r="R441" s="4">
        <f>IF(D441="","",--(D441=1))</f>
        <v/>
      </c>
      <c r="S441" s="4">
        <f>IF(OR($B441="",E441=""),"",--(E441=$B441))</f>
        <v/>
      </c>
      <c r="T441" s="4">
        <f>IF(OR($B441="",E441=""),"",IF($B441=1,--(E441=1),""))</f>
        <v/>
      </c>
      <c r="U441" s="4">
        <f>IF(OR($B441="",E441=""),"",IF($B441=0,--(E441=0),""))</f>
        <v/>
      </c>
      <c r="V441" s="4">
        <f>IF(E441="","",--(E441=1))</f>
        <v/>
      </c>
      <c r="W441" s="4">
        <f>IF(OR($B441="",F441=""),"",--(F441=$B441))</f>
        <v/>
      </c>
      <c r="X441" s="4">
        <f>IF(OR($B441="",F441=""),"",IF($B441=1,--(F441=1),""))</f>
        <v/>
      </c>
      <c r="Y441" s="4">
        <f>IF(OR($B441="",F441=""),"",IF($B441=0,--(F441=0),""))</f>
        <v/>
      </c>
      <c r="Z441" s="4">
        <f>IF(F441="","",--(F441=1))</f>
        <v/>
      </c>
      <c r="AA441" s="4">
        <f>IF(OR($B441="",G441=""),"",--(G441=$B441))</f>
        <v/>
      </c>
      <c r="AB441" s="4">
        <f>IF(OR($B441="",G441=""),"",IF($B441=1,--(G441=1),""))</f>
        <v/>
      </c>
      <c r="AC441" s="4">
        <f>IF(OR($B441="",G441=""),"",IF($B441=0,--(G441=0),""))</f>
        <v/>
      </c>
      <c r="AD441" s="4">
        <f>IF(G441="","",--(G441=1))</f>
        <v/>
      </c>
      <c r="AE441" s="4">
        <f>IF(OR($B441="",H441=""),"",--(H441=$B441))</f>
        <v/>
      </c>
      <c r="AF441" s="4">
        <f>IF(OR($B441="",H441=""),"",IF($B441=1,--(H441=1),""))</f>
        <v/>
      </c>
      <c r="AG441" s="4">
        <f>IF(OR($B441="",H441=""),"",IF($B441=0,--(H441=0),""))</f>
        <v/>
      </c>
      <c r="AH441" s="4">
        <f>IF(H441="","",--(H441=1))</f>
        <v/>
      </c>
      <c r="AI441" s="4">
        <f>IF(OR($B441="",I441=""),"",--(I441=$B441))</f>
        <v/>
      </c>
      <c r="AJ441" s="4">
        <f>IF(OR($B441="",I441=""),"",IF($B441=1,--(I441=1),""))</f>
        <v/>
      </c>
      <c r="AK441" s="4">
        <f>IF(OR($B441="",I441=""),"",IF($B441=0,--(I441=0),""))</f>
        <v/>
      </c>
      <c r="AL441" s="4">
        <f>IF(I441="","",--(I441=1))</f>
        <v/>
      </c>
      <c r="AM441" s="4">
        <f>IF(OR($B441="",J441=""),"",--(J441=$B441))</f>
        <v/>
      </c>
      <c r="AN441" s="4">
        <f>IF(OR($B441="",J441=""),"",IF($B441=1,--(J441=1),""))</f>
        <v/>
      </c>
      <c r="AO441" s="4">
        <f>IF(OR($B441="",J441=""),"",IF($B441=0,--(J441=0),""))</f>
        <v/>
      </c>
      <c r="AP441" s="4">
        <f>IF(J441="","",--(J441=1))</f>
        <v/>
      </c>
      <c r="AQ441" s="4">
        <f>IF(OR($B441="",K441=""),"",--(K441=$B441))</f>
        <v/>
      </c>
      <c r="AR441" s="4">
        <f>IF(OR($B441="",K441=""),"",IF($B441=1,--(K441=1),""))</f>
        <v/>
      </c>
      <c r="AS441" s="4">
        <f>IF(OR($B441="",K441=""),"",IF($B441=0,--(K441=0),""))</f>
        <v/>
      </c>
      <c r="AT441" s="4">
        <f>IF(K441="","",--(K441=1))</f>
        <v/>
      </c>
      <c r="AU441" s="4">
        <f>IF(OR($B441="",L441=""),"",--(L441=$B441))</f>
        <v/>
      </c>
      <c r="AV441" s="4">
        <f>IF(OR($B441="",L441=""),"",IF($B441=1,--(L441=1),""))</f>
        <v/>
      </c>
      <c r="AW441" s="4">
        <f>IF(OR($B441="",L441=""),"",IF($B441=0,--(L441=0),""))</f>
        <v/>
      </c>
      <c r="AX441" s="4">
        <f>IF(L441="","",--(L441=1))</f>
        <v/>
      </c>
      <c r="AY441" s="4">
        <f>IF(OR($B441="",M441=""),"",--(M441=$B441))</f>
        <v/>
      </c>
      <c r="AZ441" s="4">
        <f>IF(OR($B441="",M441=""),"",IF($B441=1,--(M441=1),""))</f>
        <v/>
      </c>
      <c r="BA441" s="4">
        <f>IF(OR($B441="",M441=""),"",IF($B441=0,--(M441=0),""))</f>
        <v/>
      </c>
      <c r="BB441" s="4">
        <f>IF(M441="","",--(M441=1))</f>
        <v/>
      </c>
      <c r="BC441" s="4">
        <f>IF(OR($B441="",N441=""),"",--(N441=$B441))</f>
        <v/>
      </c>
      <c r="BD441" s="4">
        <f>IF(OR($B441="",N441=""),"",IF($B441=1,--(N441=1),""))</f>
        <v/>
      </c>
      <c r="BE441" s="4">
        <f>IF(OR($B441="",N441=""),"",IF($B441=0,--(N441=0),""))</f>
        <v/>
      </c>
      <c r="BF441" s="4">
        <f>IF(N441="","",--(N441=1))</f>
        <v/>
      </c>
    </row>
    <row r="442">
      <c r="A442" s="3" t="inlineStr">
        <is>
          <t>202254029</t>
        </is>
      </c>
      <c r="B442" s="3" t="inlineStr">
        <is>
          <t>1</t>
        </is>
      </c>
      <c r="C442" s="3" t="inlineStr">
        <is>
          <t>Direct</t>
        </is>
      </c>
      <c r="D442" s="3" t="inlineStr">
        <is>
          <t>1</t>
        </is>
      </c>
      <c r="E442" s="3" t="inlineStr">
        <is>
          <t>1</t>
        </is>
      </c>
      <c r="F442" s="3" t="inlineStr">
        <is>
          <t>0</t>
        </is>
      </c>
      <c r="G442" s="3" t="inlineStr">
        <is>
          <t>0</t>
        </is>
      </c>
      <c r="H442" s="3" t="inlineStr">
        <is>
          <t>0</t>
        </is>
      </c>
      <c r="I442" s="3" t="inlineStr">
        <is>
          <t>0</t>
        </is>
      </c>
      <c r="J442" s="3" t="inlineStr">
        <is>
          <t>0</t>
        </is>
      </c>
      <c r="K442" s="3" t="inlineStr">
        <is>
          <t>1</t>
        </is>
      </c>
      <c r="L442" s="3" t="inlineStr">
        <is>
          <t>1</t>
        </is>
      </c>
      <c r="M442" s="3" t="inlineStr">
        <is>
          <t>1</t>
        </is>
      </c>
      <c r="N442" s="3" t="inlineStr">
        <is>
          <t>1</t>
        </is>
      </c>
      <c r="O442" s="4">
        <f>IF(OR($B442="",D442=""),"",--(D442=$B442))</f>
        <v/>
      </c>
      <c r="P442" s="4">
        <f>IF(OR($B442="",D442=""),"",IF($B442=1,--(D442=1),""))</f>
        <v/>
      </c>
      <c r="Q442" s="4">
        <f>IF(OR($B442="",D442=""),"",IF($B442=0,--(D442=0),""))</f>
        <v/>
      </c>
      <c r="R442" s="4">
        <f>IF(D442="","",--(D442=1))</f>
        <v/>
      </c>
      <c r="S442" s="4">
        <f>IF(OR($B442="",E442=""),"",--(E442=$B442))</f>
        <v/>
      </c>
      <c r="T442" s="4">
        <f>IF(OR($B442="",E442=""),"",IF($B442=1,--(E442=1),""))</f>
        <v/>
      </c>
      <c r="U442" s="4">
        <f>IF(OR($B442="",E442=""),"",IF($B442=0,--(E442=0),""))</f>
        <v/>
      </c>
      <c r="V442" s="4">
        <f>IF(E442="","",--(E442=1))</f>
        <v/>
      </c>
      <c r="W442" s="4">
        <f>IF(OR($B442="",F442=""),"",--(F442=$B442))</f>
        <v/>
      </c>
      <c r="X442" s="4">
        <f>IF(OR($B442="",F442=""),"",IF($B442=1,--(F442=1),""))</f>
        <v/>
      </c>
      <c r="Y442" s="4">
        <f>IF(OR($B442="",F442=""),"",IF($B442=0,--(F442=0),""))</f>
        <v/>
      </c>
      <c r="Z442" s="4">
        <f>IF(F442="","",--(F442=1))</f>
        <v/>
      </c>
      <c r="AA442" s="4">
        <f>IF(OR($B442="",G442=""),"",--(G442=$B442))</f>
        <v/>
      </c>
      <c r="AB442" s="4">
        <f>IF(OR($B442="",G442=""),"",IF($B442=1,--(G442=1),""))</f>
        <v/>
      </c>
      <c r="AC442" s="4">
        <f>IF(OR($B442="",G442=""),"",IF($B442=0,--(G442=0),""))</f>
        <v/>
      </c>
      <c r="AD442" s="4">
        <f>IF(G442="","",--(G442=1))</f>
        <v/>
      </c>
      <c r="AE442" s="4">
        <f>IF(OR($B442="",H442=""),"",--(H442=$B442))</f>
        <v/>
      </c>
      <c r="AF442" s="4">
        <f>IF(OR($B442="",H442=""),"",IF($B442=1,--(H442=1),""))</f>
        <v/>
      </c>
      <c r="AG442" s="4">
        <f>IF(OR($B442="",H442=""),"",IF($B442=0,--(H442=0),""))</f>
        <v/>
      </c>
      <c r="AH442" s="4">
        <f>IF(H442="","",--(H442=1))</f>
        <v/>
      </c>
      <c r="AI442" s="4">
        <f>IF(OR($B442="",I442=""),"",--(I442=$B442))</f>
        <v/>
      </c>
      <c r="AJ442" s="4">
        <f>IF(OR($B442="",I442=""),"",IF($B442=1,--(I442=1),""))</f>
        <v/>
      </c>
      <c r="AK442" s="4">
        <f>IF(OR($B442="",I442=""),"",IF($B442=0,--(I442=0),""))</f>
        <v/>
      </c>
      <c r="AL442" s="4">
        <f>IF(I442="","",--(I442=1))</f>
        <v/>
      </c>
      <c r="AM442" s="4">
        <f>IF(OR($B442="",J442=""),"",--(J442=$B442))</f>
        <v/>
      </c>
      <c r="AN442" s="4">
        <f>IF(OR($B442="",J442=""),"",IF($B442=1,--(J442=1),""))</f>
        <v/>
      </c>
      <c r="AO442" s="4">
        <f>IF(OR($B442="",J442=""),"",IF($B442=0,--(J442=0),""))</f>
        <v/>
      </c>
      <c r="AP442" s="4">
        <f>IF(J442="","",--(J442=1))</f>
        <v/>
      </c>
      <c r="AQ442" s="4">
        <f>IF(OR($B442="",K442=""),"",--(K442=$B442))</f>
        <v/>
      </c>
      <c r="AR442" s="4">
        <f>IF(OR($B442="",K442=""),"",IF($B442=1,--(K442=1),""))</f>
        <v/>
      </c>
      <c r="AS442" s="4">
        <f>IF(OR($B442="",K442=""),"",IF($B442=0,--(K442=0),""))</f>
        <v/>
      </c>
      <c r="AT442" s="4">
        <f>IF(K442="","",--(K442=1))</f>
        <v/>
      </c>
      <c r="AU442" s="4">
        <f>IF(OR($B442="",L442=""),"",--(L442=$B442))</f>
        <v/>
      </c>
      <c r="AV442" s="4">
        <f>IF(OR($B442="",L442=""),"",IF($B442=1,--(L442=1),""))</f>
        <v/>
      </c>
      <c r="AW442" s="4">
        <f>IF(OR($B442="",L442=""),"",IF($B442=0,--(L442=0),""))</f>
        <v/>
      </c>
      <c r="AX442" s="4">
        <f>IF(L442="","",--(L442=1))</f>
        <v/>
      </c>
      <c r="AY442" s="4">
        <f>IF(OR($B442="",M442=""),"",--(M442=$B442))</f>
        <v/>
      </c>
      <c r="AZ442" s="4">
        <f>IF(OR($B442="",M442=""),"",IF($B442=1,--(M442=1),""))</f>
        <v/>
      </c>
      <c r="BA442" s="4">
        <f>IF(OR($B442="",M442=""),"",IF($B442=0,--(M442=0),""))</f>
        <v/>
      </c>
      <c r="BB442" s="4">
        <f>IF(M442="","",--(M442=1))</f>
        <v/>
      </c>
      <c r="BC442" s="4">
        <f>IF(OR($B442="",N442=""),"",--(N442=$B442))</f>
        <v/>
      </c>
      <c r="BD442" s="4">
        <f>IF(OR($B442="",N442=""),"",IF($B442=1,--(N442=1),""))</f>
        <v/>
      </c>
      <c r="BE442" s="4">
        <f>IF(OR($B442="",N442=""),"",IF($B442=0,--(N442=0),""))</f>
        <v/>
      </c>
      <c r="BF442" s="4">
        <f>IF(N442="","",--(N442=1))</f>
        <v/>
      </c>
    </row>
    <row r="443">
      <c r="A443" s="3" t="inlineStr">
        <is>
          <t>202255372</t>
        </is>
      </c>
      <c r="B443" s="3" t="inlineStr">
        <is>
          <t>1</t>
        </is>
      </c>
      <c r="C443" s="3" t="inlineStr">
        <is>
          <t>Direct</t>
        </is>
      </c>
      <c r="D443" s="3" t="inlineStr">
        <is>
          <t>1</t>
        </is>
      </c>
      <c r="E443" s="3" t="inlineStr">
        <is>
          <t>1</t>
        </is>
      </c>
      <c r="F443" s="3" t="inlineStr">
        <is>
          <t>0</t>
        </is>
      </c>
      <c r="G443" s="3" t="inlineStr">
        <is>
          <t>0</t>
        </is>
      </c>
      <c r="H443" s="3" t="inlineStr">
        <is>
          <t>1</t>
        </is>
      </c>
      <c r="I443" s="3" t="inlineStr">
        <is>
          <t>1</t>
        </is>
      </c>
      <c r="J443" s="3" t="inlineStr">
        <is>
          <t>0</t>
        </is>
      </c>
      <c r="K443" s="3" t="inlineStr">
        <is>
          <t>1</t>
        </is>
      </c>
      <c r="L443" s="3" t="inlineStr">
        <is>
          <t>1</t>
        </is>
      </c>
      <c r="M443" s="3" t="inlineStr">
        <is>
          <t>1</t>
        </is>
      </c>
      <c r="N443" s="3" t="inlineStr">
        <is>
          <t>1</t>
        </is>
      </c>
      <c r="O443" s="4">
        <f>IF(OR($B443="",D443=""),"",--(D443=$B443))</f>
        <v/>
      </c>
      <c r="P443" s="4">
        <f>IF(OR($B443="",D443=""),"",IF($B443=1,--(D443=1),""))</f>
        <v/>
      </c>
      <c r="Q443" s="4">
        <f>IF(OR($B443="",D443=""),"",IF($B443=0,--(D443=0),""))</f>
        <v/>
      </c>
      <c r="R443" s="4">
        <f>IF(D443="","",--(D443=1))</f>
        <v/>
      </c>
      <c r="S443" s="4">
        <f>IF(OR($B443="",E443=""),"",--(E443=$B443))</f>
        <v/>
      </c>
      <c r="T443" s="4">
        <f>IF(OR($B443="",E443=""),"",IF($B443=1,--(E443=1),""))</f>
        <v/>
      </c>
      <c r="U443" s="4">
        <f>IF(OR($B443="",E443=""),"",IF($B443=0,--(E443=0),""))</f>
        <v/>
      </c>
      <c r="V443" s="4">
        <f>IF(E443="","",--(E443=1))</f>
        <v/>
      </c>
      <c r="W443" s="4">
        <f>IF(OR($B443="",F443=""),"",--(F443=$B443))</f>
        <v/>
      </c>
      <c r="X443" s="4">
        <f>IF(OR($B443="",F443=""),"",IF($B443=1,--(F443=1),""))</f>
        <v/>
      </c>
      <c r="Y443" s="4">
        <f>IF(OR($B443="",F443=""),"",IF($B443=0,--(F443=0),""))</f>
        <v/>
      </c>
      <c r="Z443" s="4">
        <f>IF(F443="","",--(F443=1))</f>
        <v/>
      </c>
      <c r="AA443" s="4">
        <f>IF(OR($B443="",G443=""),"",--(G443=$B443))</f>
        <v/>
      </c>
      <c r="AB443" s="4">
        <f>IF(OR($B443="",G443=""),"",IF($B443=1,--(G443=1),""))</f>
        <v/>
      </c>
      <c r="AC443" s="4">
        <f>IF(OR($B443="",G443=""),"",IF($B443=0,--(G443=0),""))</f>
        <v/>
      </c>
      <c r="AD443" s="4">
        <f>IF(G443="","",--(G443=1))</f>
        <v/>
      </c>
      <c r="AE443" s="4">
        <f>IF(OR($B443="",H443=""),"",--(H443=$B443))</f>
        <v/>
      </c>
      <c r="AF443" s="4">
        <f>IF(OR($B443="",H443=""),"",IF($B443=1,--(H443=1),""))</f>
        <v/>
      </c>
      <c r="AG443" s="4">
        <f>IF(OR($B443="",H443=""),"",IF($B443=0,--(H443=0),""))</f>
        <v/>
      </c>
      <c r="AH443" s="4">
        <f>IF(H443="","",--(H443=1))</f>
        <v/>
      </c>
      <c r="AI443" s="4">
        <f>IF(OR($B443="",I443=""),"",--(I443=$B443))</f>
        <v/>
      </c>
      <c r="AJ443" s="4">
        <f>IF(OR($B443="",I443=""),"",IF($B443=1,--(I443=1),""))</f>
        <v/>
      </c>
      <c r="AK443" s="4">
        <f>IF(OR($B443="",I443=""),"",IF($B443=0,--(I443=0),""))</f>
        <v/>
      </c>
      <c r="AL443" s="4">
        <f>IF(I443="","",--(I443=1))</f>
        <v/>
      </c>
      <c r="AM443" s="4">
        <f>IF(OR($B443="",J443=""),"",--(J443=$B443))</f>
        <v/>
      </c>
      <c r="AN443" s="4">
        <f>IF(OR($B443="",J443=""),"",IF($B443=1,--(J443=1),""))</f>
        <v/>
      </c>
      <c r="AO443" s="4">
        <f>IF(OR($B443="",J443=""),"",IF($B443=0,--(J443=0),""))</f>
        <v/>
      </c>
      <c r="AP443" s="4">
        <f>IF(J443="","",--(J443=1))</f>
        <v/>
      </c>
      <c r="AQ443" s="4">
        <f>IF(OR($B443="",K443=""),"",--(K443=$B443))</f>
        <v/>
      </c>
      <c r="AR443" s="4">
        <f>IF(OR($B443="",K443=""),"",IF($B443=1,--(K443=1),""))</f>
        <v/>
      </c>
      <c r="AS443" s="4">
        <f>IF(OR($B443="",K443=""),"",IF($B443=0,--(K443=0),""))</f>
        <v/>
      </c>
      <c r="AT443" s="4">
        <f>IF(K443="","",--(K443=1))</f>
        <v/>
      </c>
      <c r="AU443" s="4">
        <f>IF(OR($B443="",L443=""),"",--(L443=$B443))</f>
        <v/>
      </c>
      <c r="AV443" s="4">
        <f>IF(OR($B443="",L443=""),"",IF($B443=1,--(L443=1),""))</f>
        <v/>
      </c>
      <c r="AW443" s="4">
        <f>IF(OR($B443="",L443=""),"",IF($B443=0,--(L443=0),""))</f>
        <v/>
      </c>
      <c r="AX443" s="4">
        <f>IF(L443="","",--(L443=1))</f>
        <v/>
      </c>
      <c r="AY443" s="4">
        <f>IF(OR($B443="",M443=""),"",--(M443=$B443))</f>
        <v/>
      </c>
      <c r="AZ443" s="4">
        <f>IF(OR($B443="",M443=""),"",IF($B443=1,--(M443=1),""))</f>
        <v/>
      </c>
      <c r="BA443" s="4">
        <f>IF(OR($B443="",M443=""),"",IF($B443=0,--(M443=0),""))</f>
        <v/>
      </c>
      <c r="BB443" s="4">
        <f>IF(M443="","",--(M443=1))</f>
        <v/>
      </c>
      <c r="BC443" s="4">
        <f>IF(OR($B443="",N443=""),"",--(N443=$B443))</f>
        <v/>
      </c>
      <c r="BD443" s="4">
        <f>IF(OR($B443="",N443=""),"",IF($B443=1,--(N443=1),""))</f>
        <v/>
      </c>
      <c r="BE443" s="4">
        <f>IF(OR($B443="",N443=""),"",IF($B443=0,--(N443=0),""))</f>
        <v/>
      </c>
      <c r="BF443" s="4">
        <f>IF(N443="","",--(N443=1))</f>
        <v/>
      </c>
    </row>
    <row r="444">
      <c r="A444" s="3" t="inlineStr">
        <is>
          <t>202256422</t>
        </is>
      </c>
      <c r="B444" s="3" t="inlineStr">
        <is>
          <t>1</t>
        </is>
      </c>
      <c r="C444" s="3" t="inlineStr">
        <is>
          <t>Direct</t>
        </is>
      </c>
      <c r="D444" s="3" t="inlineStr">
        <is>
          <t>1</t>
        </is>
      </c>
      <c r="E444" s="3" t="inlineStr">
        <is>
          <t>0</t>
        </is>
      </c>
      <c r="F444" s="3" t="inlineStr">
        <is>
          <t>0</t>
        </is>
      </c>
      <c r="G444" s="3" t="inlineStr">
        <is>
          <t>1</t>
        </is>
      </c>
      <c r="H444" s="3" t="inlineStr">
        <is>
          <t>0</t>
        </is>
      </c>
      <c r="I444" s="3" t="inlineStr">
        <is>
          <t>1</t>
        </is>
      </c>
      <c r="J444" s="3" t="inlineStr">
        <is>
          <t>1</t>
        </is>
      </c>
      <c r="K444" s="3" t="inlineStr">
        <is>
          <t>1</t>
        </is>
      </c>
      <c r="L444" s="3" t="inlineStr">
        <is>
          <t>1</t>
        </is>
      </c>
      <c r="M444" s="3" t="inlineStr">
        <is>
          <t>1</t>
        </is>
      </c>
      <c r="N444" s="3" t="inlineStr">
        <is>
          <t>1</t>
        </is>
      </c>
      <c r="O444" s="4">
        <f>IF(OR($B444="",D444=""),"",--(D444=$B444))</f>
        <v/>
      </c>
      <c r="P444" s="4">
        <f>IF(OR($B444="",D444=""),"",IF($B444=1,--(D444=1),""))</f>
        <v/>
      </c>
      <c r="Q444" s="4">
        <f>IF(OR($B444="",D444=""),"",IF($B444=0,--(D444=0),""))</f>
        <v/>
      </c>
      <c r="R444" s="4">
        <f>IF(D444="","",--(D444=1))</f>
        <v/>
      </c>
      <c r="S444" s="4">
        <f>IF(OR($B444="",E444=""),"",--(E444=$B444))</f>
        <v/>
      </c>
      <c r="T444" s="4">
        <f>IF(OR($B444="",E444=""),"",IF($B444=1,--(E444=1),""))</f>
        <v/>
      </c>
      <c r="U444" s="4">
        <f>IF(OR($B444="",E444=""),"",IF($B444=0,--(E444=0),""))</f>
        <v/>
      </c>
      <c r="V444" s="4">
        <f>IF(E444="","",--(E444=1))</f>
        <v/>
      </c>
      <c r="W444" s="4">
        <f>IF(OR($B444="",F444=""),"",--(F444=$B444))</f>
        <v/>
      </c>
      <c r="X444" s="4">
        <f>IF(OR($B444="",F444=""),"",IF($B444=1,--(F444=1),""))</f>
        <v/>
      </c>
      <c r="Y444" s="4">
        <f>IF(OR($B444="",F444=""),"",IF($B444=0,--(F444=0),""))</f>
        <v/>
      </c>
      <c r="Z444" s="4">
        <f>IF(F444="","",--(F444=1))</f>
        <v/>
      </c>
      <c r="AA444" s="4">
        <f>IF(OR($B444="",G444=""),"",--(G444=$B444))</f>
        <v/>
      </c>
      <c r="AB444" s="4">
        <f>IF(OR($B444="",G444=""),"",IF($B444=1,--(G444=1),""))</f>
        <v/>
      </c>
      <c r="AC444" s="4">
        <f>IF(OR($B444="",G444=""),"",IF($B444=0,--(G444=0),""))</f>
        <v/>
      </c>
      <c r="AD444" s="4">
        <f>IF(G444="","",--(G444=1))</f>
        <v/>
      </c>
      <c r="AE444" s="4">
        <f>IF(OR($B444="",H444=""),"",--(H444=$B444))</f>
        <v/>
      </c>
      <c r="AF444" s="4">
        <f>IF(OR($B444="",H444=""),"",IF($B444=1,--(H444=1),""))</f>
        <v/>
      </c>
      <c r="AG444" s="4">
        <f>IF(OR($B444="",H444=""),"",IF($B444=0,--(H444=0),""))</f>
        <v/>
      </c>
      <c r="AH444" s="4">
        <f>IF(H444="","",--(H444=1))</f>
        <v/>
      </c>
      <c r="AI444" s="4">
        <f>IF(OR($B444="",I444=""),"",--(I444=$B444))</f>
        <v/>
      </c>
      <c r="AJ444" s="4">
        <f>IF(OR($B444="",I444=""),"",IF($B444=1,--(I444=1),""))</f>
        <v/>
      </c>
      <c r="AK444" s="4">
        <f>IF(OR($B444="",I444=""),"",IF($B444=0,--(I444=0),""))</f>
        <v/>
      </c>
      <c r="AL444" s="4">
        <f>IF(I444="","",--(I444=1))</f>
        <v/>
      </c>
      <c r="AM444" s="4">
        <f>IF(OR($B444="",J444=""),"",--(J444=$B444))</f>
        <v/>
      </c>
      <c r="AN444" s="4">
        <f>IF(OR($B444="",J444=""),"",IF($B444=1,--(J444=1),""))</f>
        <v/>
      </c>
      <c r="AO444" s="4">
        <f>IF(OR($B444="",J444=""),"",IF($B444=0,--(J444=0),""))</f>
        <v/>
      </c>
      <c r="AP444" s="4">
        <f>IF(J444="","",--(J444=1))</f>
        <v/>
      </c>
      <c r="AQ444" s="4">
        <f>IF(OR($B444="",K444=""),"",--(K444=$B444))</f>
        <v/>
      </c>
      <c r="AR444" s="4">
        <f>IF(OR($B444="",K444=""),"",IF($B444=1,--(K444=1),""))</f>
        <v/>
      </c>
      <c r="AS444" s="4">
        <f>IF(OR($B444="",K444=""),"",IF($B444=0,--(K444=0),""))</f>
        <v/>
      </c>
      <c r="AT444" s="4">
        <f>IF(K444="","",--(K444=1))</f>
        <v/>
      </c>
      <c r="AU444" s="4">
        <f>IF(OR($B444="",L444=""),"",--(L444=$B444))</f>
        <v/>
      </c>
      <c r="AV444" s="4">
        <f>IF(OR($B444="",L444=""),"",IF($B444=1,--(L444=1),""))</f>
        <v/>
      </c>
      <c r="AW444" s="4">
        <f>IF(OR($B444="",L444=""),"",IF($B444=0,--(L444=0),""))</f>
        <v/>
      </c>
      <c r="AX444" s="4">
        <f>IF(L444="","",--(L444=1))</f>
        <v/>
      </c>
      <c r="AY444" s="4">
        <f>IF(OR($B444="",M444=""),"",--(M444=$B444))</f>
        <v/>
      </c>
      <c r="AZ444" s="4">
        <f>IF(OR($B444="",M444=""),"",IF($B444=1,--(M444=1),""))</f>
        <v/>
      </c>
      <c r="BA444" s="4">
        <f>IF(OR($B444="",M444=""),"",IF($B444=0,--(M444=0),""))</f>
        <v/>
      </c>
      <c r="BB444" s="4">
        <f>IF(M444="","",--(M444=1))</f>
        <v/>
      </c>
      <c r="BC444" s="4">
        <f>IF(OR($B444="",N444=""),"",--(N444=$B444))</f>
        <v/>
      </c>
      <c r="BD444" s="4">
        <f>IF(OR($B444="",N444=""),"",IF($B444=1,--(N444=1),""))</f>
        <v/>
      </c>
      <c r="BE444" s="4">
        <f>IF(OR($B444="",N444=""),"",IF($B444=0,--(N444=0),""))</f>
        <v/>
      </c>
      <c r="BF444" s="4">
        <f>IF(N444="","",--(N444=1))</f>
        <v/>
      </c>
    </row>
    <row r="445">
      <c r="A445" s="3" t="inlineStr">
        <is>
          <t>202258736</t>
        </is>
      </c>
      <c r="B445" s="3" t="inlineStr">
        <is>
          <t>0</t>
        </is>
      </c>
      <c r="C445" s="3" t="inlineStr">
        <is>
          <t>Direct</t>
        </is>
      </c>
      <c r="D445" s="3" t="inlineStr">
        <is>
          <t>1</t>
        </is>
      </c>
      <c r="E445" s="3" t="inlineStr">
        <is>
          <t>1</t>
        </is>
      </c>
      <c r="F445" s="3" t="inlineStr">
        <is>
          <t>0</t>
        </is>
      </c>
      <c r="G445" s="3" t="inlineStr">
        <is>
          <t>0</t>
        </is>
      </c>
      <c r="H445" s="3" t="inlineStr">
        <is>
          <t>1</t>
        </is>
      </c>
      <c r="I445" s="3" t="inlineStr">
        <is>
          <t>0</t>
        </is>
      </c>
      <c r="J445" s="3" t="inlineStr">
        <is>
          <t>0</t>
        </is>
      </c>
      <c r="K445" s="3" t="inlineStr">
        <is>
          <t>1</t>
        </is>
      </c>
      <c r="L445" s="3" t="inlineStr">
        <is>
          <t>0</t>
        </is>
      </c>
      <c r="M445" s="3" t="inlineStr">
        <is>
          <t>0</t>
        </is>
      </c>
      <c r="N445" s="3" t="inlineStr">
        <is>
          <t>1</t>
        </is>
      </c>
      <c r="O445" s="4">
        <f>IF(OR($B445="",D445=""),"",--(D445=$B445))</f>
        <v/>
      </c>
      <c r="P445" s="4">
        <f>IF(OR($B445="",D445=""),"",IF($B445=1,--(D445=1),""))</f>
        <v/>
      </c>
      <c r="Q445" s="4">
        <f>IF(OR($B445="",D445=""),"",IF($B445=0,--(D445=0),""))</f>
        <v/>
      </c>
      <c r="R445" s="4">
        <f>IF(D445="","",--(D445=1))</f>
        <v/>
      </c>
      <c r="S445" s="4">
        <f>IF(OR($B445="",E445=""),"",--(E445=$B445))</f>
        <v/>
      </c>
      <c r="T445" s="4">
        <f>IF(OR($B445="",E445=""),"",IF($B445=1,--(E445=1),""))</f>
        <v/>
      </c>
      <c r="U445" s="4">
        <f>IF(OR($B445="",E445=""),"",IF($B445=0,--(E445=0),""))</f>
        <v/>
      </c>
      <c r="V445" s="4">
        <f>IF(E445="","",--(E445=1))</f>
        <v/>
      </c>
      <c r="W445" s="4">
        <f>IF(OR($B445="",F445=""),"",--(F445=$B445))</f>
        <v/>
      </c>
      <c r="X445" s="4">
        <f>IF(OR($B445="",F445=""),"",IF($B445=1,--(F445=1),""))</f>
        <v/>
      </c>
      <c r="Y445" s="4">
        <f>IF(OR($B445="",F445=""),"",IF($B445=0,--(F445=0),""))</f>
        <v/>
      </c>
      <c r="Z445" s="4">
        <f>IF(F445="","",--(F445=1))</f>
        <v/>
      </c>
      <c r="AA445" s="4">
        <f>IF(OR($B445="",G445=""),"",--(G445=$B445))</f>
        <v/>
      </c>
      <c r="AB445" s="4">
        <f>IF(OR($B445="",G445=""),"",IF($B445=1,--(G445=1),""))</f>
        <v/>
      </c>
      <c r="AC445" s="4">
        <f>IF(OR($B445="",G445=""),"",IF($B445=0,--(G445=0),""))</f>
        <v/>
      </c>
      <c r="AD445" s="4">
        <f>IF(G445="","",--(G445=1))</f>
        <v/>
      </c>
      <c r="AE445" s="4">
        <f>IF(OR($B445="",H445=""),"",--(H445=$B445))</f>
        <v/>
      </c>
      <c r="AF445" s="4">
        <f>IF(OR($B445="",H445=""),"",IF($B445=1,--(H445=1),""))</f>
        <v/>
      </c>
      <c r="AG445" s="4">
        <f>IF(OR($B445="",H445=""),"",IF($B445=0,--(H445=0),""))</f>
        <v/>
      </c>
      <c r="AH445" s="4">
        <f>IF(H445="","",--(H445=1))</f>
        <v/>
      </c>
      <c r="AI445" s="4">
        <f>IF(OR($B445="",I445=""),"",--(I445=$B445))</f>
        <v/>
      </c>
      <c r="AJ445" s="4">
        <f>IF(OR($B445="",I445=""),"",IF($B445=1,--(I445=1),""))</f>
        <v/>
      </c>
      <c r="AK445" s="4">
        <f>IF(OR($B445="",I445=""),"",IF($B445=0,--(I445=0),""))</f>
        <v/>
      </c>
      <c r="AL445" s="4">
        <f>IF(I445="","",--(I445=1))</f>
        <v/>
      </c>
      <c r="AM445" s="4">
        <f>IF(OR($B445="",J445=""),"",--(J445=$B445))</f>
        <v/>
      </c>
      <c r="AN445" s="4">
        <f>IF(OR($B445="",J445=""),"",IF($B445=1,--(J445=1),""))</f>
        <v/>
      </c>
      <c r="AO445" s="4">
        <f>IF(OR($B445="",J445=""),"",IF($B445=0,--(J445=0),""))</f>
        <v/>
      </c>
      <c r="AP445" s="4">
        <f>IF(J445="","",--(J445=1))</f>
        <v/>
      </c>
      <c r="AQ445" s="4">
        <f>IF(OR($B445="",K445=""),"",--(K445=$B445))</f>
        <v/>
      </c>
      <c r="AR445" s="4">
        <f>IF(OR($B445="",K445=""),"",IF($B445=1,--(K445=1),""))</f>
        <v/>
      </c>
      <c r="AS445" s="4">
        <f>IF(OR($B445="",K445=""),"",IF($B445=0,--(K445=0),""))</f>
        <v/>
      </c>
      <c r="AT445" s="4">
        <f>IF(K445="","",--(K445=1))</f>
        <v/>
      </c>
      <c r="AU445" s="4">
        <f>IF(OR($B445="",L445=""),"",--(L445=$B445))</f>
        <v/>
      </c>
      <c r="AV445" s="4">
        <f>IF(OR($B445="",L445=""),"",IF($B445=1,--(L445=1),""))</f>
        <v/>
      </c>
      <c r="AW445" s="4">
        <f>IF(OR($B445="",L445=""),"",IF($B445=0,--(L445=0),""))</f>
        <v/>
      </c>
      <c r="AX445" s="4">
        <f>IF(L445="","",--(L445=1))</f>
        <v/>
      </c>
      <c r="AY445" s="4">
        <f>IF(OR($B445="",M445=""),"",--(M445=$B445))</f>
        <v/>
      </c>
      <c r="AZ445" s="4">
        <f>IF(OR($B445="",M445=""),"",IF($B445=1,--(M445=1),""))</f>
        <v/>
      </c>
      <c r="BA445" s="4">
        <f>IF(OR($B445="",M445=""),"",IF($B445=0,--(M445=0),""))</f>
        <v/>
      </c>
      <c r="BB445" s="4">
        <f>IF(M445="","",--(M445=1))</f>
        <v/>
      </c>
      <c r="BC445" s="4">
        <f>IF(OR($B445="",N445=""),"",--(N445=$B445))</f>
        <v/>
      </c>
      <c r="BD445" s="4">
        <f>IF(OR($B445="",N445=""),"",IF($B445=1,--(N445=1),""))</f>
        <v/>
      </c>
      <c r="BE445" s="4">
        <f>IF(OR($B445="",N445=""),"",IF($B445=0,--(N445=0),""))</f>
        <v/>
      </c>
      <c r="BF445" s="4">
        <f>IF(N445="","",--(N445=1))</f>
        <v/>
      </c>
    </row>
    <row r="446">
      <c r="A446" s="3" t="inlineStr">
        <is>
          <t>202260278</t>
        </is>
      </c>
      <c r="B446" s="3" t="inlineStr">
        <is>
          <t>0</t>
        </is>
      </c>
      <c r="C446" s="3" t="inlineStr">
        <is>
          <t>Direct</t>
        </is>
      </c>
      <c r="D446" s="3" t="inlineStr">
        <is>
          <t>1</t>
        </is>
      </c>
      <c r="E446" s="3" t="inlineStr">
        <is>
          <t>1</t>
        </is>
      </c>
      <c r="F446" s="3" t="inlineStr">
        <is>
          <t>0</t>
        </is>
      </c>
      <c r="G446" s="3" t="inlineStr">
        <is>
          <t>1</t>
        </is>
      </c>
      <c r="H446" s="3" t="inlineStr">
        <is>
          <t>1</t>
        </is>
      </c>
      <c r="I446" s="3" t="inlineStr">
        <is>
          <t>1</t>
        </is>
      </c>
      <c r="J446" s="3" t="inlineStr">
        <is>
          <t>1</t>
        </is>
      </c>
      <c r="K446" s="3" t="inlineStr">
        <is>
          <t>1</t>
        </is>
      </c>
      <c r="L446" s="3" t="inlineStr">
        <is>
          <t>1</t>
        </is>
      </c>
      <c r="M446" s="3" t="inlineStr">
        <is>
          <t>1</t>
        </is>
      </c>
      <c r="N446" s="3" t="inlineStr">
        <is>
          <t>1</t>
        </is>
      </c>
      <c r="O446" s="4">
        <f>IF(OR($B446="",D446=""),"",--(D446=$B446))</f>
        <v/>
      </c>
      <c r="P446" s="4">
        <f>IF(OR($B446="",D446=""),"",IF($B446=1,--(D446=1),""))</f>
        <v/>
      </c>
      <c r="Q446" s="4">
        <f>IF(OR($B446="",D446=""),"",IF($B446=0,--(D446=0),""))</f>
        <v/>
      </c>
      <c r="R446" s="4">
        <f>IF(D446="","",--(D446=1))</f>
        <v/>
      </c>
      <c r="S446" s="4">
        <f>IF(OR($B446="",E446=""),"",--(E446=$B446))</f>
        <v/>
      </c>
      <c r="T446" s="4">
        <f>IF(OR($B446="",E446=""),"",IF($B446=1,--(E446=1),""))</f>
        <v/>
      </c>
      <c r="U446" s="4">
        <f>IF(OR($B446="",E446=""),"",IF($B446=0,--(E446=0),""))</f>
        <v/>
      </c>
      <c r="V446" s="4">
        <f>IF(E446="","",--(E446=1))</f>
        <v/>
      </c>
      <c r="W446" s="4">
        <f>IF(OR($B446="",F446=""),"",--(F446=$B446))</f>
        <v/>
      </c>
      <c r="X446" s="4">
        <f>IF(OR($B446="",F446=""),"",IF($B446=1,--(F446=1),""))</f>
        <v/>
      </c>
      <c r="Y446" s="4">
        <f>IF(OR($B446="",F446=""),"",IF($B446=0,--(F446=0),""))</f>
        <v/>
      </c>
      <c r="Z446" s="4">
        <f>IF(F446="","",--(F446=1))</f>
        <v/>
      </c>
      <c r="AA446" s="4">
        <f>IF(OR($B446="",G446=""),"",--(G446=$B446))</f>
        <v/>
      </c>
      <c r="AB446" s="4">
        <f>IF(OR($B446="",G446=""),"",IF($B446=1,--(G446=1),""))</f>
        <v/>
      </c>
      <c r="AC446" s="4">
        <f>IF(OR($B446="",G446=""),"",IF($B446=0,--(G446=0),""))</f>
        <v/>
      </c>
      <c r="AD446" s="4">
        <f>IF(G446="","",--(G446=1))</f>
        <v/>
      </c>
      <c r="AE446" s="4">
        <f>IF(OR($B446="",H446=""),"",--(H446=$B446))</f>
        <v/>
      </c>
      <c r="AF446" s="4">
        <f>IF(OR($B446="",H446=""),"",IF($B446=1,--(H446=1),""))</f>
        <v/>
      </c>
      <c r="AG446" s="4">
        <f>IF(OR($B446="",H446=""),"",IF($B446=0,--(H446=0),""))</f>
        <v/>
      </c>
      <c r="AH446" s="4">
        <f>IF(H446="","",--(H446=1))</f>
        <v/>
      </c>
      <c r="AI446" s="4">
        <f>IF(OR($B446="",I446=""),"",--(I446=$B446))</f>
        <v/>
      </c>
      <c r="AJ446" s="4">
        <f>IF(OR($B446="",I446=""),"",IF($B446=1,--(I446=1),""))</f>
        <v/>
      </c>
      <c r="AK446" s="4">
        <f>IF(OR($B446="",I446=""),"",IF($B446=0,--(I446=0),""))</f>
        <v/>
      </c>
      <c r="AL446" s="4">
        <f>IF(I446="","",--(I446=1))</f>
        <v/>
      </c>
      <c r="AM446" s="4">
        <f>IF(OR($B446="",J446=""),"",--(J446=$B446))</f>
        <v/>
      </c>
      <c r="AN446" s="4">
        <f>IF(OR($B446="",J446=""),"",IF($B446=1,--(J446=1),""))</f>
        <v/>
      </c>
      <c r="AO446" s="4">
        <f>IF(OR($B446="",J446=""),"",IF($B446=0,--(J446=0),""))</f>
        <v/>
      </c>
      <c r="AP446" s="4">
        <f>IF(J446="","",--(J446=1))</f>
        <v/>
      </c>
      <c r="AQ446" s="4">
        <f>IF(OR($B446="",K446=""),"",--(K446=$B446))</f>
        <v/>
      </c>
      <c r="AR446" s="4">
        <f>IF(OR($B446="",K446=""),"",IF($B446=1,--(K446=1),""))</f>
        <v/>
      </c>
      <c r="AS446" s="4">
        <f>IF(OR($B446="",K446=""),"",IF($B446=0,--(K446=0),""))</f>
        <v/>
      </c>
      <c r="AT446" s="4">
        <f>IF(K446="","",--(K446=1))</f>
        <v/>
      </c>
      <c r="AU446" s="4">
        <f>IF(OR($B446="",L446=""),"",--(L446=$B446))</f>
        <v/>
      </c>
      <c r="AV446" s="4">
        <f>IF(OR($B446="",L446=""),"",IF($B446=1,--(L446=1),""))</f>
        <v/>
      </c>
      <c r="AW446" s="4">
        <f>IF(OR($B446="",L446=""),"",IF($B446=0,--(L446=0),""))</f>
        <v/>
      </c>
      <c r="AX446" s="4">
        <f>IF(L446="","",--(L446=1))</f>
        <v/>
      </c>
      <c r="AY446" s="4">
        <f>IF(OR($B446="",M446=""),"",--(M446=$B446))</f>
        <v/>
      </c>
      <c r="AZ446" s="4">
        <f>IF(OR($B446="",M446=""),"",IF($B446=1,--(M446=1),""))</f>
        <v/>
      </c>
      <c r="BA446" s="4">
        <f>IF(OR($B446="",M446=""),"",IF($B446=0,--(M446=0),""))</f>
        <v/>
      </c>
      <c r="BB446" s="4">
        <f>IF(M446="","",--(M446=1))</f>
        <v/>
      </c>
      <c r="BC446" s="4">
        <f>IF(OR($B446="",N446=""),"",--(N446=$B446))</f>
        <v/>
      </c>
      <c r="BD446" s="4">
        <f>IF(OR($B446="",N446=""),"",IF($B446=1,--(N446=1),""))</f>
        <v/>
      </c>
      <c r="BE446" s="4">
        <f>IF(OR($B446="",N446=""),"",IF($B446=0,--(N446=0),""))</f>
        <v/>
      </c>
      <c r="BF446" s="4">
        <f>IF(N446="","",--(N446=1))</f>
        <v/>
      </c>
    </row>
    <row r="447">
      <c r="A447" s="3" t="inlineStr">
        <is>
          <t>202267250</t>
        </is>
      </c>
      <c r="B447" s="3" t="inlineStr">
        <is>
          <t>0</t>
        </is>
      </c>
      <c r="C447" s="3" t="inlineStr">
        <is>
          <t>Direct</t>
        </is>
      </c>
      <c r="D447" s="3" t="inlineStr">
        <is>
          <t>0</t>
        </is>
      </c>
      <c r="E447" s="3" t="inlineStr">
        <is>
          <t>0</t>
        </is>
      </c>
      <c r="F447" s="3" t="inlineStr">
        <is>
          <t>0</t>
        </is>
      </c>
      <c r="G447" s="3" t="inlineStr">
        <is>
          <t>0</t>
        </is>
      </c>
      <c r="H447" s="3" t="inlineStr">
        <is>
          <t>0</t>
        </is>
      </c>
      <c r="I447" s="3" t="inlineStr">
        <is>
          <t>0</t>
        </is>
      </c>
      <c r="J447" s="3" t="inlineStr">
        <is>
          <t>1</t>
        </is>
      </c>
      <c r="K447" s="3" t="inlineStr">
        <is>
          <t>0</t>
        </is>
      </c>
      <c r="L447" s="3" t="inlineStr">
        <is>
          <t>0</t>
        </is>
      </c>
      <c r="M447" s="3" t="inlineStr">
        <is>
          <t>0</t>
        </is>
      </c>
      <c r="N447" s="3" t="inlineStr">
        <is>
          <t>0</t>
        </is>
      </c>
      <c r="O447" s="4">
        <f>IF(OR($B447="",D447=""),"",--(D447=$B447))</f>
        <v/>
      </c>
      <c r="P447" s="4">
        <f>IF(OR($B447="",D447=""),"",IF($B447=1,--(D447=1),""))</f>
        <v/>
      </c>
      <c r="Q447" s="4">
        <f>IF(OR($B447="",D447=""),"",IF($B447=0,--(D447=0),""))</f>
        <v/>
      </c>
      <c r="R447" s="4">
        <f>IF(D447="","",--(D447=1))</f>
        <v/>
      </c>
      <c r="S447" s="4">
        <f>IF(OR($B447="",E447=""),"",--(E447=$B447))</f>
        <v/>
      </c>
      <c r="T447" s="4">
        <f>IF(OR($B447="",E447=""),"",IF($B447=1,--(E447=1),""))</f>
        <v/>
      </c>
      <c r="U447" s="4">
        <f>IF(OR($B447="",E447=""),"",IF($B447=0,--(E447=0),""))</f>
        <v/>
      </c>
      <c r="V447" s="4">
        <f>IF(E447="","",--(E447=1))</f>
        <v/>
      </c>
      <c r="W447" s="4">
        <f>IF(OR($B447="",F447=""),"",--(F447=$B447))</f>
        <v/>
      </c>
      <c r="X447" s="4">
        <f>IF(OR($B447="",F447=""),"",IF($B447=1,--(F447=1),""))</f>
        <v/>
      </c>
      <c r="Y447" s="4">
        <f>IF(OR($B447="",F447=""),"",IF($B447=0,--(F447=0),""))</f>
        <v/>
      </c>
      <c r="Z447" s="4">
        <f>IF(F447="","",--(F447=1))</f>
        <v/>
      </c>
      <c r="AA447" s="4">
        <f>IF(OR($B447="",G447=""),"",--(G447=$B447))</f>
        <v/>
      </c>
      <c r="AB447" s="4">
        <f>IF(OR($B447="",G447=""),"",IF($B447=1,--(G447=1),""))</f>
        <v/>
      </c>
      <c r="AC447" s="4">
        <f>IF(OR($B447="",G447=""),"",IF($B447=0,--(G447=0),""))</f>
        <v/>
      </c>
      <c r="AD447" s="4">
        <f>IF(G447="","",--(G447=1))</f>
        <v/>
      </c>
      <c r="AE447" s="4">
        <f>IF(OR($B447="",H447=""),"",--(H447=$B447))</f>
        <v/>
      </c>
      <c r="AF447" s="4">
        <f>IF(OR($B447="",H447=""),"",IF($B447=1,--(H447=1),""))</f>
        <v/>
      </c>
      <c r="AG447" s="4">
        <f>IF(OR($B447="",H447=""),"",IF($B447=0,--(H447=0),""))</f>
        <v/>
      </c>
      <c r="AH447" s="4">
        <f>IF(H447="","",--(H447=1))</f>
        <v/>
      </c>
      <c r="AI447" s="4">
        <f>IF(OR($B447="",I447=""),"",--(I447=$B447))</f>
        <v/>
      </c>
      <c r="AJ447" s="4">
        <f>IF(OR($B447="",I447=""),"",IF($B447=1,--(I447=1),""))</f>
        <v/>
      </c>
      <c r="AK447" s="4">
        <f>IF(OR($B447="",I447=""),"",IF($B447=0,--(I447=0),""))</f>
        <v/>
      </c>
      <c r="AL447" s="4">
        <f>IF(I447="","",--(I447=1))</f>
        <v/>
      </c>
      <c r="AM447" s="4">
        <f>IF(OR($B447="",J447=""),"",--(J447=$B447))</f>
        <v/>
      </c>
      <c r="AN447" s="4">
        <f>IF(OR($B447="",J447=""),"",IF($B447=1,--(J447=1),""))</f>
        <v/>
      </c>
      <c r="AO447" s="4">
        <f>IF(OR($B447="",J447=""),"",IF($B447=0,--(J447=0),""))</f>
        <v/>
      </c>
      <c r="AP447" s="4">
        <f>IF(J447="","",--(J447=1))</f>
        <v/>
      </c>
      <c r="AQ447" s="4">
        <f>IF(OR($B447="",K447=""),"",--(K447=$B447))</f>
        <v/>
      </c>
      <c r="AR447" s="4">
        <f>IF(OR($B447="",K447=""),"",IF($B447=1,--(K447=1),""))</f>
        <v/>
      </c>
      <c r="AS447" s="4">
        <f>IF(OR($B447="",K447=""),"",IF($B447=0,--(K447=0),""))</f>
        <v/>
      </c>
      <c r="AT447" s="4">
        <f>IF(K447="","",--(K447=1))</f>
        <v/>
      </c>
      <c r="AU447" s="4">
        <f>IF(OR($B447="",L447=""),"",--(L447=$B447))</f>
        <v/>
      </c>
      <c r="AV447" s="4">
        <f>IF(OR($B447="",L447=""),"",IF($B447=1,--(L447=1),""))</f>
        <v/>
      </c>
      <c r="AW447" s="4">
        <f>IF(OR($B447="",L447=""),"",IF($B447=0,--(L447=0),""))</f>
        <v/>
      </c>
      <c r="AX447" s="4">
        <f>IF(L447="","",--(L447=1))</f>
        <v/>
      </c>
      <c r="AY447" s="4">
        <f>IF(OR($B447="",M447=""),"",--(M447=$B447))</f>
        <v/>
      </c>
      <c r="AZ447" s="4">
        <f>IF(OR($B447="",M447=""),"",IF($B447=1,--(M447=1),""))</f>
        <v/>
      </c>
      <c r="BA447" s="4">
        <f>IF(OR($B447="",M447=""),"",IF($B447=0,--(M447=0),""))</f>
        <v/>
      </c>
      <c r="BB447" s="4">
        <f>IF(M447="","",--(M447=1))</f>
        <v/>
      </c>
      <c r="BC447" s="4">
        <f>IF(OR($B447="",N447=""),"",--(N447=$B447))</f>
        <v/>
      </c>
      <c r="BD447" s="4">
        <f>IF(OR($B447="",N447=""),"",IF($B447=1,--(N447=1),""))</f>
        <v/>
      </c>
      <c r="BE447" s="4">
        <f>IF(OR($B447="",N447=""),"",IF($B447=0,--(N447=0),""))</f>
        <v/>
      </c>
      <c r="BF447" s="4">
        <f>IF(N447="","",--(N447=1))</f>
        <v/>
      </c>
    </row>
    <row r="448">
      <c r="A448" s="3" t="inlineStr">
        <is>
          <t>20226873</t>
        </is>
      </c>
      <c r="B448" s="3" t="inlineStr">
        <is>
          <t>0</t>
        </is>
      </c>
      <c r="C448" s="3" t="inlineStr">
        <is>
          <t>Direct</t>
        </is>
      </c>
      <c r="D448" s="3" t="inlineStr">
        <is>
          <t>0</t>
        </is>
      </c>
      <c r="E448" s="3" t="inlineStr">
        <is>
          <t>0</t>
        </is>
      </c>
      <c r="F448" s="3" t="inlineStr">
        <is>
          <t>0</t>
        </is>
      </c>
      <c r="G448" s="3" t="inlineStr">
        <is>
          <t>0</t>
        </is>
      </c>
      <c r="H448" s="3" t="inlineStr">
        <is>
          <t>0</t>
        </is>
      </c>
      <c r="I448" s="3" t="inlineStr">
        <is>
          <t>1</t>
        </is>
      </c>
      <c r="J448" s="3" t="inlineStr">
        <is>
          <t>1</t>
        </is>
      </c>
      <c r="K448" s="3" t="inlineStr">
        <is>
          <t>1</t>
        </is>
      </c>
      <c r="L448" s="3" t="inlineStr">
        <is>
          <t>1</t>
        </is>
      </c>
      <c r="M448" s="3" t="inlineStr">
        <is>
          <t>1</t>
        </is>
      </c>
      <c r="N448" s="3" t="inlineStr">
        <is>
          <t>1</t>
        </is>
      </c>
      <c r="O448" s="4">
        <f>IF(OR($B448="",D448=""),"",--(D448=$B448))</f>
        <v/>
      </c>
      <c r="P448" s="4">
        <f>IF(OR($B448="",D448=""),"",IF($B448=1,--(D448=1),""))</f>
        <v/>
      </c>
      <c r="Q448" s="4">
        <f>IF(OR($B448="",D448=""),"",IF($B448=0,--(D448=0),""))</f>
        <v/>
      </c>
      <c r="R448" s="4">
        <f>IF(D448="","",--(D448=1))</f>
        <v/>
      </c>
      <c r="S448" s="4">
        <f>IF(OR($B448="",E448=""),"",--(E448=$B448))</f>
        <v/>
      </c>
      <c r="T448" s="4">
        <f>IF(OR($B448="",E448=""),"",IF($B448=1,--(E448=1),""))</f>
        <v/>
      </c>
      <c r="U448" s="4">
        <f>IF(OR($B448="",E448=""),"",IF($B448=0,--(E448=0),""))</f>
        <v/>
      </c>
      <c r="V448" s="4">
        <f>IF(E448="","",--(E448=1))</f>
        <v/>
      </c>
      <c r="W448" s="4">
        <f>IF(OR($B448="",F448=""),"",--(F448=$B448))</f>
        <v/>
      </c>
      <c r="X448" s="4">
        <f>IF(OR($B448="",F448=""),"",IF($B448=1,--(F448=1),""))</f>
        <v/>
      </c>
      <c r="Y448" s="4">
        <f>IF(OR($B448="",F448=""),"",IF($B448=0,--(F448=0),""))</f>
        <v/>
      </c>
      <c r="Z448" s="4">
        <f>IF(F448="","",--(F448=1))</f>
        <v/>
      </c>
      <c r="AA448" s="4">
        <f>IF(OR($B448="",G448=""),"",--(G448=$B448))</f>
        <v/>
      </c>
      <c r="AB448" s="4">
        <f>IF(OR($B448="",G448=""),"",IF($B448=1,--(G448=1),""))</f>
        <v/>
      </c>
      <c r="AC448" s="4">
        <f>IF(OR($B448="",G448=""),"",IF($B448=0,--(G448=0),""))</f>
        <v/>
      </c>
      <c r="AD448" s="4">
        <f>IF(G448="","",--(G448=1))</f>
        <v/>
      </c>
      <c r="AE448" s="4">
        <f>IF(OR($B448="",H448=""),"",--(H448=$B448))</f>
        <v/>
      </c>
      <c r="AF448" s="4">
        <f>IF(OR($B448="",H448=""),"",IF($B448=1,--(H448=1),""))</f>
        <v/>
      </c>
      <c r="AG448" s="4">
        <f>IF(OR($B448="",H448=""),"",IF($B448=0,--(H448=0),""))</f>
        <v/>
      </c>
      <c r="AH448" s="4">
        <f>IF(H448="","",--(H448=1))</f>
        <v/>
      </c>
      <c r="AI448" s="4">
        <f>IF(OR($B448="",I448=""),"",--(I448=$B448))</f>
        <v/>
      </c>
      <c r="AJ448" s="4">
        <f>IF(OR($B448="",I448=""),"",IF($B448=1,--(I448=1),""))</f>
        <v/>
      </c>
      <c r="AK448" s="4">
        <f>IF(OR($B448="",I448=""),"",IF($B448=0,--(I448=0),""))</f>
        <v/>
      </c>
      <c r="AL448" s="4">
        <f>IF(I448="","",--(I448=1))</f>
        <v/>
      </c>
      <c r="AM448" s="4">
        <f>IF(OR($B448="",J448=""),"",--(J448=$B448))</f>
        <v/>
      </c>
      <c r="AN448" s="4">
        <f>IF(OR($B448="",J448=""),"",IF($B448=1,--(J448=1),""))</f>
        <v/>
      </c>
      <c r="AO448" s="4">
        <f>IF(OR($B448="",J448=""),"",IF($B448=0,--(J448=0),""))</f>
        <v/>
      </c>
      <c r="AP448" s="4">
        <f>IF(J448="","",--(J448=1))</f>
        <v/>
      </c>
      <c r="AQ448" s="4">
        <f>IF(OR($B448="",K448=""),"",--(K448=$B448))</f>
        <v/>
      </c>
      <c r="AR448" s="4">
        <f>IF(OR($B448="",K448=""),"",IF($B448=1,--(K448=1),""))</f>
        <v/>
      </c>
      <c r="AS448" s="4">
        <f>IF(OR($B448="",K448=""),"",IF($B448=0,--(K448=0),""))</f>
        <v/>
      </c>
      <c r="AT448" s="4">
        <f>IF(K448="","",--(K448=1))</f>
        <v/>
      </c>
      <c r="AU448" s="4">
        <f>IF(OR($B448="",L448=""),"",--(L448=$B448))</f>
        <v/>
      </c>
      <c r="AV448" s="4">
        <f>IF(OR($B448="",L448=""),"",IF($B448=1,--(L448=1),""))</f>
        <v/>
      </c>
      <c r="AW448" s="4">
        <f>IF(OR($B448="",L448=""),"",IF($B448=0,--(L448=0),""))</f>
        <v/>
      </c>
      <c r="AX448" s="4">
        <f>IF(L448="","",--(L448=1))</f>
        <v/>
      </c>
      <c r="AY448" s="4">
        <f>IF(OR($B448="",M448=""),"",--(M448=$B448))</f>
        <v/>
      </c>
      <c r="AZ448" s="4">
        <f>IF(OR($B448="",M448=""),"",IF($B448=1,--(M448=1),""))</f>
        <v/>
      </c>
      <c r="BA448" s="4">
        <f>IF(OR($B448="",M448=""),"",IF($B448=0,--(M448=0),""))</f>
        <v/>
      </c>
      <c r="BB448" s="4">
        <f>IF(M448="","",--(M448=1))</f>
        <v/>
      </c>
      <c r="BC448" s="4">
        <f>IF(OR($B448="",N448=""),"",--(N448=$B448))</f>
        <v/>
      </c>
      <c r="BD448" s="4">
        <f>IF(OR($B448="",N448=""),"",IF($B448=1,--(N448=1),""))</f>
        <v/>
      </c>
      <c r="BE448" s="4">
        <f>IF(OR($B448="",N448=""),"",IF($B448=0,--(N448=0),""))</f>
        <v/>
      </c>
      <c r="BF448" s="4">
        <f>IF(N448="","",--(N448=1))</f>
        <v/>
      </c>
    </row>
    <row r="449">
      <c r="A449" s="3" t="inlineStr">
        <is>
          <t>20227270</t>
        </is>
      </c>
      <c r="B449" s="3" t="inlineStr">
        <is>
          <t>0</t>
        </is>
      </c>
      <c r="C449" s="3" t="inlineStr">
        <is>
          <t>Direct</t>
        </is>
      </c>
      <c r="D449" s="3" t="inlineStr">
        <is>
          <t>1</t>
        </is>
      </c>
      <c r="E449" s="3" t="inlineStr">
        <is>
          <t>0</t>
        </is>
      </c>
      <c r="F449" s="3" t="inlineStr">
        <is>
          <t>1</t>
        </is>
      </c>
      <c r="G449" s="3" t="inlineStr">
        <is>
          <t>1</t>
        </is>
      </c>
      <c r="H449" s="3" t="inlineStr">
        <is>
          <t>0</t>
        </is>
      </c>
      <c r="I449" s="3" t="inlineStr">
        <is>
          <t>1</t>
        </is>
      </c>
      <c r="J449" s="3" t="inlineStr">
        <is>
          <t>1</t>
        </is>
      </c>
      <c r="K449" s="3" t="inlineStr">
        <is>
          <t>1</t>
        </is>
      </c>
      <c r="L449" s="3" t="inlineStr">
        <is>
          <t>1</t>
        </is>
      </c>
      <c r="M449" s="3" t="inlineStr">
        <is>
          <t>1</t>
        </is>
      </c>
      <c r="N449" s="3" t="inlineStr">
        <is>
          <t>1</t>
        </is>
      </c>
      <c r="O449" s="4">
        <f>IF(OR($B449="",D449=""),"",--(D449=$B449))</f>
        <v/>
      </c>
      <c r="P449" s="4">
        <f>IF(OR($B449="",D449=""),"",IF($B449=1,--(D449=1),""))</f>
        <v/>
      </c>
      <c r="Q449" s="4">
        <f>IF(OR($B449="",D449=""),"",IF($B449=0,--(D449=0),""))</f>
        <v/>
      </c>
      <c r="R449" s="4">
        <f>IF(D449="","",--(D449=1))</f>
        <v/>
      </c>
      <c r="S449" s="4">
        <f>IF(OR($B449="",E449=""),"",--(E449=$B449))</f>
        <v/>
      </c>
      <c r="T449" s="4">
        <f>IF(OR($B449="",E449=""),"",IF($B449=1,--(E449=1),""))</f>
        <v/>
      </c>
      <c r="U449" s="4">
        <f>IF(OR($B449="",E449=""),"",IF($B449=0,--(E449=0),""))</f>
        <v/>
      </c>
      <c r="V449" s="4">
        <f>IF(E449="","",--(E449=1))</f>
        <v/>
      </c>
      <c r="W449" s="4">
        <f>IF(OR($B449="",F449=""),"",--(F449=$B449))</f>
        <v/>
      </c>
      <c r="X449" s="4">
        <f>IF(OR($B449="",F449=""),"",IF($B449=1,--(F449=1),""))</f>
        <v/>
      </c>
      <c r="Y449" s="4">
        <f>IF(OR($B449="",F449=""),"",IF($B449=0,--(F449=0),""))</f>
        <v/>
      </c>
      <c r="Z449" s="4">
        <f>IF(F449="","",--(F449=1))</f>
        <v/>
      </c>
      <c r="AA449" s="4">
        <f>IF(OR($B449="",G449=""),"",--(G449=$B449))</f>
        <v/>
      </c>
      <c r="AB449" s="4">
        <f>IF(OR($B449="",G449=""),"",IF($B449=1,--(G449=1),""))</f>
        <v/>
      </c>
      <c r="AC449" s="4">
        <f>IF(OR($B449="",G449=""),"",IF($B449=0,--(G449=0),""))</f>
        <v/>
      </c>
      <c r="AD449" s="4">
        <f>IF(G449="","",--(G449=1))</f>
        <v/>
      </c>
      <c r="AE449" s="4">
        <f>IF(OR($B449="",H449=""),"",--(H449=$B449))</f>
        <v/>
      </c>
      <c r="AF449" s="4">
        <f>IF(OR($B449="",H449=""),"",IF($B449=1,--(H449=1),""))</f>
        <v/>
      </c>
      <c r="AG449" s="4">
        <f>IF(OR($B449="",H449=""),"",IF($B449=0,--(H449=0),""))</f>
        <v/>
      </c>
      <c r="AH449" s="4">
        <f>IF(H449="","",--(H449=1))</f>
        <v/>
      </c>
      <c r="AI449" s="4">
        <f>IF(OR($B449="",I449=""),"",--(I449=$B449))</f>
        <v/>
      </c>
      <c r="AJ449" s="4">
        <f>IF(OR($B449="",I449=""),"",IF($B449=1,--(I449=1),""))</f>
        <v/>
      </c>
      <c r="AK449" s="4">
        <f>IF(OR($B449="",I449=""),"",IF($B449=0,--(I449=0),""))</f>
        <v/>
      </c>
      <c r="AL449" s="4">
        <f>IF(I449="","",--(I449=1))</f>
        <v/>
      </c>
      <c r="AM449" s="4">
        <f>IF(OR($B449="",J449=""),"",--(J449=$B449))</f>
        <v/>
      </c>
      <c r="AN449" s="4">
        <f>IF(OR($B449="",J449=""),"",IF($B449=1,--(J449=1),""))</f>
        <v/>
      </c>
      <c r="AO449" s="4">
        <f>IF(OR($B449="",J449=""),"",IF($B449=0,--(J449=0),""))</f>
        <v/>
      </c>
      <c r="AP449" s="4">
        <f>IF(J449="","",--(J449=1))</f>
        <v/>
      </c>
      <c r="AQ449" s="4">
        <f>IF(OR($B449="",K449=""),"",--(K449=$B449))</f>
        <v/>
      </c>
      <c r="AR449" s="4">
        <f>IF(OR($B449="",K449=""),"",IF($B449=1,--(K449=1),""))</f>
        <v/>
      </c>
      <c r="AS449" s="4">
        <f>IF(OR($B449="",K449=""),"",IF($B449=0,--(K449=0),""))</f>
        <v/>
      </c>
      <c r="AT449" s="4">
        <f>IF(K449="","",--(K449=1))</f>
        <v/>
      </c>
      <c r="AU449" s="4">
        <f>IF(OR($B449="",L449=""),"",--(L449=$B449))</f>
        <v/>
      </c>
      <c r="AV449" s="4">
        <f>IF(OR($B449="",L449=""),"",IF($B449=1,--(L449=1),""))</f>
        <v/>
      </c>
      <c r="AW449" s="4">
        <f>IF(OR($B449="",L449=""),"",IF($B449=0,--(L449=0),""))</f>
        <v/>
      </c>
      <c r="AX449" s="4">
        <f>IF(L449="","",--(L449=1))</f>
        <v/>
      </c>
      <c r="AY449" s="4">
        <f>IF(OR($B449="",M449=""),"",--(M449=$B449))</f>
        <v/>
      </c>
      <c r="AZ449" s="4">
        <f>IF(OR($B449="",M449=""),"",IF($B449=1,--(M449=1),""))</f>
        <v/>
      </c>
      <c r="BA449" s="4">
        <f>IF(OR($B449="",M449=""),"",IF($B449=0,--(M449=0),""))</f>
        <v/>
      </c>
      <c r="BB449" s="4">
        <f>IF(M449="","",--(M449=1))</f>
        <v/>
      </c>
      <c r="BC449" s="4">
        <f>IF(OR($B449="",N449=""),"",--(N449=$B449))</f>
        <v/>
      </c>
      <c r="BD449" s="4">
        <f>IF(OR($B449="",N449=""),"",IF($B449=1,--(N449=1),""))</f>
        <v/>
      </c>
      <c r="BE449" s="4">
        <f>IF(OR($B449="",N449=""),"",IF($B449=0,--(N449=0),""))</f>
        <v/>
      </c>
      <c r="BF449" s="4">
        <f>IF(N449="","",--(N449=1))</f>
        <v/>
      </c>
    </row>
    <row r="450">
      <c r="A450" s="3" t="inlineStr">
        <is>
          <t>20227316</t>
        </is>
      </c>
      <c r="B450" s="3" t="inlineStr">
        <is>
          <t>0</t>
        </is>
      </c>
      <c r="C450" s="3" t="inlineStr">
        <is>
          <t>Direct</t>
        </is>
      </c>
      <c r="D450" s="3" t="inlineStr">
        <is>
          <t>1</t>
        </is>
      </c>
      <c r="E450" s="3" t="inlineStr">
        <is>
          <t>1</t>
        </is>
      </c>
      <c r="F450" s="3" t="inlineStr">
        <is>
          <t>0</t>
        </is>
      </c>
      <c r="G450" s="3" t="inlineStr">
        <is>
          <t>1</t>
        </is>
      </c>
      <c r="H450" s="3" t="inlineStr">
        <is>
          <t>0</t>
        </is>
      </c>
      <c r="I450" s="3" t="inlineStr">
        <is>
          <t>0</t>
        </is>
      </c>
      <c r="J450" s="3" t="inlineStr">
        <is>
          <t>0</t>
        </is>
      </c>
      <c r="K450" s="3" t="inlineStr">
        <is>
          <t>0</t>
        </is>
      </c>
      <c r="L450" s="3" t="inlineStr">
        <is>
          <t>0</t>
        </is>
      </c>
      <c r="M450" s="3" t="inlineStr">
        <is>
          <t>0</t>
        </is>
      </c>
      <c r="N450" s="3" t="inlineStr">
        <is>
          <t>0</t>
        </is>
      </c>
      <c r="O450" s="4">
        <f>IF(OR($B450="",D450=""),"",--(D450=$B450))</f>
        <v/>
      </c>
      <c r="P450" s="4">
        <f>IF(OR($B450="",D450=""),"",IF($B450=1,--(D450=1),""))</f>
        <v/>
      </c>
      <c r="Q450" s="4">
        <f>IF(OR($B450="",D450=""),"",IF($B450=0,--(D450=0),""))</f>
        <v/>
      </c>
      <c r="R450" s="4">
        <f>IF(D450="","",--(D450=1))</f>
        <v/>
      </c>
      <c r="S450" s="4">
        <f>IF(OR($B450="",E450=""),"",--(E450=$B450))</f>
        <v/>
      </c>
      <c r="T450" s="4">
        <f>IF(OR($B450="",E450=""),"",IF($B450=1,--(E450=1),""))</f>
        <v/>
      </c>
      <c r="U450" s="4">
        <f>IF(OR($B450="",E450=""),"",IF($B450=0,--(E450=0),""))</f>
        <v/>
      </c>
      <c r="V450" s="4">
        <f>IF(E450="","",--(E450=1))</f>
        <v/>
      </c>
      <c r="W450" s="4">
        <f>IF(OR($B450="",F450=""),"",--(F450=$B450))</f>
        <v/>
      </c>
      <c r="X450" s="4">
        <f>IF(OR($B450="",F450=""),"",IF($B450=1,--(F450=1),""))</f>
        <v/>
      </c>
      <c r="Y450" s="4">
        <f>IF(OR($B450="",F450=""),"",IF($B450=0,--(F450=0),""))</f>
        <v/>
      </c>
      <c r="Z450" s="4">
        <f>IF(F450="","",--(F450=1))</f>
        <v/>
      </c>
      <c r="AA450" s="4">
        <f>IF(OR($B450="",G450=""),"",--(G450=$B450))</f>
        <v/>
      </c>
      <c r="AB450" s="4">
        <f>IF(OR($B450="",G450=""),"",IF($B450=1,--(G450=1),""))</f>
        <v/>
      </c>
      <c r="AC450" s="4">
        <f>IF(OR($B450="",G450=""),"",IF($B450=0,--(G450=0),""))</f>
        <v/>
      </c>
      <c r="AD450" s="4">
        <f>IF(G450="","",--(G450=1))</f>
        <v/>
      </c>
      <c r="AE450" s="4">
        <f>IF(OR($B450="",H450=""),"",--(H450=$B450))</f>
        <v/>
      </c>
      <c r="AF450" s="4">
        <f>IF(OR($B450="",H450=""),"",IF($B450=1,--(H450=1),""))</f>
        <v/>
      </c>
      <c r="AG450" s="4">
        <f>IF(OR($B450="",H450=""),"",IF($B450=0,--(H450=0),""))</f>
        <v/>
      </c>
      <c r="AH450" s="4">
        <f>IF(H450="","",--(H450=1))</f>
        <v/>
      </c>
      <c r="AI450" s="4">
        <f>IF(OR($B450="",I450=""),"",--(I450=$B450))</f>
        <v/>
      </c>
      <c r="AJ450" s="4">
        <f>IF(OR($B450="",I450=""),"",IF($B450=1,--(I450=1),""))</f>
        <v/>
      </c>
      <c r="AK450" s="4">
        <f>IF(OR($B450="",I450=""),"",IF($B450=0,--(I450=0),""))</f>
        <v/>
      </c>
      <c r="AL450" s="4">
        <f>IF(I450="","",--(I450=1))</f>
        <v/>
      </c>
      <c r="AM450" s="4">
        <f>IF(OR($B450="",J450=""),"",--(J450=$B450))</f>
        <v/>
      </c>
      <c r="AN450" s="4">
        <f>IF(OR($B450="",J450=""),"",IF($B450=1,--(J450=1),""))</f>
        <v/>
      </c>
      <c r="AO450" s="4">
        <f>IF(OR($B450="",J450=""),"",IF($B450=0,--(J450=0),""))</f>
        <v/>
      </c>
      <c r="AP450" s="4">
        <f>IF(J450="","",--(J450=1))</f>
        <v/>
      </c>
      <c r="AQ450" s="4">
        <f>IF(OR($B450="",K450=""),"",--(K450=$B450))</f>
        <v/>
      </c>
      <c r="AR450" s="4">
        <f>IF(OR($B450="",K450=""),"",IF($B450=1,--(K450=1),""))</f>
        <v/>
      </c>
      <c r="AS450" s="4">
        <f>IF(OR($B450="",K450=""),"",IF($B450=0,--(K450=0),""))</f>
        <v/>
      </c>
      <c r="AT450" s="4">
        <f>IF(K450="","",--(K450=1))</f>
        <v/>
      </c>
      <c r="AU450" s="4">
        <f>IF(OR($B450="",L450=""),"",--(L450=$B450))</f>
        <v/>
      </c>
      <c r="AV450" s="4">
        <f>IF(OR($B450="",L450=""),"",IF($B450=1,--(L450=1),""))</f>
        <v/>
      </c>
      <c r="AW450" s="4">
        <f>IF(OR($B450="",L450=""),"",IF($B450=0,--(L450=0),""))</f>
        <v/>
      </c>
      <c r="AX450" s="4">
        <f>IF(L450="","",--(L450=1))</f>
        <v/>
      </c>
      <c r="AY450" s="4">
        <f>IF(OR($B450="",M450=""),"",--(M450=$B450))</f>
        <v/>
      </c>
      <c r="AZ450" s="4">
        <f>IF(OR($B450="",M450=""),"",IF($B450=1,--(M450=1),""))</f>
        <v/>
      </c>
      <c r="BA450" s="4">
        <f>IF(OR($B450="",M450=""),"",IF($B450=0,--(M450=0),""))</f>
        <v/>
      </c>
      <c r="BB450" s="4">
        <f>IF(M450="","",--(M450=1))</f>
        <v/>
      </c>
      <c r="BC450" s="4">
        <f>IF(OR($B450="",N450=""),"",--(N450=$B450))</f>
        <v/>
      </c>
      <c r="BD450" s="4">
        <f>IF(OR($B450="",N450=""),"",IF($B450=1,--(N450=1),""))</f>
        <v/>
      </c>
      <c r="BE450" s="4">
        <f>IF(OR($B450="",N450=""),"",IF($B450=0,--(N450=0),""))</f>
        <v/>
      </c>
      <c r="BF450" s="4">
        <f>IF(N450="","",--(N450=1))</f>
        <v/>
      </c>
    </row>
    <row r="451">
      <c r="A451" s="3" t="inlineStr">
        <is>
          <t>202274477</t>
        </is>
      </c>
      <c r="B451" s="3" t="inlineStr">
        <is>
          <t>0</t>
        </is>
      </c>
      <c r="C451" s="3" t="inlineStr">
        <is>
          <t>Direct</t>
        </is>
      </c>
      <c r="D451" s="3" t="inlineStr">
        <is>
          <t>1</t>
        </is>
      </c>
      <c r="E451" s="3" t="inlineStr">
        <is>
          <t>0</t>
        </is>
      </c>
      <c r="F451" s="3" t="inlineStr">
        <is>
          <t>0</t>
        </is>
      </c>
      <c r="G451" s="3" t="inlineStr">
        <is>
          <t>0</t>
        </is>
      </c>
      <c r="H451" s="3" t="inlineStr">
        <is>
          <t>0</t>
        </is>
      </c>
      <c r="I451" s="3" t="inlineStr">
        <is>
          <t>1</t>
        </is>
      </c>
      <c r="J451" s="3" t="inlineStr">
        <is>
          <t>1</t>
        </is>
      </c>
      <c r="K451" s="3" t="inlineStr">
        <is>
          <t>1</t>
        </is>
      </c>
      <c r="L451" s="3" t="inlineStr">
        <is>
          <t>1</t>
        </is>
      </c>
      <c r="M451" s="3" t="inlineStr">
        <is>
          <t>1</t>
        </is>
      </c>
      <c r="N451" s="3" t="inlineStr">
        <is>
          <t>1</t>
        </is>
      </c>
      <c r="O451" s="4">
        <f>IF(OR($B451="",D451=""),"",--(D451=$B451))</f>
        <v/>
      </c>
      <c r="P451" s="4">
        <f>IF(OR($B451="",D451=""),"",IF($B451=1,--(D451=1),""))</f>
        <v/>
      </c>
      <c r="Q451" s="4">
        <f>IF(OR($B451="",D451=""),"",IF($B451=0,--(D451=0),""))</f>
        <v/>
      </c>
      <c r="R451" s="4">
        <f>IF(D451="","",--(D451=1))</f>
        <v/>
      </c>
      <c r="S451" s="4">
        <f>IF(OR($B451="",E451=""),"",--(E451=$B451))</f>
        <v/>
      </c>
      <c r="T451" s="4">
        <f>IF(OR($B451="",E451=""),"",IF($B451=1,--(E451=1),""))</f>
        <v/>
      </c>
      <c r="U451" s="4">
        <f>IF(OR($B451="",E451=""),"",IF($B451=0,--(E451=0),""))</f>
        <v/>
      </c>
      <c r="V451" s="4">
        <f>IF(E451="","",--(E451=1))</f>
        <v/>
      </c>
      <c r="W451" s="4">
        <f>IF(OR($B451="",F451=""),"",--(F451=$B451))</f>
        <v/>
      </c>
      <c r="X451" s="4">
        <f>IF(OR($B451="",F451=""),"",IF($B451=1,--(F451=1),""))</f>
        <v/>
      </c>
      <c r="Y451" s="4">
        <f>IF(OR($B451="",F451=""),"",IF($B451=0,--(F451=0),""))</f>
        <v/>
      </c>
      <c r="Z451" s="4">
        <f>IF(F451="","",--(F451=1))</f>
        <v/>
      </c>
      <c r="AA451" s="4">
        <f>IF(OR($B451="",G451=""),"",--(G451=$B451))</f>
        <v/>
      </c>
      <c r="AB451" s="4">
        <f>IF(OR($B451="",G451=""),"",IF($B451=1,--(G451=1),""))</f>
        <v/>
      </c>
      <c r="AC451" s="4">
        <f>IF(OR($B451="",G451=""),"",IF($B451=0,--(G451=0),""))</f>
        <v/>
      </c>
      <c r="AD451" s="4">
        <f>IF(G451="","",--(G451=1))</f>
        <v/>
      </c>
      <c r="AE451" s="4">
        <f>IF(OR($B451="",H451=""),"",--(H451=$B451))</f>
        <v/>
      </c>
      <c r="AF451" s="4">
        <f>IF(OR($B451="",H451=""),"",IF($B451=1,--(H451=1),""))</f>
        <v/>
      </c>
      <c r="AG451" s="4">
        <f>IF(OR($B451="",H451=""),"",IF($B451=0,--(H451=0),""))</f>
        <v/>
      </c>
      <c r="AH451" s="4">
        <f>IF(H451="","",--(H451=1))</f>
        <v/>
      </c>
      <c r="AI451" s="4">
        <f>IF(OR($B451="",I451=""),"",--(I451=$B451))</f>
        <v/>
      </c>
      <c r="AJ451" s="4">
        <f>IF(OR($B451="",I451=""),"",IF($B451=1,--(I451=1),""))</f>
        <v/>
      </c>
      <c r="AK451" s="4">
        <f>IF(OR($B451="",I451=""),"",IF($B451=0,--(I451=0),""))</f>
        <v/>
      </c>
      <c r="AL451" s="4">
        <f>IF(I451="","",--(I451=1))</f>
        <v/>
      </c>
      <c r="AM451" s="4">
        <f>IF(OR($B451="",J451=""),"",--(J451=$B451))</f>
        <v/>
      </c>
      <c r="AN451" s="4">
        <f>IF(OR($B451="",J451=""),"",IF($B451=1,--(J451=1),""))</f>
        <v/>
      </c>
      <c r="AO451" s="4">
        <f>IF(OR($B451="",J451=""),"",IF($B451=0,--(J451=0),""))</f>
        <v/>
      </c>
      <c r="AP451" s="4">
        <f>IF(J451="","",--(J451=1))</f>
        <v/>
      </c>
      <c r="AQ451" s="4">
        <f>IF(OR($B451="",K451=""),"",--(K451=$B451))</f>
        <v/>
      </c>
      <c r="AR451" s="4">
        <f>IF(OR($B451="",K451=""),"",IF($B451=1,--(K451=1),""))</f>
        <v/>
      </c>
      <c r="AS451" s="4">
        <f>IF(OR($B451="",K451=""),"",IF($B451=0,--(K451=0),""))</f>
        <v/>
      </c>
      <c r="AT451" s="4">
        <f>IF(K451="","",--(K451=1))</f>
        <v/>
      </c>
      <c r="AU451" s="4">
        <f>IF(OR($B451="",L451=""),"",--(L451=$B451))</f>
        <v/>
      </c>
      <c r="AV451" s="4">
        <f>IF(OR($B451="",L451=""),"",IF($B451=1,--(L451=1),""))</f>
        <v/>
      </c>
      <c r="AW451" s="4">
        <f>IF(OR($B451="",L451=""),"",IF($B451=0,--(L451=0),""))</f>
        <v/>
      </c>
      <c r="AX451" s="4">
        <f>IF(L451="","",--(L451=1))</f>
        <v/>
      </c>
      <c r="AY451" s="4">
        <f>IF(OR($B451="",M451=""),"",--(M451=$B451))</f>
        <v/>
      </c>
      <c r="AZ451" s="4">
        <f>IF(OR($B451="",M451=""),"",IF($B451=1,--(M451=1),""))</f>
        <v/>
      </c>
      <c r="BA451" s="4">
        <f>IF(OR($B451="",M451=""),"",IF($B451=0,--(M451=0),""))</f>
        <v/>
      </c>
      <c r="BB451" s="4">
        <f>IF(M451="","",--(M451=1))</f>
        <v/>
      </c>
      <c r="BC451" s="4">
        <f>IF(OR($B451="",N451=""),"",--(N451=$B451))</f>
        <v/>
      </c>
      <c r="BD451" s="4">
        <f>IF(OR($B451="",N451=""),"",IF($B451=1,--(N451=1),""))</f>
        <v/>
      </c>
      <c r="BE451" s="4">
        <f>IF(OR($B451="",N451=""),"",IF($B451=0,--(N451=0),""))</f>
        <v/>
      </c>
      <c r="BF451" s="4">
        <f>IF(N451="","",--(N451=1))</f>
        <v/>
      </c>
    </row>
    <row r="452">
      <c r="A452" s="3" t="inlineStr">
        <is>
          <t>202274760</t>
        </is>
      </c>
      <c r="B452" s="3" t="inlineStr">
        <is>
          <t>0</t>
        </is>
      </c>
      <c r="C452" s="3" t="inlineStr">
        <is>
          <t>RQ</t>
        </is>
      </c>
      <c r="D452" s="3" t="inlineStr">
        <is>
          <t>0</t>
        </is>
      </c>
      <c r="E452" s="3" t="inlineStr">
        <is>
          <t>0</t>
        </is>
      </c>
      <c r="F452" s="3" t="inlineStr">
        <is>
          <t>0</t>
        </is>
      </c>
      <c r="G452" s="3" t="inlineStr">
        <is>
          <t>0</t>
        </is>
      </c>
      <c r="H452" s="3" t="inlineStr">
        <is>
          <t>0</t>
        </is>
      </c>
      <c r="I452" s="3" t="inlineStr">
        <is>
          <t>1</t>
        </is>
      </c>
      <c r="J452" s="3" t="inlineStr">
        <is>
          <t>1</t>
        </is>
      </c>
      <c r="K452" s="3" t="inlineStr">
        <is>
          <t>1</t>
        </is>
      </c>
      <c r="L452" s="3" t="inlineStr">
        <is>
          <t>1</t>
        </is>
      </c>
      <c r="M452" s="3" t="inlineStr">
        <is>
          <t>0</t>
        </is>
      </c>
      <c r="N452" s="3" t="inlineStr">
        <is>
          <t>1</t>
        </is>
      </c>
      <c r="O452" s="4">
        <f>IF(OR($B452="",D452=""),"",--(D452=$B452))</f>
        <v/>
      </c>
      <c r="P452" s="4">
        <f>IF(OR($B452="",D452=""),"",IF($B452=1,--(D452=1),""))</f>
        <v/>
      </c>
      <c r="Q452" s="4">
        <f>IF(OR($B452="",D452=""),"",IF($B452=0,--(D452=0),""))</f>
        <v/>
      </c>
      <c r="R452" s="4">
        <f>IF(D452="","",--(D452=1))</f>
        <v/>
      </c>
      <c r="S452" s="4">
        <f>IF(OR($B452="",E452=""),"",--(E452=$B452))</f>
        <v/>
      </c>
      <c r="T452" s="4">
        <f>IF(OR($B452="",E452=""),"",IF($B452=1,--(E452=1),""))</f>
        <v/>
      </c>
      <c r="U452" s="4">
        <f>IF(OR($B452="",E452=""),"",IF($B452=0,--(E452=0),""))</f>
        <v/>
      </c>
      <c r="V452" s="4">
        <f>IF(E452="","",--(E452=1))</f>
        <v/>
      </c>
      <c r="W452" s="4">
        <f>IF(OR($B452="",F452=""),"",--(F452=$B452))</f>
        <v/>
      </c>
      <c r="X452" s="4">
        <f>IF(OR($B452="",F452=""),"",IF($B452=1,--(F452=1),""))</f>
        <v/>
      </c>
      <c r="Y452" s="4">
        <f>IF(OR($B452="",F452=""),"",IF($B452=0,--(F452=0),""))</f>
        <v/>
      </c>
      <c r="Z452" s="4">
        <f>IF(F452="","",--(F452=1))</f>
        <v/>
      </c>
      <c r="AA452" s="4">
        <f>IF(OR($B452="",G452=""),"",--(G452=$B452))</f>
        <v/>
      </c>
      <c r="AB452" s="4">
        <f>IF(OR($B452="",G452=""),"",IF($B452=1,--(G452=1),""))</f>
        <v/>
      </c>
      <c r="AC452" s="4">
        <f>IF(OR($B452="",G452=""),"",IF($B452=0,--(G452=0),""))</f>
        <v/>
      </c>
      <c r="AD452" s="4">
        <f>IF(G452="","",--(G452=1))</f>
        <v/>
      </c>
      <c r="AE452" s="4">
        <f>IF(OR($B452="",H452=""),"",--(H452=$B452))</f>
        <v/>
      </c>
      <c r="AF452" s="4">
        <f>IF(OR($B452="",H452=""),"",IF($B452=1,--(H452=1),""))</f>
        <v/>
      </c>
      <c r="AG452" s="4">
        <f>IF(OR($B452="",H452=""),"",IF($B452=0,--(H452=0),""))</f>
        <v/>
      </c>
      <c r="AH452" s="4">
        <f>IF(H452="","",--(H452=1))</f>
        <v/>
      </c>
      <c r="AI452" s="4">
        <f>IF(OR($B452="",I452=""),"",--(I452=$B452))</f>
        <v/>
      </c>
      <c r="AJ452" s="4">
        <f>IF(OR($B452="",I452=""),"",IF($B452=1,--(I452=1),""))</f>
        <v/>
      </c>
      <c r="AK452" s="4">
        <f>IF(OR($B452="",I452=""),"",IF($B452=0,--(I452=0),""))</f>
        <v/>
      </c>
      <c r="AL452" s="4">
        <f>IF(I452="","",--(I452=1))</f>
        <v/>
      </c>
      <c r="AM452" s="4">
        <f>IF(OR($B452="",J452=""),"",--(J452=$B452))</f>
        <v/>
      </c>
      <c r="AN452" s="4">
        <f>IF(OR($B452="",J452=""),"",IF($B452=1,--(J452=1),""))</f>
        <v/>
      </c>
      <c r="AO452" s="4">
        <f>IF(OR($B452="",J452=""),"",IF($B452=0,--(J452=0),""))</f>
        <v/>
      </c>
      <c r="AP452" s="4">
        <f>IF(J452="","",--(J452=1))</f>
        <v/>
      </c>
      <c r="AQ452" s="4">
        <f>IF(OR($B452="",K452=""),"",--(K452=$B452))</f>
        <v/>
      </c>
      <c r="AR452" s="4">
        <f>IF(OR($B452="",K452=""),"",IF($B452=1,--(K452=1),""))</f>
        <v/>
      </c>
      <c r="AS452" s="4">
        <f>IF(OR($B452="",K452=""),"",IF($B452=0,--(K452=0),""))</f>
        <v/>
      </c>
      <c r="AT452" s="4">
        <f>IF(K452="","",--(K452=1))</f>
        <v/>
      </c>
      <c r="AU452" s="4">
        <f>IF(OR($B452="",L452=""),"",--(L452=$B452))</f>
        <v/>
      </c>
      <c r="AV452" s="4">
        <f>IF(OR($B452="",L452=""),"",IF($B452=1,--(L452=1),""))</f>
        <v/>
      </c>
      <c r="AW452" s="4">
        <f>IF(OR($B452="",L452=""),"",IF($B452=0,--(L452=0),""))</f>
        <v/>
      </c>
      <c r="AX452" s="4">
        <f>IF(L452="","",--(L452=1))</f>
        <v/>
      </c>
      <c r="AY452" s="4">
        <f>IF(OR($B452="",M452=""),"",--(M452=$B452))</f>
        <v/>
      </c>
      <c r="AZ452" s="4">
        <f>IF(OR($B452="",M452=""),"",IF($B452=1,--(M452=1),""))</f>
        <v/>
      </c>
      <c r="BA452" s="4">
        <f>IF(OR($B452="",M452=""),"",IF($B452=0,--(M452=0),""))</f>
        <v/>
      </c>
      <c r="BB452" s="4">
        <f>IF(M452="","",--(M452=1))</f>
        <v/>
      </c>
      <c r="BC452" s="4">
        <f>IF(OR($B452="",N452=""),"",--(N452=$B452))</f>
        <v/>
      </c>
      <c r="BD452" s="4">
        <f>IF(OR($B452="",N452=""),"",IF($B452=1,--(N452=1),""))</f>
        <v/>
      </c>
      <c r="BE452" s="4">
        <f>IF(OR($B452="",N452=""),"",IF($B452=0,--(N452=0),""))</f>
        <v/>
      </c>
      <c r="BF452" s="4">
        <f>IF(N452="","",--(N452=1))</f>
        <v/>
      </c>
    </row>
    <row r="453">
      <c r="A453" s="3" t="inlineStr">
        <is>
          <t>202275342</t>
        </is>
      </c>
      <c r="B453" s="3" t="inlineStr">
        <is>
          <t>0</t>
        </is>
      </c>
      <c r="C453" s="3" t="inlineStr">
        <is>
          <t>Direct</t>
        </is>
      </c>
      <c r="D453" s="3" t="inlineStr">
        <is>
          <t>1</t>
        </is>
      </c>
      <c r="E453" s="3" t="inlineStr">
        <is>
          <t>1</t>
        </is>
      </c>
      <c r="F453" s="3" t="inlineStr">
        <is>
          <t>1</t>
        </is>
      </c>
      <c r="G453" s="3" t="inlineStr">
        <is>
          <t>1</t>
        </is>
      </c>
      <c r="H453" s="3" t="inlineStr">
        <is>
          <t>0</t>
        </is>
      </c>
      <c r="I453" s="3" t="inlineStr">
        <is>
          <t>1</t>
        </is>
      </c>
      <c r="J453" s="3" t="inlineStr">
        <is>
          <t>1</t>
        </is>
      </c>
      <c r="K453" s="3" t="inlineStr">
        <is>
          <t>1</t>
        </is>
      </c>
      <c r="L453" s="3" t="inlineStr">
        <is>
          <t>0</t>
        </is>
      </c>
      <c r="M453" s="3" t="inlineStr">
        <is>
          <t>0</t>
        </is>
      </c>
      <c r="N453" s="3" t="inlineStr">
        <is>
          <t>1</t>
        </is>
      </c>
      <c r="O453" s="4">
        <f>IF(OR($B453="",D453=""),"",--(D453=$B453))</f>
        <v/>
      </c>
      <c r="P453" s="4">
        <f>IF(OR($B453="",D453=""),"",IF($B453=1,--(D453=1),""))</f>
        <v/>
      </c>
      <c r="Q453" s="4">
        <f>IF(OR($B453="",D453=""),"",IF($B453=0,--(D453=0),""))</f>
        <v/>
      </c>
      <c r="R453" s="4">
        <f>IF(D453="","",--(D453=1))</f>
        <v/>
      </c>
      <c r="S453" s="4">
        <f>IF(OR($B453="",E453=""),"",--(E453=$B453))</f>
        <v/>
      </c>
      <c r="T453" s="4">
        <f>IF(OR($B453="",E453=""),"",IF($B453=1,--(E453=1),""))</f>
        <v/>
      </c>
      <c r="U453" s="4">
        <f>IF(OR($B453="",E453=""),"",IF($B453=0,--(E453=0),""))</f>
        <v/>
      </c>
      <c r="V453" s="4">
        <f>IF(E453="","",--(E453=1))</f>
        <v/>
      </c>
      <c r="W453" s="4">
        <f>IF(OR($B453="",F453=""),"",--(F453=$B453))</f>
        <v/>
      </c>
      <c r="X453" s="4">
        <f>IF(OR($B453="",F453=""),"",IF($B453=1,--(F453=1),""))</f>
        <v/>
      </c>
      <c r="Y453" s="4">
        <f>IF(OR($B453="",F453=""),"",IF($B453=0,--(F453=0),""))</f>
        <v/>
      </c>
      <c r="Z453" s="4">
        <f>IF(F453="","",--(F453=1))</f>
        <v/>
      </c>
      <c r="AA453" s="4">
        <f>IF(OR($B453="",G453=""),"",--(G453=$B453))</f>
        <v/>
      </c>
      <c r="AB453" s="4">
        <f>IF(OR($B453="",G453=""),"",IF($B453=1,--(G453=1),""))</f>
        <v/>
      </c>
      <c r="AC453" s="4">
        <f>IF(OR($B453="",G453=""),"",IF($B453=0,--(G453=0),""))</f>
        <v/>
      </c>
      <c r="AD453" s="4">
        <f>IF(G453="","",--(G453=1))</f>
        <v/>
      </c>
      <c r="AE453" s="4">
        <f>IF(OR($B453="",H453=""),"",--(H453=$B453))</f>
        <v/>
      </c>
      <c r="AF453" s="4">
        <f>IF(OR($B453="",H453=""),"",IF($B453=1,--(H453=1),""))</f>
        <v/>
      </c>
      <c r="AG453" s="4">
        <f>IF(OR($B453="",H453=""),"",IF($B453=0,--(H453=0),""))</f>
        <v/>
      </c>
      <c r="AH453" s="4">
        <f>IF(H453="","",--(H453=1))</f>
        <v/>
      </c>
      <c r="AI453" s="4">
        <f>IF(OR($B453="",I453=""),"",--(I453=$B453))</f>
        <v/>
      </c>
      <c r="AJ453" s="4">
        <f>IF(OR($B453="",I453=""),"",IF($B453=1,--(I453=1),""))</f>
        <v/>
      </c>
      <c r="AK453" s="4">
        <f>IF(OR($B453="",I453=""),"",IF($B453=0,--(I453=0),""))</f>
        <v/>
      </c>
      <c r="AL453" s="4">
        <f>IF(I453="","",--(I453=1))</f>
        <v/>
      </c>
      <c r="AM453" s="4">
        <f>IF(OR($B453="",J453=""),"",--(J453=$B453))</f>
        <v/>
      </c>
      <c r="AN453" s="4">
        <f>IF(OR($B453="",J453=""),"",IF($B453=1,--(J453=1),""))</f>
        <v/>
      </c>
      <c r="AO453" s="4">
        <f>IF(OR($B453="",J453=""),"",IF($B453=0,--(J453=0),""))</f>
        <v/>
      </c>
      <c r="AP453" s="4">
        <f>IF(J453="","",--(J453=1))</f>
        <v/>
      </c>
      <c r="AQ453" s="4">
        <f>IF(OR($B453="",K453=""),"",--(K453=$B453))</f>
        <v/>
      </c>
      <c r="AR453" s="4">
        <f>IF(OR($B453="",K453=""),"",IF($B453=1,--(K453=1),""))</f>
        <v/>
      </c>
      <c r="AS453" s="4">
        <f>IF(OR($B453="",K453=""),"",IF($B453=0,--(K453=0),""))</f>
        <v/>
      </c>
      <c r="AT453" s="4">
        <f>IF(K453="","",--(K453=1))</f>
        <v/>
      </c>
      <c r="AU453" s="4">
        <f>IF(OR($B453="",L453=""),"",--(L453=$B453))</f>
        <v/>
      </c>
      <c r="AV453" s="4">
        <f>IF(OR($B453="",L453=""),"",IF($B453=1,--(L453=1),""))</f>
        <v/>
      </c>
      <c r="AW453" s="4">
        <f>IF(OR($B453="",L453=""),"",IF($B453=0,--(L453=0),""))</f>
        <v/>
      </c>
      <c r="AX453" s="4">
        <f>IF(L453="","",--(L453=1))</f>
        <v/>
      </c>
      <c r="AY453" s="4">
        <f>IF(OR($B453="",M453=""),"",--(M453=$B453))</f>
        <v/>
      </c>
      <c r="AZ453" s="4">
        <f>IF(OR($B453="",M453=""),"",IF($B453=1,--(M453=1),""))</f>
        <v/>
      </c>
      <c r="BA453" s="4">
        <f>IF(OR($B453="",M453=""),"",IF($B453=0,--(M453=0),""))</f>
        <v/>
      </c>
      <c r="BB453" s="4">
        <f>IF(M453="","",--(M453=1))</f>
        <v/>
      </c>
      <c r="BC453" s="4">
        <f>IF(OR($B453="",N453=""),"",--(N453=$B453))</f>
        <v/>
      </c>
      <c r="BD453" s="4">
        <f>IF(OR($B453="",N453=""),"",IF($B453=1,--(N453=1),""))</f>
        <v/>
      </c>
      <c r="BE453" s="4">
        <f>IF(OR($B453="",N453=""),"",IF($B453=0,--(N453=0),""))</f>
        <v/>
      </c>
      <c r="BF453" s="4">
        <f>IF(N453="","",--(N453=1))</f>
        <v/>
      </c>
    </row>
    <row r="454">
      <c r="A454" s="3" t="inlineStr">
        <is>
          <t>20227771</t>
        </is>
      </c>
      <c r="B454" s="3" t="inlineStr">
        <is>
          <t>0</t>
        </is>
      </c>
      <c r="C454" s="3" t="inlineStr">
        <is>
          <t>Direct</t>
        </is>
      </c>
      <c r="D454" s="3" t="inlineStr">
        <is>
          <t>1</t>
        </is>
      </c>
      <c r="E454" s="3" t="inlineStr">
        <is>
          <t>1</t>
        </is>
      </c>
      <c r="F454" s="3" t="inlineStr">
        <is>
          <t>0</t>
        </is>
      </c>
      <c r="G454" s="3" t="inlineStr">
        <is>
          <t>0</t>
        </is>
      </c>
      <c r="H454" s="3" t="inlineStr">
        <is>
          <t>1</t>
        </is>
      </c>
      <c r="I454" s="3" t="inlineStr">
        <is>
          <t>0</t>
        </is>
      </c>
      <c r="J454" s="3" t="inlineStr">
        <is>
          <t>0</t>
        </is>
      </c>
      <c r="K454" s="3" t="inlineStr">
        <is>
          <t>0</t>
        </is>
      </c>
      <c r="L454" s="3" t="inlineStr">
        <is>
          <t>1</t>
        </is>
      </c>
      <c r="M454" s="3" t="inlineStr">
        <is>
          <t>1</t>
        </is>
      </c>
      <c r="N454" s="3" t="inlineStr">
        <is>
          <t>1</t>
        </is>
      </c>
      <c r="O454" s="4">
        <f>IF(OR($B454="",D454=""),"",--(D454=$B454))</f>
        <v/>
      </c>
      <c r="P454" s="4">
        <f>IF(OR($B454="",D454=""),"",IF($B454=1,--(D454=1),""))</f>
        <v/>
      </c>
      <c r="Q454" s="4">
        <f>IF(OR($B454="",D454=""),"",IF($B454=0,--(D454=0),""))</f>
        <v/>
      </c>
      <c r="R454" s="4">
        <f>IF(D454="","",--(D454=1))</f>
        <v/>
      </c>
      <c r="S454" s="4">
        <f>IF(OR($B454="",E454=""),"",--(E454=$B454))</f>
        <v/>
      </c>
      <c r="T454" s="4">
        <f>IF(OR($B454="",E454=""),"",IF($B454=1,--(E454=1),""))</f>
        <v/>
      </c>
      <c r="U454" s="4">
        <f>IF(OR($B454="",E454=""),"",IF($B454=0,--(E454=0),""))</f>
        <v/>
      </c>
      <c r="V454" s="4">
        <f>IF(E454="","",--(E454=1))</f>
        <v/>
      </c>
      <c r="W454" s="4">
        <f>IF(OR($B454="",F454=""),"",--(F454=$B454))</f>
        <v/>
      </c>
      <c r="X454" s="4">
        <f>IF(OR($B454="",F454=""),"",IF($B454=1,--(F454=1),""))</f>
        <v/>
      </c>
      <c r="Y454" s="4">
        <f>IF(OR($B454="",F454=""),"",IF($B454=0,--(F454=0),""))</f>
        <v/>
      </c>
      <c r="Z454" s="4">
        <f>IF(F454="","",--(F454=1))</f>
        <v/>
      </c>
      <c r="AA454" s="4">
        <f>IF(OR($B454="",G454=""),"",--(G454=$B454))</f>
        <v/>
      </c>
      <c r="AB454" s="4">
        <f>IF(OR($B454="",G454=""),"",IF($B454=1,--(G454=1),""))</f>
        <v/>
      </c>
      <c r="AC454" s="4">
        <f>IF(OR($B454="",G454=""),"",IF($B454=0,--(G454=0),""))</f>
        <v/>
      </c>
      <c r="AD454" s="4">
        <f>IF(G454="","",--(G454=1))</f>
        <v/>
      </c>
      <c r="AE454" s="4">
        <f>IF(OR($B454="",H454=""),"",--(H454=$B454))</f>
        <v/>
      </c>
      <c r="AF454" s="4">
        <f>IF(OR($B454="",H454=""),"",IF($B454=1,--(H454=1),""))</f>
        <v/>
      </c>
      <c r="AG454" s="4">
        <f>IF(OR($B454="",H454=""),"",IF($B454=0,--(H454=0),""))</f>
        <v/>
      </c>
      <c r="AH454" s="4">
        <f>IF(H454="","",--(H454=1))</f>
        <v/>
      </c>
      <c r="AI454" s="4">
        <f>IF(OR($B454="",I454=""),"",--(I454=$B454))</f>
        <v/>
      </c>
      <c r="AJ454" s="4">
        <f>IF(OR($B454="",I454=""),"",IF($B454=1,--(I454=1),""))</f>
        <v/>
      </c>
      <c r="AK454" s="4">
        <f>IF(OR($B454="",I454=""),"",IF($B454=0,--(I454=0),""))</f>
        <v/>
      </c>
      <c r="AL454" s="4">
        <f>IF(I454="","",--(I454=1))</f>
        <v/>
      </c>
      <c r="AM454" s="4">
        <f>IF(OR($B454="",J454=""),"",--(J454=$B454))</f>
        <v/>
      </c>
      <c r="AN454" s="4">
        <f>IF(OR($B454="",J454=""),"",IF($B454=1,--(J454=1),""))</f>
        <v/>
      </c>
      <c r="AO454" s="4">
        <f>IF(OR($B454="",J454=""),"",IF($B454=0,--(J454=0),""))</f>
        <v/>
      </c>
      <c r="AP454" s="4">
        <f>IF(J454="","",--(J454=1))</f>
        <v/>
      </c>
      <c r="AQ454" s="4">
        <f>IF(OR($B454="",K454=""),"",--(K454=$B454))</f>
        <v/>
      </c>
      <c r="AR454" s="4">
        <f>IF(OR($B454="",K454=""),"",IF($B454=1,--(K454=1),""))</f>
        <v/>
      </c>
      <c r="AS454" s="4">
        <f>IF(OR($B454="",K454=""),"",IF($B454=0,--(K454=0),""))</f>
        <v/>
      </c>
      <c r="AT454" s="4">
        <f>IF(K454="","",--(K454=1))</f>
        <v/>
      </c>
      <c r="AU454" s="4">
        <f>IF(OR($B454="",L454=""),"",--(L454=$B454))</f>
        <v/>
      </c>
      <c r="AV454" s="4">
        <f>IF(OR($B454="",L454=""),"",IF($B454=1,--(L454=1),""))</f>
        <v/>
      </c>
      <c r="AW454" s="4">
        <f>IF(OR($B454="",L454=""),"",IF($B454=0,--(L454=0),""))</f>
        <v/>
      </c>
      <c r="AX454" s="4">
        <f>IF(L454="","",--(L454=1))</f>
        <v/>
      </c>
      <c r="AY454" s="4">
        <f>IF(OR($B454="",M454=""),"",--(M454=$B454))</f>
        <v/>
      </c>
      <c r="AZ454" s="4">
        <f>IF(OR($B454="",M454=""),"",IF($B454=1,--(M454=1),""))</f>
        <v/>
      </c>
      <c r="BA454" s="4">
        <f>IF(OR($B454="",M454=""),"",IF($B454=0,--(M454=0),""))</f>
        <v/>
      </c>
      <c r="BB454" s="4">
        <f>IF(M454="","",--(M454=1))</f>
        <v/>
      </c>
      <c r="BC454" s="4">
        <f>IF(OR($B454="",N454=""),"",--(N454=$B454))</f>
        <v/>
      </c>
      <c r="BD454" s="4">
        <f>IF(OR($B454="",N454=""),"",IF($B454=1,--(N454=1),""))</f>
        <v/>
      </c>
      <c r="BE454" s="4">
        <f>IF(OR($B454="",N454=""),"",IF($B454=0,--(N454=0),""))</f>
        <v/>
      </c>
      <c r="BF454" s="4">
        <f>IF(N454="","",--(N454=1))</f>
        <v/>
      </c>
    </row>
    <row r="455">
      <c r="A455" s="3" t="inlineStr">
        <is>
          <t>202277806</t>
        </is>
      </c>
      <c r="B455" s="3" t="inlineStr">
        <is>
          <t>1</t>
        </is>
      </c>
      <c r="C455" s="3" t="inlineStr">
        <is>
          <t>Direct</t>
        </is>
      </c>
      <c r="D455" s="3" t="inlineStr">
        <is>
          <t>1</t>
        </is>
      </c>
      <c r="E455" s="3" t="inlineStr">
        <is>
          <t>1</t>
        </is>
      </c>
      <c r="F455" s="3" t="inlineStr">
        <is>
          <t>0</t>
        </is>
      </c>
      <c r="G455" s="3" t="inlineStr">
        <is>
          <t>0</t>
        </is>
      </c>
      <c r="H455" s="3" t="inlineStr">
        <is>
          <t>0</t>
        </is>
      </c>
      <c r="I455" s="3" t="inlineStr">
        <is>
          <t>0</t>
        </is>
      </c>
      <c r="J455" s="3" t="inlineStr">
        <is>
          <t>0</t>
        </is>
      </c>
      <c r="K455" s="3" t="inlineStr">
        <is>
          <t>1</t>
        </is>
      </c>
      <c r="L455" s="3" t="inlineStr">
        <is>
          <t>1</t>
        </is>
      </c>
      <c r="M455" s="3" t="inlineStr">
        <is>
          <t>1</t>
        </is>
      </c>
      <c r="N455" s="3" t="inlineStr">
        <is>
          <t>0</t>
        </is>
      </c>
      <c r="O455" s="4">
        <f>IF(OR($B455="",D455=""),"",--(D455=$B455))</f>
        <v/>
      </c>
      <c r="P455" s="4">
        <f>IF(OR($B455="",D455=""),"",IF($B455=1,--(D455=1),""))</f>
        <v/>
      </c>
      <c r="Q455" s="4">
        <f>IF(OR($B455="",D455=""),"",IF($B455=0,--(D455=0),""))</f>
        <v/>
      </c>
      <c r="R455" s="4">
        <f>IF(D455="","",--(D455=1))</f>
        <v/>
      </c>
      <c r="S455" s="4">
        <f>IF(OR($B455="",E455=""),"",--(E455=$B455))</f>
        <v/>
      </c>
      <c r="T455" s="4">
        <f>IF(OR($B455="",E455=""),"",IF($B455=1,--(E455=1),""))</f>
        <v/>
      </c>
      <c r="U455" s="4">
        <f>IF(OR($B455="",E455=""),"",IF($B455=0,--(E455=0),""))</f>
        <v/>
      </c>
      <c r="V455" s="4">
        <f>IF(E455="","",--(E455=1))</f>
        <v/>
      </c>
      <c r="W455" s="4">
        <f>IF(OR($B455="",F455=""),"",--(F455=$B455))</f>
        <v/>
      </c>
      <c r="X455" s="4">
        <f>IF(OR($B455="",F455=""),"",IF($B455=1,--(F455=1),""))</f>
        <v/>
      </c>
      <c r="Y455" s="4">
        <f>IF(OR($B455="",F455=""),"",IF($B455=0,--(F455=0),""))</f>
        <v/>
      </c>
      <c r="Z455" s="4">
        <f>IF(F455="","",--(F455=1))</f>
        <v/>
      </c>
      <c r="AA455" s="4">
        <f>IF(OR($B455="",G455=""),"",--(G455=$B455))</f>
        <v/>
      </c>
      <c r="AB455" s="4">
        <f>IF(OR($B455="",G455=""),"",IF($B455=1,--(G455=1),""))</f>
        <v/>
      </c>
      <c r="AC455" s="4">
        <f>IF(OR($B455="",G455=""),"",IF($B455=0,--(G455=0),""))</f>
        <v/>
      </c>
      <c r="AD455" s="4">
        <f>IF(G455="","",--(G455=1))</f>
        <v/>
      </c>
      <c r="AE455" s="4">
        <f>IF(OR($B455="",H455=""),"",--(H455=$B455))</f>
        <v/>
      </c>
      <c r="AF455" s="4">
        <f>IF(OR($B455="",H455=""),"",IF($B455=1,--(H455=1),""))</f>
        <v/>
      </c>
      <c r="AG455" s="4">
        <f>IF(OR($B455="",H455=""),"",IF($B455=0,--(H455=0),""))</f>
        <v/>
      </c>
      <c r="AH455" s="4">
        <f>IF(H455="","",--(H455=1))</f>
        <v/>
      </c>
      <c r="AI455" s="4">
        <f>IF(OR($B455="",I455=""),"",--(I455=$B455))</f>
        <v/>
      </c>
      <c r="AJ455" s="4">
        <f>IF(OR($B455="",I455=""),"",IF($B455=1,--(I455=1),""))</f>
        <v/>
      </c>
      <c r="AK455" s="4">
        <f>IF(OR($B455="",I455=""),"",IF($B455=0,--(I455=0),""))</f>
        <v/>
      </c>
      <c r="AL455" s="4">
        <f>IF(I455="","",--(I455=1))</f>
        <v/>
      </c>
      <c r="AM455" s="4">
        <f>IF(OR($B455="",J455=""),"",--(J455=$B455))</f>
        <v/>
      </c>
      <c r="AN455" s="4">
        <f>IF(OR($B455="",J455=""),"",IF($B455=1,--(J455=1),""))</f>
        <v/>
      </c>
      <c r="AO455" s="4">
        <f>IF(OR($B455="",J455=""),"",IF($B455=0,--(J455=0),""))</f>
        <v/>
      </c>
      <c r="AP455" s="4">
        <f>IF(J455="","",--(J455=1))</f>
        <v/>
      </c>
      <c r="AQ455" s="4">
        <f>IF(OR($B455="",K455=""),"",--(K455=$B455))</f>
        <v/>
      </c>
      <c r="AR455" s="4">
        <f>IF(OR($B455="",K455=""),"",IF($B455=1,--(K455=1),""))</f>
        <v/>
      </c>
      <c r="AS455" s="4">
        <f>IF(OR($B455="",K455=""),"",IF($B455=0,--(K455=0),""))</f>
        <v/>
      </c>
      <c r="AT455" s="4">
        <f>IF(K455="","",--(K455=1))</f>
        <v/>
      </c>
      <c r="AU455" s="4">
        <f>IF(OR($B455="",L455=""),"",--(L455=$B455))</f>
        <v/>
      </c>
      <c r="AV455" s="4">
        <f>IF(OR($B455="",L455=""),"",IF($B455=1,--(L455=1),""))</f>
        <v/>
      </c>
      <c r="AW455" s="4">
        <f>IF(OR($B455="",L455=""),"",IF($B455=0,--(L455=0),""))</f>
        <v/>
      </c>
      <c r="AX455" s="4">
        <f>IF(L455="","",--(L455=1))</f>
        <v/>
      </c>
      <c r="AY455" s="4">
        <f>IF(OR($B455="",M455=""),"",--(M455=$B455))</f>
        <v/>
      </c>
      <c r="AZ455" s="4">
        <f>IF(OR($B455="",M455=""),"",IF($B455=1,--(M455=1),""))</f>
        <v/>
      </c>
      <c r="BA455" s="4">
        <f>IF(OR($B455="",M455=""),"",IF($B455=0,--(M455=0),""))</f>
        <v/>
      </c>
      <c r="BB455" s="4">
        <f>IF(M455="","",--(M455=1))</f>
        <v/>
      </c>
      <c r="BC455" s="4">
        <f>IF(OR($B455="",N455=""),"",--(N455=$B455))</f>
        <v/>
      </c>
      <c r="BD455" s="4">
        <f>IF(OR($B455="",N455=""),"",IF($B455=1,--(N455=1),""))</f>
        <v/>
      </c>
      <c r="BE455" s="4">
        <f>IF(OR($B455="",N455=""),"",IF($B455=0,--(N455=0),""))</f>
        <v/>
      </c>
      <c r="BF455" s="4">
        <f>IF(N455="","",--(N455=1))</f>
        <v/>
      </c>
    </row>
    <row r="456">
      <c r="A456" s="3" t="inlineStr">
        <is>
          <t>202277907</t>
        </is>
      </c>
      <c r="B456" s="3" t="inlineStr">
        <is>
          <t>1</t>
        </is>
      </c>
      <c r="C456" s="3" t="inlineStr">
        <is>
          <t>Direct</t>
        </is>
      </c>
      <c r="D456" s="3" t="inlineStr">
        <is>
          <t>1</t>
        </is>
      </c>
      <c r="E456" s="3" t="inlineStr">
        <is>
          <t>1</t>
        </is>
      </c>
      <c r="F456" s="3" t="inlineStr">
        <is>
          <t>0</t>
        </is>
      </c>
      <c r="G456" s="3" t="inlineStr">
        <is>
          <t>0</t>
        </is>
      </c>
      <c r="H456" s="3" t="inlineStr">
        <is>
          <t>0</t>
        </is>
      </c>
      <c r="I456" s="3" t="inlineStr">
        <is>
          <t>1</t>
        </is>
      </c>
      <c r="J456" s="3" t="inlineStr">
        <is>
          <t>1</t>
        </is>
      </c>
      <c r="K456" s="3" t="inlineStr">
        <is>
          <t>1</t>
        </is>
      </c>
      <c r="L456" s="3" t="inlineStr">
        <is>
          <t>1</t>
        </is>
      </c>
      <c r="M456" s="3" t="inlineStr">
        <is>
          <t>1</t>
        </is>
      </c>
      <c r="N456" s="3" t="inlineStr">
        <is>
          <t>1</t>
        </is>
      </c>
      <c r="O456" s="4">
        <f>IF(OR($B456="",D456=""),"",--(D456=$B456))</f>
        <v/>
      </c>
      <c r="P456" s="4">
        <f>IF(OR($B456="",D456=""),"",IF($B456=1,--(D456=1),""))</f>
        <v/>
      </c>
      <c r="Q456" s="4">
        <f>IF(OR($B456="",D456=""),"",IF($B456=0,--(D456=0),""))</f>
        <v/>
      </c>
      <c r="R456" s="4">
        <f>IF(D456="","",--(D456=1))</f>
        <v/>
      </c>
      <c r="S456" s="4">
        <f>IF(OR($B456="",E456=""),"",--(E456=$B456))</f>
        <v/>
      </c>
      <c r="T456" s="4">
        <f>IF(OR($B456="",E456=""),"",IF($B456=1,--(E456=1),""))</f>
        <v/>
      </c>
      <c r="U456" s="4">
        <f>IF(OR($B456="",E456=""),"",IF($B456=0,--(E456=0),""))</f>
        <v/>
      </c>
      <c r="V456" s="4">
        <f>IF(E456="","",--(E456=1))</f>
        <v/>
      </c>
      <c r="W456" s="4">
        <f>IF(OR($B456="",F456=""),"",--(F456=$B456))</f>
        <v/>
      </c>
      <c r="X456" s="4">
        <f>IF(OR($B456="",F456=""),"",IF($B456=1,--(F456=1),""))</f>
        <v/>
      </c>
      <c r="Y456" s="4">
        <f>IF(OR($B456="",F456=""),"",IF($B456=0,--(F456=0),""))</f>
        <v/>
      </c>
      <c r="Z456" s="4">
        <f>IF(F456="","",--(F456=1))</f>
        <v/>
      </c>
      <c r="AA456" s="4">
        <f>IF(OR($B456="",G456=""),"",--(G456=$B456))</f>
        <v/>
      </c>
      <c r="AB456" s="4">
        <f>IF(OR($B456="",G456=""),"",IF($B456=1,--(G456=1),""))</f>
        <v/>
      </c>
      <c r="AC456" s="4">
        <f>IF(OR($B456="",G456=""),"",IF($B456=0,--(G456=0),""))</f>
        <v/>
      </c>
      <c r="AD456" s="4">
        <f>IF(G456="","",--(G456=1))</f>
        <v/>
      </c>
      <c r="AE456" s="4">
        <f>IF(OR($B456="",H456=""),"",--(H456=$B456))</f>
        <v/>
      </c>
      <c r="AF456" s="4">
        <f>IF(OR($B456="",H456=""),"",IF($B456=1,--(H456=1),""))</f>
        <v/>
      </c>
      <c r="AG456" s="4">
        <f>IF(OR($B456="",H456=""),"",IF($B456=0,--(H456=0),""))</f>
        <v/>
      </c>
      <c r="AH456" s="4">
        <f>IF(H456="","",--(H456=1))</f>
        <v/>
      </c>
      <c r="AI456" s="4">
        <f>IF(OR($B456="",I456=""),"",--(I456=$B456))</f>
        <v/>
      </c>
      <c r="AJ456" s="4">
        <f>IF(OR($B456="",I456=""),"",IF($B456=1,--(I456=1),""))</f>
        <v/>
      </c>
      <c r="AK456" s="4">
        <f>IF(OR($B456="",I456=""),"",IF($B456=0,--(I456=0),""))</f>
        <v/>
      </c>
      <c r="AL456" s="4">
        <f>IF(I456="","",--(I456=1))</f>
        <v/>
      </c>
      <c r="AM456" s="4">
        <f>IF(OR($B456="",J456=""),"",--(J456=$B456))</f>
        <v/>
      </c>
      <c r="AN456" s="4">
        <f>IF(OR($B456="",J456=""),"",IF($B456=1,--(J456=1),""))</f>
        <v/>
      </c>
      <c r="AO456" s="4">
        <f>IF(OR($B456="",J456=""),"",IF($B456=0,--(J456=0),""))</f>
        <v/>
      </c>
      <c r="AP456" s="4">
        <f>IF(J456="","",--(J456=1))</f>
        <v/>
      </c>
      <c r="AQ456" s="4">
        <f>IF(OR($B456="",K456=""),"",--(K456=$B456))</f>
        <v/>
      </c>
      <c r="AR456" s="4">
        <f>IF(OR($B456="",K456=""),"",IF($B456=1,--(K456=1),""))</f>
        <v/>
      </c>
      <c r="AS456" s="4">
        <f>IF(OR($B456="",K456=""),"",IF($B456=0,--(K456=0),""))</f>
        <v/>
      </c>
      <c r="AT456" s="4">
        <f>IF(K456="","",--(K456=1))</f>
        <v/>
      </c>
      <c r="AU456" s="4">
        <f>IF(OR($B456="",L456=""),"",--(L456=$B456))</f>
        <v/>
      </c>
      <c r="AV456" s="4">
        <f>IF(OR($B456="",L456=""),"",IF($B456=1,--(L456=1),""))</f>
        <v/>
      </c>
      <c r="AW456" s="4">
        <f>IF(OR($B456="",L456=""),"",IF($B456=0,--(L456=0),""))</f>
        <v/>
      </c>
      <c r="AX456" s="4">
        <f>IF(L456="","",--(L456=1))</f>
        <v/>
      </c>
      <c r="AY456" s="4">
        <f>IF(OR($B456="",M456=""),"",--(M456=$B456))</f>
        <v/>
      </c>
      <c r="AZ456" s="4">
        <f>IF(OR($B456="",M456=""),"",IF($B456=1,--(M456=1),""))</f>
        <v/>
      </c>
      <c r="BA456" s="4">
        <f>IF(OR($B456="",M456=""),"",IF($B456=0,--(M456=0),""))</f>
        <v/>
      </c>
      <c r="BB456" s="4">
        <f>IF(M456="","",--(M456=1))</f>
        <v/>
      </c>
      <c r="BC456" s="4">
        <f>IF(OR($B456="",N456=""),"",--(N456=$B456))</f>
        <v/>
      </c>
      <c r="BD456" s="4">
        <f>IF(OR($B456="",N456=""),"",IF($B456=1,--(N456=1),""))</f>
        <v/>
      </c>
      <c r="BE456" s="4">
        <f>IF(OR($B456="",N456=""),"",IF($B456=0,--(N456=0),""))</f>
        <v/>
      </c>
      <c r="BF456" s="4">
        <f>IF(N456="","",--(N456=1))</f>
        <v/>
      </c>
    </row>
    <row r="457">
      <c r="A457" s="3" t="inlineStr">
        <is>
          <t>202278623</t>
        </is>
      </c>
      <c r="B457" s="3" t="inlineStr">
        <is>
          <t>0</t>
        </is>
      </c>
      <c r="C457" s="3" t="inlineStr">
        <is>
          <t>Direct</t>
        </is>
      </c>
      <c r="D457" s="3" t="inlineStr">
        <is>
          <t>1</t>
        </is>
      </c>
      <c r="E457" s="3" t="inlineStr">
        <is>
          <t>0</t>
        </is>
      </c>
      <c r="F457" s="3" t="inlineStr">
        <is>
          <t>0</t>
        </is>
      </c>
      <c r="G457" s="3" t="inlineStr">
        <is>
          <t>0</t>
        </is>
      </c>
      <c r="H457" s="3" t="inlineStr">
        <is>
          <t>1</t>
        </is>
      </c>
      <c r="I457" s="3" t="inlineStr">
        <is>
          <t>1</t>
        </is>
      </c>
      <c r="J457" s="3" t="inlineStr">
        <is>
          <t>1</t>
        </is>
      </c>
      <c r="K457" s="3" t="inlineStr">
        <is>
          <t>0</t>
        </is>
      </c>
      <c r="L457" s="3" t="inlineStr">
        <is>
          <t>1</t>
        </is>
      </c>
      <c r="M457" s="3" t="inlineStr">
        <is>
          <t>0</t>
        </is>
      </c>
      <c r="N457" s="3" t="inlineStr">
        <is>
          <t>1</t>
        </is>
      </c>
      <c r="O457" s="4">
        <f>IF(OR($B457="",D457=""),"",--(D457=$B457))</f>
        <v/>
      </c>
      <c r="P457" s="4">
        <f>IF(OR($B457="",D457=""),"",IF($B457=1,--(D457=1),""))</f>
        <v/>
      </c>
      <c r="Q457" s="4">
        <f>IF(OR($B457="",D457=""),"",IF($B457=0,--(D457=0),""))</f>
        <v/>
      </c>
      <c r="R457" s="4">
        <f>IF(D457="","",--(D457=1))</f>
        <v/>
      </c>
      <c r="S457" s="4">
        <f>IF(OR($B457="",E457=""),"",--(E457=$B457))</f>
        <v/>
      </c>
      <c r="T457" s="4">
        <f>IF(OR($B457="",E457=""),"",IF($B457=1,--(E457=1),""))</f>
        <v/>
      </c>
      <c r="U457" s="4">
        <f>IF(OR($B457="",E457=""),"",IF($B457=0,--(E457=0),""))</f>
        <v/>
      </c>
      <c r="V457" s="4">
        <f>IF(E457="","",--(E457=1))</f>
        <v/>
      </c>
      <c r="W457" s="4">
        <f>IF(OR($B457="",F457=""),"",--(F457=$B457))</f>
        <v/>
      </c>
      <c r="X457" s="4">
        <f>IF(OR($B457="",F457=""),"",IF($B457=1,--(F457=1),""))</f>
        <v/>
      </c>
      <c r="Y457" s="4">
        <f>IF(OR($B457="",F457=""),"",IF($B457=0,--(F457=0),""))</f>
        <v/>
      </c>
      <c r="Z457" s="4">
        <f>IF(F457="","",--(F457=1))</f>
        <v/>
      </c>
      <c r="AA457" s="4">
        <f>IF(OR($B457="",G457=""),"",--(G457=$B457))</f>
        <v/>
      </c>
      <c r="AB457" s="4">
        <f>IF(OR($B457="",G457=""),"",IF($B457=1,--(G457=1),""))</f>
        <v/>
      </c>
      <c r="AC457" s="4">
        <f>IF(OR($B457="",G457=""),"",IF($B457=0,--(G457=0),""))</f>
        <v/>
      </c>
      <c r="AD457" s="4">
        <f>IF(G457="","",--(G457=1))</f>
        <v/>
      </c>
      <c r="AE457" s="4">
        <f>IF(OR($B457="",H457=""),"",--(H457=$B457))</f>
        <v/>
      </c>
      <c r="AF457" s="4">
        <f>IF(OR($B457="",H457=""),"",IF($B457=1,--(H457=1),""))</f>
        <v/>
      </c>
      <c r="AG457" s="4">
        <f>IF(OR($B457="",H457=""),"",IF($B457=0,--(H457=0),""))</f>
        <v/>
      </c>
      <c r="AH457" s="4">
        <f>IF(H457="","",--(H457=1))</f>
        <v/>
      </c>
      <c r="AI457" s="4">
        <f>IF(OR($B457="",I457=""),"",--(I457=$B457))</f>
        <v/>
      </c>
      <c r="AJ457" s="4">
        <f>IF(OR($B457="",I457=""),"",IF($B457=1,--(I457=1),""))</f>
        <v/>
      </c>
      <c r="AK457" s="4">
        <f>IF(OR($B457="",I457=""),"",IF($B457=0,--(I457=0),""))</f>
        <v/>
      </c>
      <c r="AL457" s="4">
        <f>IF(I457="","",--(I457=1))</f>
        <v/>
      </c>
      <c r="AM457" s="4">
        <f>IF(OR($B457="",J457=""),"",--(J457=$B457))</f>
        <v/>
      </c>
      <c r="AN457" s="4">
        <f>IF(OR($B457="",J457=""),"",IF($B457=1,--(J457=1),""))</f>
        <v/>
      </c>
      <c r="AO457" s="4">
        <f>IF(OR($B457="",J457=""),"",IF($B457=0,--(J457=0),""))</f>
        <v/>
      </c>
      <c r="AP457" s="4">
        <f>IF(J457="","",--(J457=1))</f>
        <v/>
      </c>
      <c r="AQ457" s="4">
        <f>IF(OR($B457="",K457=""),"",--(K457=$B457))</f>
        <v/>
      </c>
      <c r="AR457" s="4">
        <f>IF(OR($B457="",K457=""),"",IF($B457=1,--(K457=1),""))</f>
        <v/>
      </c>
      <c r="AS457" s="4">
        <f>IF(OR($B457="",K457=""),"",IF($B457=0,--(K457=0),""))</f>
        <v/>
      </c>
      <c r="AT457" s="4">
        <f>IF(K457="","",--(K457=1))</f>
        <v/>
      </c>
      <c r="AU457" s="4">
        <f>IF(OR($B457="",L457=""),"",--(L457=$B457))</f>
        <v/>
      </c>
      <c r="AV457" s="4">
        <f>IF(OR($B457="",L457=""),"",IF($B457=1,--(L457=1),""))</f>
        <v/>
      </c>
      <c r="AW457" s="4">
        <f>IF(OR($B457="",L457=""),"",IF($B457=0,--(L457=0),""))</f>
        <v/>
      </c>
      <c r="AX457" s="4">
        <f>IF(L457="","",--(L457=1))</f>
        <v/>
      </c>
      <c r="AY457" s="4">
        <f>IF(OR($B457="",M457=""),"",--(M457=$B457))</f>
        <v/>
      </c>
      <c r="AZ457" s="4">
        <f>IF(OR($B457="",M457=""),"",IF($B457=1,--(M457=1),""))</f>
        <v/>
      </c>
      <c r="BA457" s="4">
        <f>IF(OR($B457="",M457=""),"",IF($B457=0,--(M457=0),""))</f>
        <v/>
      </c>
      <c r="BB457" s="4">
        <f>IF(M457="","",--(M457=1))</f>
        <v/>
      </c>
      <c r="BC457" s="4">
        <f>IF(OR($B457="",N457=""),"",--(N457=$B457))</f>
        <v/>
      </c>
      <c r="BD457" s="4">
        <f>IF(OR($B457="",N457=""),"",IF($B457=1,--(N457=1),""))</f>
        <v/>
      </c>
      <c r="BE457" s="4">
        <f>IF(OR($B457="",N457=""),"",IF($B457=0,--(N457=0),""))</f>
        <v/>
      </c>
      <c r="BF457" s="4">
        <f>IF(N457="","",--(N457=1))</f>
        <v/>
      </c>
    </row>
    <row r="458">
      <c r="A458" s="3" t="inlineStr">
        <is>
          <t>202282692</t>
        </is>
      </c>
      <c r="B458" s="3" t="inlineStr">
        <is>
          <t>0</t>
        </is>
      </c>
      <c r="C458" s="3" t="inlineStr">
        <is>
          <t>Direct</t>
        </is>
      </c>
      <c r="D458" s="3" t="inlineStr">
        <is>
          <t>0</t>
        </is>
      </c>
      <c r="E458" s="3" t="inlineStr">
        <is>
          <t>0</t>
        </is>
      </c>
      <c r="F458" s="3" t="inlineStr">
        <is>
          <t>0</t>
        </is>
      </c>
      <c r="G458" s="3" t="inlineStr">
        <is>
          <t>0</t>
        </is>
      </c>
      <c r="H458" s="3" t="inlineStr">
        <is>
          <t>0</t>
        </is>
      </c>
      <c r="I458" s="3" t="inlineStr">
        <is>
          <t>0</t>
        </is>
      </c>
      <c r="J458" s="3" t="inlineStr">
        <is>
          <t>0</t>
        </is>
      </c>
      <c r="K458" s="3" t="inlineStr">
        <is>
          <t>0</t>
        </is>
      </c>
      <c r="L458" s="3" t="inlineStr">
        <is>
          <t>1</t>
        </is>
      </c>
      <c r="M458" s="3" t="inlineStr">
        <is>
          <t>0</t>
        </is>
      </c>
      <c r="N458" s="3" t="inlineStr">
        <is>
          <t>1</t>
        </is>
      </c>
      <c r="O458" s="4">
        <f>IF(OR($B458="",D458=""),"",--(D458=$B458))</f>
        <v/>
      </c>
      <c r="P458" s="4">
        <f>IF(OR($B458="",D458=""),"",IF($B458=1,--(D458=1),""))</f>
        <v/>
      </c>
      <c r="Q458" s="4">
        <f>IF(OR($B458="",D458=""),"",IF($B458=0,--(D458=0),""))</f>
        <v/>
      </c>
      <c r="R458" s="4">
        <f>IF(D458="","",--(D458=1))</f>
        <v/>
      </c>
      <c r="S458" s="4">
        <f>IF(OR($B458="",E458=""),"",--(E458=$B458))</f>
        <v/>
      </c>
      <c r="T458" s="4">
        <f>IF(OR($B458="",E458=""),"",IF($B458=1,--(E458=1),""))</f>
        <v/>
      </c>
      <c r="U458" s="4">
        <f>IF(OR($B458="",E458=""),"",IF($B458=0,--(E458=0),""))</f>
        <v/>
      </c>
      <c r="V458" s="4">
        <f>IF(E458="","",--(E458=1))</f>
        <v/>
      </c>
      <c r="W458" s="4">
        <f>IF(OR($B458="",F458=""),"",--(F458=$B458))</f>
        <v/>
      </c>
      <c r="X458" s="4">
        <f>IF(OR($B458="",F458=""),"",IF($B458=1,--(F458=1),""))</f>
        <v/>
      </c>
      <c r="Y458" s="4">
        <f>IF(OR($B458="",F458=""),"",IF($B458=0,--(F458=0),""))</f>
        <v/>
      </c>
      <c r="Z458" s="4">
        <f>IF(F458="","",--(F458=1))</f>
        <v/>
      </c>
      <c r="AA458" s="4">
        <f>IF(OR($B458="",G458=""),"",--(G458=$B458))</f>
        <v/>
      </c>
      <c r="AB458" s="4">
        <f>IF(OR($B458="",G458=""),"",IF($B458=1,--(G458=1),""))</f>
        <v/>
      </c>
      <c r="AC458" s="4">
        <f>IF(OR($B458="",G458=""),"",IF($B458=0,--(G458=0),""))</f>
        <v/>
      </c>
      <c r="AD458" s="4">
        <f>IF(G458="","",--(G458=1))</f>
        <v/>
      </c>
      <c r="AE458" s="4">
        <f>IF(OR($B458="",H458=""),"",--(H458=$B458))</f>
        <v/>
      </c>
      <c r="AF458" s="4">
        <f>IF(OR($B458="",H458=""),"",IF($B458=1,--(H458=1),""))</f>
        <v/>
      </c>
      <c r="AG458" s="4">
        <f>IF(OR($B458="",H458=""),"",IF($B458=0,--(H458=0),""))</f>
        <v/>
      </c>
      <c r="AH458" s="4">
        <f>IF(H458="","",--(H458=1))</f>
        <v/>
      </c>
      <c r="AI458" s="4">
        <f>IF(OR($B458="",I458=""),"",--(I458=$B458))</f>
        <v/>
      </c>
      <c r="AJ458" s="4">
        <f>IF(OR($B458="",I458=""),"",IF($B458=1,--(I458=1),""))</f>
        <v/>
      </c>
      <c r="AK458" s="4">
        <f>IF(OR($B458="",I458=""),"",IF($B458=0,--(I458=0),""))</f>
        <v/>
      </c>
      <c r="AL458" s="4">
        <f>IF(I458="","",--(I458=1))</f>
        <v/>
      </c>
      <c r="AM458" s="4">
        <f>IF(OR($B458="",J458=""),"",--(J458=$B458))</f>
        <v/>
      </c>
      <c r="AN458" s="4">
        <f>IF(OR($B458="",J458=""),"",IF($B458=1,--(J458=1),""))</f>
        <v/>
      </c>
      <c r="AO458" s="4">
        <f>IF(OR($B458="",J458=""),"",IF($B458=0,--(J458=0),""))</f>
        <v/>
      </c>
      <c r="AP458" s="4">
        <f>IF(J458="","",--(J458=1))</f>
        <v/>
      </c>
      <c r="AQ458" s="4">
        <f>IF(OR($B458="",K458=""),"",--(K458=$B458))</f>
        <v/>
      </c>
      <c r="AR458" s="4">
        <f>IF(OR($B458="",K458=""),"",IF($B458=1,--(K458=1),""))</f>
        <v/>
      </c>
      <c r="AS458" s="4">
        <f>IF(OR($B458="",K458=""),"",IF($B458=0,--(K458=0),""))</f>
        <v/>
      </c>
      <c r="AT458" s="4">
        <f>IF(K458="","",--(K458=1))</f>
        <v/>
      </c>
      <c r="AU458" s="4">
        <f>IF(OR($B458="",L458=""),"",--(L458=$B458))</f>
        <v/>
      </c>
      <c r="AV458" s="4">
        <f>IF(OR($B458="",L458=""),"",IF($B458=1,--(L458=1),""))</f>
        <v/>
      </c>
      <c r="AW458" s="4">
        <f>IF(OR($B458="",L458=""),"",IF($B458=0,--(L458=0),""))</f>
        <v/>
      </c>
      <c r="AX458" s="4">
        <f>IF(L458="","",--(L458=1))</f>
        <v/>
      </c>
      <c r="AY458" s="4">
        <f>IF(OR($B458="",M458=""),"",--(M458=$B458))</f>
        <v/>
      </c>
      <c r="AZ458" s="4">
        <f>IF(OR($B458="",M458=""),"",IF($B458=1,--(M458=1),""))</f>
        <v/>
      </c>
      <c r="BA458" s="4">
        <f>IF(OR($B458="",M458=""),"",IF($B458=0,--(M458=0),""))</f>
        <v/>
      </c>
      <c r="BB458" s="4">
        <f>IF(M458="","",--(M458=1))</f>
        <v/>
      </c>
      <c r="BC458" s="4">
        <f>IF(OR($B458="",N458=""),"",--(N458=$B458))</f>
        <v/>
      </c>
      <c r="BD458" s="4">
        <f>IF(OR($B458="",N458=""),"",IF($B458=1,--(N458=1),""))</f>
        <v/>
      </c>
      <c r="BE458" s="4">
        <f>IF(OR($B458="",N458=""),"",IF($B458=0,--(N458=0),""))</f>
        <v/>
      </c>
      <c r="BF458" s="4">
        <f>IF(N458="","",--(N458=1))</f>
        <v/>
      </c>
    </row>
    <row r="459">
      <c r="A459" s="3" t="inlineStr">
        <is>
          <t>202282847</t>
        </is>
      </c>
      <c r="B459" s="3" t="inlineStr">
        <is>
          <t>1</t>
        </is>
      </c>
      <c r="C459" s="3" t="inlineStr">
        <is>
          <t>Direct</t>
        </is>
      </c>
      <c r="D459" s="3" t="inlineStr">
        <is>
          <t>1</t>
        </is>
      </c>
      <c r="E459" s="3" t="inlineStr">
        <is>
          <t>1</t>
        </is>
      </c>
      <c r="F459" s="3" t="inlineStr">
        <is>
          <t>0</t>
        </is>
      </c>
      <c r="G459" s="3" t="inlineStr">
        <is>
          <t>0</t>
        </is>
      </c>
      <c r="H459" s="3" t="inlineStr">
        <is>
          <t>0</t>
        </is>
      </c>
      <c r="I459" s="3" t="inlineStr">
        <is>
          <t>0</t>
        </is>
      </c>
      <c r="J459" s="3" t="inlineStr">
        <is>
          <t>0</t>
        </is>
      </c>
      <c r="K459" s="3" t="inlineStr">
        <is>
          <t>0</t>
        </is>
      </c>
      <c r="L459" s="3" t="inlineStr">
        <is>
          <t>1</t>
        </is>
      </c>
      <c r="M459" s="3" t="inlineStr">
        <is>
          <t>1</t>
        </is>
      </c>
      <c r="N459" s="3" t="inlineStr">
        <is>
          <t>1</t>
        </is>
      </c>
      <c r="O459" s="4">
        <f>IF(OR($B459="",D459=""),"",--(D459=$B459))</f>
        <v/>
      </c>
      <c r="P459" s="4">
        <f>IF(OR($B459="",D459=""),"",IF($B459=1,--(D459=1),""))</f>
        <v/>
      </c>
      <c r="Q459" s="4">
        <f>IF(OR($B459="",D459=""),"",IF($B459=0,--(D459=0),""))</f>
        <v/>
      </c>
      <c r="R459" s="4">
        <f>IF(D459="","",--(D459=1))</f>
        <v/>
      </c>
      <c r="S459" s="4">
        <f>IF(OR($B459="",E459=""),"",--(E459=$B459))</f>
        <v/>
      </c>
      <c r="T459" s="4">
        <f>IF(OR($B459="",E459=""),"",IF($B459=1,--(E459=1),""))</f>
        <v/>
      </c>
      <c r="U459" s="4">
        <f>IF(OR($B459="",E459=""),"",IF($B459=0,--(E459=0),""))</f>
        <v/>
      </c>
      <c r="V459" s="4">
        <f>IF(E459="","",--(E459=1))</f>
        <v/>
      </c>
      <c r="W459" s="4">
        <f>IF(OR($B459="",F459=""),"",--(F459=$B459))</f>
        <v/>
      </c>
      <c r="X459" s="4">
        <f>IF(OR($B459="",F459=""),"",IF($B459=1,--(F459=1),""))</f>
        <v/>
      </c>
      <c r="Y459" s="4">
        <f>IF(OR($B459="",F459=""),"",IF($B459=0,--(F459=0),""))</f>
        <v/>
      </c>
      <c r="Z459" s="4">
        <f>IF(F459="","",--(F459=1))</f>
        <v/>
      </c>
      <c r="AA459" s="4">
        <f>IF(OR($B459="",G459=""),"",--(G459=$B459))</f>
        <v/>
      </c>
      <c r="AB459" s="4">
        <f>IF(OR($B459="",G459=""),"",IF($B459=1,--(G459=1),""))</f>
        <v/>
      </c>
      <c r="AC459" s="4">
        <f>IF(OR($B459="",G459=""),"",IF($B459=0,--(G459=0),""))</f>
        <v/>
      </c>
      <c r="AD459" s="4">
        <f>IF(G459="","",--(G459=1))</f>
        <v/>
      </c>
      <c r="AE459" s="4">
        <f>IF(OR($B459="",H459=""),"",--(H459=$B459))</f>
        <v/>
      </c>
      <c r="AF459" s="4">
        <f>IF(OR($B459="",H459=""),"",IF($B459=1,--(H459=1),""))</f>
        <v/>
      </c>
      <c r="AG459" s="4">
        <f>IF(OR($B459="",H459=""),"",IF($B459=0,--(H459=0),""))</f>
        <v/>
      </c>
      <c r="AH459" s="4">
        <f>IF(H459="","",--(H459=1))</f>
        <v/>
      </c>
      <c r="AI459" s="4">
        <f>IF(OR($B459="",I459=""),"",--(I459=$B459))</f>
        <v/>
      </c>
      <c r="AJ459" s="4">
        <f>IF(OR($B459="",I459=""),"",IF($B459=1,--(I459=1),""))</f>
        <v/>
      </c>
      <c r="AK459" s="4">
        <f>IF(OR($B459="",I459=""),"",IF($B459=0,--(I459=0),""))</f>
        <v/>
      </c>
      <c r="AL459" s="4">
        <f>IF(I459="","",--(I459=1))</f>
        <v/>
      </c>
      <c r="AM459" s="4">
        <f>IF(OR($B459="",J459=""),"",--(J459=$B459))</f>
        <v/>
      </c>
      <c r="AN459" s="4">
        <f>IF(OR($B459="",J459=""),"",IF($B459=1,--(J459=1),""))</f>
        <v/>
      </c>
      <c r="AO459" s="4">
        <f>IF(OR($B459="",J459=""),"",IF($B459=0,--(J459=0),""))</f>
        <v/>
      </c>
      <c r="AP459" s="4">
        <f>IF(J459="","",--(J459=1))</f>
        <v/>
      </c>
      <c r="AQ459" s="4">
        <f>IF(OR($B459="",K459=""),"",--(K459=$B459))</f>
        <v/>
      </c>
      <c r="AR459" s="4">
        <f>IF(OR($B459="",K459=""),"",IF($B459=1,--(K459=1),""))</f>
        <v/>
      </c>
      <c r="AS459" s="4">
        <f>IF(OR($B459="",K459=""),"",IF($B459=0,--(K459=0),""))</f>
        <v/>
      </c>
      <c r="AT459" s="4">
        <f>IF(K459="","",--(K459=1))</f>
        <v/>
      </c>
      <c r="AU459" s="4">
        <f>IF(OR($B459="",L459=""),"",--(L459=$B459))</f>
        <v/>
      </c>
      <c r="AV459" s="4">
        <f>IF(OR($B459="",L459=""),"",IF($B459=1,--(L459=1),""))</f>
        <v/>
      </c>
      <c r="AW459" s="4">
        <f>IF(OR($B459="",L459=""),"",IF($B459=0,--(L459=0),""))</f>
        <v/>
      </c>
      <c r="AX459" s="4">
        <f>IF(L459="","",--(L459=1))</f>
        <v/>
      </c>
      <c r="AY459" s="4">
        <f>IF(OR($B459="",M459=""),"",--(M459=$B459))</f>
        <v/>
      </c>
      <c r="AZ459" s="4">
        <f>IF(OR($B459="",M459=""),"",IF($B459=1,--(M459=1),""))</f>
        <v/>
      </c>
      <c r="BA459" s="4">
        <f>IF(OR($B459="",M459=""),"",IF($B459=0,--(M459=0),""))</f>
        <v/>
      </c>
      <c r="BB459" s="4">
        <f>IF(M459="","",--(M459=1))</f>
        <v/>
      </c>
      <c r="BC459" s="4">
        <f>IF(OR($B459="",N459=""),"",--(N459=$B459))</f>
        <v/>
      </c>
      <c r="BD459" s="4">
        <f>IF(OR($B459="",N459=""),"",IF($B459=1,--(N459=1),""))</f>
        <v/>
      </c>
      <c r="BE459" s="4">
        <f>IF(OR($B459="",N459=""),"",IF($B459=0,--(N459=0),""))</f>
        <v/>
      </c>
      <c r="BF459" s="4">
        <f>IF(N459="","",--(N459=1))</f>
        <v/>
      </c>
    </row>
    <row r="460">
      <c r="A460" s="3" t="inlineStr">
        <is>
          <t>202283531</t>
        </is>
      </c>
      <c r="B460" s="3" t="inlineStr">
        <is>
          <t>1</t>
        </is>
      </c>
      <c r="C460" s="3" t="inlineStr">
        <is>
          <t>Direct</t>
        </is>
      </c>
      <c r="D460" s="3" t="inlineStr">
        <is>
          <t>0</t>
        </is>
      </c>
      <c r="E460" s="3" t="inlineStr">
        <is>
          <t>1</t>
        </is>
      </c>
      <c r="F460" s="3" t="inlineStr">
        <is>
          <t>0</t>
        </is>
      </c>
      <c r="G460" s="3" t="inlineStr">
        <is>
          <t>0</t>
        </is>
      </c>
      <c r="H460" s="3" t="inlineStr">
        <is>
          <t>1</t>
        </is>
      </c>
      <c r="I460" s="3" t="inlineStr">
        <is>
          <t>0</t>
        </is>
      </c>
      <c r="J460" s="3" t="inlineStr">
        <is>
          <t>0</t>
        </is>
      </c>
      <c r="K460" s="3" t="inlineStr">
        <is>
          <t>1</t>
        </is>
      </c>
      <c r="L460" s="3" t="inlineStr">
        <is>
          <t>1</t>
        </is>
      </c>
      <c r="M460" s="3" t="inlineStr">
        <is>
          <t>1</t>
        </is>
      </c>
      <c r="N460" s="3" t="inlineStr">
        <is>
          <t>1</t>
        </is>
      </c>
      <c r="O460" s="4">
        <f>IF(OR($B460="",D460=""),"",--(D460=$B460))</f>
        <v/>
      </c>
      <c r="P460" s="4">
        <f>IF(OR($B460="",D460=""),"",IF($B460=1,--(D460=1),""))</f>
        <v/>
      </c>
      <c r="Q460" s="4">
        <f>IF(OR($B460="",D460=""),"",IF($B460=0,--(D460=0),""))</f>
        <v/>
      </c>
      <c r="R460" s="4">
        <f>IF(D460="","",--(D460=1))</f>
        <v/>
      </c>
      <c r="S460" s="4">
        <f>IF(OR($B460="",E460=""),"",--(E460=$B460))</f>
        <v/>
      </c>
      <c r="T460" s="4">
        <f>IF(OR($B460="",E460=""),"",IF($B460=1,--(E460=1),""))</f>
        <v/>
      </c>
      <c r="U460" s="4">
        <f>IF(OR($B460="",E460=""),"",IF($B460=0,--(E460=0),""))</f>
        <v/>
      </c>
      <c r="V460" s="4">
        <f>IF(E460="","",--(E460=1))</f>
        <v/>
      </c>
      <c r="W460" s="4">
        <f>IF(OR($B460="",F460=""),"",--(F460=$B460))</f>
        <v/>
      </c>
      <c r="X460" s="4">
        <f>IF(OR($B460="",F460=""),"",IF($B460=1,--(F460=1),""))</f>
        <v/>
      </c>
      <c r="Y460" s="4">
        <f>IF(OR($B460="",F460=""),"",IF($B460=0,--(F460=0),""))</f>
        <v/>
      </c>
      <c r="Z460" s="4">
        <f>IF(F460="","",--(F460=1))</f>
        <v/>
      </c>
      <c r="AA460" s="4">
        <f>IF(OR($B460="",G460=""),"",--(G460=$B460))</f>
        <v/>
      </c>
      <c r="AB460" s="4">
        <f>IF(OR($B460="",G460=""),"",IF($B460=1,--(G460=1),""))</f>
        <v/>
      </c>
      <c r="AC460" s="4">
        <f>IF(OR($B460="",G460=""),"",IF($B460=0,--(G460=0),""))</f>
        <v/>
      </c>
      <c r="AD460" s="4">
        <f>IF(G460="","",--(G460=1))</f>
        <v/>
      </c>
      <c r="AE460" s="4">
        <f>IF(OR($B460="",H460=""),"",--(H460=$B460))</f>
        <v/>
      </c>
      <c r="AF460" s="4">
        <f>IF(OR($B460="",H460=""),"",IF($B460=1,--(H460=1),""))</f>
        <v/>
      </c>
      <c r="AG460" s="4">
        <f>IF(OR($B460="",H460=""),"",IF($B460=0,--(H460=0),""))</f>
        <v/>
      </c>
      <c r="AH460" s="4">
        <f>IF(H460="","",--(H460=1))</f>
        <v/>
      </c>
      <c r="AI460" s="4">
        <f>IF(OR($B460="",I460=""),"",--(I460=$B460))</f>
        <v/>
      </c>
      <c r="AJ460" s="4">
        <f>IF(OR($B460="",I460=""),"",IF($B460=1,--(I460=1),""))</f>
        <v/>
      </c>
      <c r="AK460" s="4">
        <f>IF(OR($B460="",I460=""),"",IF($B460=0,--(I460=0),""))</f>
        <v/>
      </c>
      <c r="AL460" s="4">
        <f>IF(I460="","",--(I460=1))</f>
        <v/>
      </c>
      <c r="AM460" s="4">
        <f>IF(OR($B460="",J460=""),"",--(J460=$B460))</f>
        <v/>
      </c>
      <c r="AN460" s="4">
        <f>IF(OR($B460="",J460=""),"",IF($B460=1,--(J460=1),""))</f>
        <v/>
      </c>
      <c r="AO460" s="4">
        <f>IF(OR($B460="",J460=""),"",IF($B460=0,--(J460=0),""))</f>
        <v/>
      </c>
      <c r="AP460" s="4">
        <f>IF(J460="","",--(J460=1))</f>
        <v/>
      </c>
      <c r="AQ460" s="4">
        <f>IF(OR($B460="",K460=""),"",--(K460=$B460))</f>
        <v/>
      </c>
      <c r="AR460" s="4">
        <f>IF(OR($B460="",K460=""),"",IF($B460=1,--(K460=1),""))</f>
        <v/>
      </c>
      <c r="AS460" s="4">
        <f>IF(OR($B460="",K460=""),"",IF($B460=0,--(K460=0),""))</f>
        <v/>
      </c>
      <c r="AT460" s="4">
        <f>IF(K460="","",--(K460=1))</f>
        <v/>
      </c>
      <c r="AU460" s="4">
        <f>IF(OR($B460="",L460=""),"",--(L460=$B460))</f>
        <v/>
      </c>
      <c r="AV460" s="4">
        <f>IF(OR($B460="",L460=""),"",IF($B460=1,--(L460=1),""))</f>
        <v/>
      </c>
      <c r="AW460" s="4">
        <f>IF(OR($B460="",L460=""),"",IF($B460=0,--(L460=0),""))</f>
        <v/>
      </c>
      <c r="AX460" s="4">
        <f>IF(L460="","",--(L460=1))</f>
        <v/>
      </c>
      <c r="AY460" s="4">
        <f>IF(OR($B460="",M460=""),"",--(M460=$B460))</f>
        <v/>
      </c>
      <c r="AZ460" s="4">
        <f>IF(OR($B460="",M460=""),"",IF($B460=1,--(M460=1),""))</f>
        <v/>
      </c>
      <c r="BA460" s="4">
        <f>IF(OR($B460="",M460=""),"",IF($B460=0,--(M460=0),""))</f>
        <v/>
      </c>
      <c r="BB460" s="4">
        <f>IF(M460="","",--(M460=1))</f>
        <v/>
      </c>
      <c r="BC460" s="4">
        <f>IF(OR($B460="",N460=""),"",--(N460=$B460))</f>
        <v/>
      </c>
      <c r="BD460" s="4">
        <f>IF(OR($B460="",N460=""),"",IF($B460=1,--(N460=1),""))</f>
        <v/>
      </c>
      <c r="BE460" s="4">
        <f>IF(OR($B460="",N460=""),"",IF($B460=0,--(N460=0),""))</f>
        <v/>
      </c>
      <c r="BF460" s="4">
        <f>IF(N460="","",--(N460=1))</f>
        <v/>
      </c>
    </row>
    <row r="461">
      <c r="A461" s="3" t="inlineStr">
        <is>
          <t>202283747</t>
        </is>
      </c>
      <c r="B461" s="3" t="inlineStr">
        <is>
          <t>1</t>
        </is>
      </c>
      <c r="C461" s="3" t="inlineStr">
        <is>
          <t>Direct</t>
        </is>
      </c>
      <c r="D461" s="3" t="inlineStr">
        <is>
          <t>1</t>
        </is>
      </c>
      <c r="E461" s="3" t="inlineStr">
        <is>
          <t>1</t>
        </is>
      </c>
      <c r="F461" s="3" t="inlineStr">
        <is>
          <t>0</t>
        </is>
      </c>
      <c r="G461" s="3" t="inlineStr">
        <is>
          <t>1</t>
        </is>
      </c>
      <c r="H461" s="3" t="inlineStr">
        <is>
          <t>1</t>
        </is>
      </c>
      <c r="I461" s="3" t="inlineStr">
        <is>
          <t>0</t>
        </is>
      </c>
      <c r="J461" s="3" t="inlineStr">
        <is>
          <t>0</t>
        </is>
      </c>
      <c r="K461" s="3" t="inlineStr">
        <is>
          <t>1</t>
        </is>
      </c>
      <c r="L461" s="3" t="inlineStr">
        <is>
          <t>1</t>
        </is>
      </c>
      <c r="M461" s="3" t="inlineStr">
        <is>
          <t>1</t>
        </is>
      </c>
      <c r="N461" s="3" t="inlineStr">
        <is>
          <t>1</t>
        </is>
      </c>
      <c r="O461" s="4">
        <f>IF(OR($B461="",D461=""),"",--(D461=$B461))</f>
        <v/>
      </c>
      <c r="P461" s="4">
        <f>IF(OR($B461="",D461=""),"",IF($B461=1,--(D461=1),""))</f>
        <v/>
      </c>
      <c r="Q461" s="4">
        <f>IF(OR($B461="",D461=""),"",IF($B461=0,--(D461=0),""))</f>
        <v/>
      </c>
      <c r="R461" s="4">
        <f>IF(D461="","",--(D461=1))</f>
        <v/>
      </c>
      <c r="S461" s="4">
        <f>IF(OR($B461="",E461=""),"",--(E461=$B461))</f>
        <v/>
      </c>
      <c r="T461" s="4">
        <f>IF(OR($B461="",E461=""),"",IF($B461=1,--(E461=1),""))</f>
        <v/>
      </c>
      <c r="U461" s="4">
        <f>IF(OR($B461="",E461=""),"",IF($B461=0,--(E461=0),""))</f>
        <v/>
      </c>
      <c r="V461" s="4">
        <f>IF(E461="","",--(E461=1))</f>
        <v/>
      </c>
      <c r="W461" s="4">
        <f>IF(OR($B461="",F461=""),"",--(F461=$B461))</f>
        <v/>
      </c>
      <c r="X461" s="4">
        <f>IF(OR($B461="",F461=""),"",IF($B461=1,--(F461=1),""))</f>
        <v/>
      </c>
      <c r="Y461" s="4">
        <f>IF(OR($B461="",F461=""),"",IF($B461=0,--(F461=0),""))</f>
        <v/>
      </c>
      <c r="Z461" s="4">
        <f>IF(F461="","",--(F461=1))</f>
        <v/>
      </c>
      <c r="AA461" s="4">
        <f>IF(OR($B461="",G461=""),"",--(G461=$B461))</f>
        <v/>
      </c>
      <c r="AB461" s="4">
        <f>IF(OR($B461="",G461=""),"",IF($B461=1,--(G461=1),""))</f>
        <v/>
      </c>
      <c r="AC461" s="4">
        <f>IF(OR($B461="",G461=""),"",IF($B461=0,--(G461=0),""))</f>
        <v/>
      </c>
      <c r="AD461" s="4">
        <f>IF(G461="","",--(G461=1))</f>
        <v/>
      </c>
      <c r="AE461" s="4">
        <f>IF(OR($B461="",H461=""),"",--(H461=$B461))</f>
        <v/>
      </c>
      <c r="AF461" s="4">
        <f>IF(OR($B461="",H461=""),"",IF($B461=1,--(H461=1),""))</f>
        <v/>
      </c>
      <c r="AG461" s="4">
        <f>IF(OR($B461="",H461=""),"",IF($B461=0,--(H461=0),""))</f>
        <v/>
      </c>
      <c r="AH461" s="4">
        <f>IF(H461="","",--(H461=1))</f>
        <v/>
      </c>
      <c r="AI461" s="4">
        <f>IF(OR($B461="",I461=""),"",--(I461=$B461))</f>
        <v/>
      </c>
      <c r="AJ461" s="4">
        <f>IF(OR($B461="",I461=""),"",IF($B461=1,--(I461=1),""))</f>
        <v/>
      </c>
      <c r="AK461" s="4">
        <f>IF(OR($B461="",I461=""),"",IF($B461=0,--(I461=0),""))</f>
        <v/>
      </c>
      <c r="AL461" s="4">
        <f>IF(I461="","",--(I461=1))</f>
        <v/>
      </c>
      <c r="AM461" s="4">
        <f>IF(OR($B461="",J461=""),"",--(J461=$B461))</f>
        <v/>
      </c>
      <c r="AN461" s="4">
        <f>IF(OR($B461="",J461=""),"",IF($B461=1,--(J461=1),""))</f>
        <v/>
      </c>
      <c r="AO461" s="4">
        <f>IF(OR($B461="",J461=""),"",IF($B461=0,--(J461=0),""))</f>
        <v/>
      </c>
      <c r="AP461" s="4">
        <f>IF(J461="","",--(J461=1))</f>
        <v/>
      </c>
      <c r="AQ461" s="4">
        <f>IF(OR($B461="",K461=""),"",--(K461=$B461))</f>
        <v/>
      </c>
      <c r="AR461" s="4">
        <f>IF(OR($B461="",K461=""),"",IF($B461=1,--(K461=1),""))</f>
        <v/>
      </c>
      <c r="AS461" s="4">
        <f>IF(OR($B461="",K461=""),"",IF($B461=0,--(K461=0),""))</f>
        <v/>
      </c>
      <c r="AT461" s="4">
        <f>IF(K461="","",--(K461=1))</f>
        <v/>
      </c>
      <c r="AU461" s="4">
        <f>IF(OR($B461="",L461=""),"",--(L461=$B461))</f>
        <v/>
      </c>
      <c r="AV461" s="4">
        <f>IF(OR($B461="",L461=""),"",IF($B461=1,--(L461=1),""))</f>
        <v/>
      </c>
      <c r="AW461" s="4">
        <f>IF(OR($B461="",L461=""),"",IF($B461=0,--(L461=0),""))</f>
        <v/>
      </c>
      <c r="AX461" s="4">
        <f>IF(L461="","",--(L461=1))</f>
        <v/>
      </c>
      <c r="AY461" s="4">
        <f>IF(OR($B461="",M461=""),"",--(M461=$B461))</f>
        <v/>
      </c>
      <c r="AZ461" s="4">
        <f>IF(OR($B461="",M461=""),"",IF($B461=1,--(M461=1),""))</f>
        <v/>
      </c>
      <c r="BA461" s="4">
        <f>IF(OR($B461="",M461=""),"",IF($B461=0,--(M461=0),""))</f>
        <v/>
      </c>
      <c r="BB461" s="4">
        <f>IF(M461="","",--(M461=1))</f>
        <v/>
      </c>
      <c r="BC461" s="4">
        <f>IF(OR($B461="",N461=""),"",--(N461=$B461))</f>
        <v/>
      </c>
      <c r="BD461" s="4">
        <f>IF(OR($B461="",N461=""),"",IF($B461=1,--(N461=1),""))</f>
        <v/>
      </c>
      <c r="BE461" s="4">
        <f>IF(OR($B461="",N461=""),"",IF($B461=0,--(N461=0),""))</f>
        <v/>
      </c>
      <c r="BF461" s="4">
        <f>IF(N461="","",--(N461=1))</f>
        <v/>
      </c>
    </row>
    <row r="462">
      <c r="A462" s="3" t="inlineStr">
        <is>
          <t>202285567</t>
        </is>
      </c>
      <c r="B462" s="3" t="inlineStr">
        <is>
          <t>0</t>
        </is>
      </c>
      <c r="C462" s="3" t="inlineStr">
        <is>
          <t>Direct</t>
        </is>
      </c>
      <c r="D462" s="3" t="inlineStr">
        <is>
          <t>1</t>
        </is>
      </c>
      <c r="E462" s="3" t="inlineStr">
        <is>
          <t>1</t>
        </is>
      </c>
      <c r="F462" s="3" t="inlineStr">
        <is>
          <t>1</t>
        </is>
      </c>
      <c r="G462" s="3" t="inlineStr">
        <is>
          <t>1</t>
        </is>
      </c>
      <c r="H462" s="3" t="inlineStr">
        <is>
          <t>1</t>
        </is>
      </c>
      <c r="I462" s="3" t="inlineStr">
        <is>
          <t>1</t>
        </is>
      </c>
      <c r="J462" s="3" t="inlineStr">
        <is>
          <t>1</t>
        </is>
      </c>
      <c r="K462" s="3" t="inlineStr">
        <is>
          <t>0</t>
        </is>
      </c>
      <c r="L462" s="3" t="inlineStr">
        <is>
          <t>1</t>
        </is>
      </c>
      <c r="M462" s="3" t="inlineStr">
        <is>
          <t>1</t>
        </is>
      </c>
      <c r="N462" s="3" t="inlineStr">
        <is>
          <t>1</t>
        </is>
      </c>
      <c r="O462" s="4">
        <f>IF(OR($B462="",D462=""),"",--(D462=$B462))</f>
        <v/>
      </c>
      <c r="P462" s="4">
        <f>IF(OR($B462="",D462=""),"",IF($B462=1,--(D462=1),""))</f>
        <v/>
      </c>
      <c r="Q462" s="4">
        <f>IF(OR($B462="",D462=""),"",IF($B462=0,--(D462=0),""))</f>
        <v/>
      </c>
      <c r="R462" s="4">
        <f>IF(D462="","",--(D462=1))</f>
        <v/>
      </c>
      <c r="S462" s="4">
        <f>IF(OR($B462="",E462=""),"",--(E462=$B462))</f>
        <v/>
      </c>
      <c r="T462" s="4">
        <f>IF(OR($B462="",E462=""),"",IF($B462=1,--(E462=1),""))</f>
        <v/>
      </c>
      <c r="U462" s="4">
        <f>IF(OR($B462="",E462=""),"",IF($B462=0,--(E462=0),""))</f>
        <v/>
      </c>
      <c r="V462" s="4">
        <f>IF(E462="","",--(E462=1))</f>
        <v/>
      </c>
      <c r="W462" s="4">
        <f>IF(OR($B462="",F462=""),"",--(F462=$B462))</f>
        <v/>
      </c>
      <c r="X462" s="4">
        <f>IF(OR($B462="",F462=""),"",IF($B462=1,--(F462=1),""))</f>
        <v/>
      </c>
      <c r="Y462" s="4">
        <f>IF(OR($B462="",F462=""),"",IF($B462=0,--(F462=0),""))</f>
        <v/>
      </c>
      <c r="Z462" s="4">
        <f>IF(F462="","",--(F462=1))</f>
        <v/>
      </c>
      <c r="AA462" s="4">
        <f>IF(OR($B462="",G462=""),"",--(G462=$B462))</f>
        <v/>
      </c>
      <c r="AB462" s="4">
        <f>IF(OR($B462="",G462=""),"",IF($B462=1,--(G462=1),""))</f>
        <v/>
      </c>
      <c r="AC462" s="4">
        <f>IF(OR($B462="",G462=""),"",IF($B462=0,--(G462=0),""))</f>
        <v/>
      </c>
      <c r="AD462" s="4">
        <f>IF(G462="","",--(G462=1))</f>
        <v/>
      </c>
      <c r="AE462" s="4">
        <f>IF(OR($B462="",H462=""),"",--(H462=$B462))</f>
        <v/>
      </c>
      <c r="AF462" s="4">
        <f>IF(OR($B462="",H462=""),"",IF($B462=1,--(H462=1),""))</f>
        <v/>
      </c>
      <c r="AG462" s="4">
        <f>IF(OR($B462="",H462=""),"",IF($B462=0,--(H462=0),""))</f>
        <v/>
      </c>
      <c r="AH462" s="4">
        <f>IF(H462="","",--(H462=1))</f>
        <v/>
      </c>
      <c r="AI462" s="4">
        <f>IF(OR($B462="",I462=""),"",--(I462=$B462))</f>
        <v/>
      </c>
      <c r="AJ462" s="4">
        <f>IF(OR($B462="",I462=""),"",IF($B462=1,--(I462=1),""))</f>
        <v/>
      </c>
      <c r="AK462" s="4">
        <f>IF(OR($B462="",I462=""),"",IF($B462=0,--(I462=0),""))</f>
        <v/>
      </c>
      <c r="AL462" s="4">
        <f>IF(I462="","",--(I462=1))</f>
        <v/>
      </c>
      <c r="AM462" s="4">
        <f>IF(OR($B462="",J462=""),"",--(J462=$B462))</f>
        <v/>
      </c>
      <c r="AN462" s="4">
        <f>IF(OR($B462="",J462=""),"",IF($B462=1,--(J462=1),""))</f>
        <v/>
      </c>
      <c r="AO462" s="4">
        <f>IF(OR($B462="",J462=""),"",IF($B462=0,--(J462=0),""))</f>
        <v/>
      </c>
      <c r="AP462" s="4">
        <f>IF(J462="","",--(J462=1))</f>
        <v/>
      </c>
      <c r="AQ462" s="4">
        <f>IF(OR($B462="",K462=""),"",--(K462=$B462))</f>
        <v/>
      </c>
      <c r="AR462" s="4">
        <f>IF(OR($B462="",K462=""),"",IF($B462=1,--(K462=1),""))</f>
        <v/>
      </c>
      <c r="AS462" s="4">
        <f>IF(OR($B462="",K462=""),"",IF($B462=0,--(K462=0),""))</f>
        <v/>
      </c>
      <c r="AT462" s="4">
        <f>IF(K462="","",--(K462=1))</f>
        <v/>
      </c>
      <c r="AU462" s="4">
        <f>IF(OR($B462="",L462=""),"",--(L462=$B462))</f>
        <v/>
      </c>
      <c r="AV462" s="4">
        <f>IF(OR($B462="",L462=""),"",IF($B462=1,--(L462=1),""))</f>
        <v/>
      </c>
      <c r="AW462" s="4">
        <f>IF(OR($B462="",L462=""),"",IF($B462=0,--(L462=0),""))</f>
        <v/>
      </c>
      <c r="AX462" s="4">
        <f>IF(L462="","",--(L462=1))</f>
        <v/>
      </c>
      <c r="AY462" s="4">
        <f>IF(OR($B462="",M462=""),"",--(M462=$B462))</f>
        <v/>
      </c>
      <c r="AZ462" s="4">
        <f>IF(OR($B462="",M462=""),"",IF($B462=1,--(M462=1),""))</f>
        <v/>
      </c>
      <c r="BA462" s="4">
        <f>IF(OR($B462="",M462=""),"",IF($B462=0,--(M462=0),""))</f>
        <v/>
      </c>
      <c r="BB462" s="4">
        <f>IF(M462="","",--(M462=1))</f>
        <v/>
      </c>
      <c r="BC462" s="4">
        <f>IF(OR($B462="",N462=""),"",--(N462=$B462))</f>
        <v/>
      </c>
      <c r="BD462" s="4">
        <f>IF(OR($B462="",N462=""),"",IF($B462=1,--(N462=1),""))</f>
        <v/>
      </c>
      <c r="BE462" s="4">
        <f>IF(OR($B462="",N462=""),"",IF($B462=0,--(N462=0),""))</f>
        <v/>
      </c>
      <c r="BF462" s="4">
        <f>IF(N462="","",--(N462=1))</f>
        <v/>
      </c>
    </row>
    <row r="463">
      <c r="A463" s="3" t="inlineStr">
        <is>
          <t>202290604</t>
        </is>
      </c>
      <c r="B463" s="3" t="inlineStr">
        <is>
          <t>1</t>
        </is>
      </c>
      <c r="C463" s="3" t="inlineStr">
        <is>
          <t>Direct</t>
        </is>
      </c>
      <c r="D463" s="3" t="inlineStr">
        <is>
          <t>1</t>
        </is>
      </c>
      <c r="E463" s="3" t="inlineStr">
        <is>
          <t>1</t>
        </is>
      </c>
      <c r="F463" s="3" t="inlineStr">
        <is>
          <t>0</t>
        </is>
      </c>
      <c r="G463" s="3" t="inlineStr">
        <is>
          <t>0</t>
        </is>
      </c>
      <c r="H463" s="3" t="inlineStr">
        <is>
          <t>1</t>
        </is>
      </c>
      <c r="I463" s="3" t="inlineStr">
        <is>
          <t>0</t>
        </is>
      </c>
      <c r="J463" s="3" t="inlineStr">
        <is>
          <t>1</t>
        </is>
      </c>
      <c r="K463" s="3" t="inlineStr">
        <is>
          <t>0</t>
        </is>
      </c>
      <c r="L463" s="3" t="inlineStr">
        <is>
          <t>0</t>
        </is>
      </c>
      <c r="M463" s="3" t="inlineStr">
        <is>
          <t>1</t>
        </is>
      </c>
      <c r="N463" s="3" t="inlineStr">
        <is>
          <t>1</t>
        </is>
      </c>
      <c r="O463" s="4">
        <f>IF(OR($B463="",D463=""),"",--(D463=$B463))</f>
        <v/>
      </c>
      <c r="P463" s="4">
        <f>IF(OR($B463="",D463=""),"",IF($B463=1,--(D463=1),""))</f>
        <v/>
      </c>
      <c r="Q463" s="4">
        <f>IF(OR($B463="",D463=""),"",IF($B463=0,--(D463=0),""))</f>
        <v/>
      </c>
      <c r="R463" s="4">
        <f>IF(D463="","",--(D463=1))</f>
        <v/>
      </c>
      <c r="S463" s="4">
        <f>IF(OR($B463="",E463=""),"",--(E463=$B463))</f>
        <v/>
      </c>
      <c r="T463" s="4">
        <f>IF(OR($B463="",E463=""),"",IF($B463=1,--(E463=1),""))</f>
        <v/>
      </c>
      <c r="U463" s="4">
        <f>IF(OR($B463="",E463=""),"",IF($B463=0,--(E463=0),""))</f>
        <v/>
      </c>
      <c r="V463" s="4">
        <f>IF(E463="","",--(E463=1))</f>
        <v/>
      </c>
      <c r="W463" s="4">
        <f>IF(OR($B463="",F463=""),"",--(F463=$B463))</f>
        <v/>
      </c>
      <c r="X463" s="4">
        <f>IF(OR($B463="",F463=""),"",IF($B463=1,--(F463=1),""))</f>
        <v/>
      </c>
      <c r="Y463" s="4">
        <f>IF(OR($B463="",F463=""),"",IF($B463=0,--(F463=0),""))</f>
        <v/>
      </c>
      <c r="Z463" s="4">
        <f>IF(F463="","",--(F463=1))</f>
        <v/>
      </c>
      <c r="AA463" s="4">
        <f>IF(OR($B463="",G463=""),"",--(G463=$B463))</f>
        <v/>
      </c>
      <c r="AB463" s="4">
        <f>IF(OR($B463="",G463=""),"",IF($B463=1,--(G463=1),""))</f>
        <v/>
      </c>
      <c r="AC463" s="4">
        <f>IF(OR($B463="",G463=""),"",IF($B463=0,--(G463=0),""))</f>
        <v/>
      </c>
      <c r="AD463" s="4">
        <f>IF(G463="","",--(G463=1))</f>
        <v/>
      </c>
      <c r="AE463" s="4">
        <f>IF(OR($B463="",H463=""),"",--(H463=$B463))</f>
        <v/>
      </c>
      <c r="AF463" s="4">
        <f>IF(OR($B463="",H463=""),"",IF($B463=1,--(H463=1),""))</f>
        <v/>
      </c>
      <c r="AG463" s="4">
        <f>IF(OR($B463="",H463=""),"",IF($B463=0,--(H463=0),""))</f>
        <v/>
      </c>
      <c r="AH463" s="4">
        <f>IF(H463="","",--(H463=1))</f>
        <v/>
      </c>
      <c r="AI463" s="4">
        <f>IF(OR($B463="",I463=""),"",--(I463=$B463))</f>
        <v/>
      </c>
      <c r="AJ463" s="4">
        <f>IF(OR($B463="",I463=""),"",IF($B463=1,--(I463=1),""))</f>
        <v/>
      </c>
      <c r="AK463" s="4">
        <f>IF(OR($B463="",I463=""),"",IF($B463=0,--(I463=0),""))</f>
        <v/>
      </c>
      <c r="AL463" s="4">
        <f>IF(I463="","",--(I463=1))</f>
        <v/>
      </c>
      <c r="AM463" s="4">
        <f>IF(OR($B463="",J463=""),"",--(J463=$B463))</f>
        <v/>
      </c>
      <c r="AN463" s="4">
        <f>IF(OR($B463="",J463=""),"",IF($B463=1,--(J463=1),""))</f>
        <v/>
      </c>
      <c r="AO463" s="4">
        <f>IF(OR($B463="",J463=""),"",IF($B463=0,--(J463=0),""))</f>
        <v/>
      </c>
      <c r="AP463" s="4">
        <f>IF(J463="","",--(J463=1))</f>
        <v/>
      </c>
      <c r="AQ463" s="4">
        <f>IF(OR($B463="",K463=""),"",--(K463=$B463))</f>
        <v/>
      </c>
      <c r="AR463" s="4">
        <f>IF(OR($B463="",K463=""),"",IF($B463=1,--(K463=1),""))</f>
        <v/>
      </c>
      <c r="AS463" s="4">
        <f>IF(OR($B463="",K463=""),"",IF($B463=0,--(K463=0),""))</f>
        <v/>
      </c>
      <c r="AT463" s="4">
        <f>IF(K463="","",--(K463=1))</f>
        <v/>
      </c>
      <c r="AU463" s="4">
        <f>IF(OR($B463="",L463=""),"",--(L463=$B463))</f>
        <v/>
      </c>
      <c r="AV463" s="4">
        <f>IF(OR($B463="",L463=""),"",IF($B463=1,--(L463=1),""))</f>
        <v/>
      </c>
      <c r="AW463" s="4">
        <f>IF(OR($B463="",L463=""),"",IF($B463=0,--(L463=0),""))</f>
        <v/>
      </c>
      <c r="AX463" s="4">
        <f>IF(L463="","",--(L463=1))</f>
        <v/>
      </c>
      <c r="AY463" s="4">
        <f>IF(OR($B463="",M463=""),"",--(M463=$B463))</f>
        <v/>
      </c>
      <c r="AZ463" s="4">
        <f>IF(OR($B463="",M463=""),"",IF($B463=1,--(M463=1),""))</f>
        <v/>
      </c>
      <c r="BA463" s="4">
        <f>IF(OR($B463="",M463=""),"",IF($B463=0,--(M463=0),""))</f>
        <v/>
      </c>
      <c r="BB463" s="4">
        <f>IF(M463="","",--(M463=1))</f>
        <v/>
      </c>
      <c r="BC463" s="4">
        <f>IF(OR($B463="",N463=""),"",--(N463=$B463))</f>
        <v/>
      </c>
      <c r="BD463" s="4">
        <f>IF(OR($B463="",N463=""),"",IF($B463=1,--(N463=1),""))</f>
        <v/>
      </c>
      <c r="BE463" s="4">
        <f>IF(OR($B463="",N463=""),"",IF($B463=0,--(N463=0),""))</f>
        <v/>
      </c>
      <c r="BF463" s="4">
        <f>IF(N463="","",--(N463=1))</f>
        <v/>
      </c>
    </row>
    <row r="464">
      <c r="A464" s="3" t="inlineStr">
        <is>
          <t>202291185</t>
        </is>
      </c>
      <c r="B464" s="3" t="inlineStr">
        <is>
          <t>0</t>
        </is>
      </c>
      <c r="C464" s="3" t="inlineStr">
        <is>
          <t>Direct</t>
        </is>
      </c>
      <c r="D464" s="3" t="inlineStr">
        <is>
          <t>1</t>
        </is>
      </c>
      <c r="E464" s="3" t="inlineStr">
        <is>
          <t>1</t>
        </is>
      </c>
      <c r="F464" s="3" t="inlineStr">
        <is>
          <t>1</t>
        </is>
      </c>
      <c r="G464" s="3" t="inlineStr">
        <is>
          <t>0</t>
        </is>
      </c>
      <c r="H464" s="3" t="inlineStr">
        <is>
          <t>1</t>
        </is>
      </c>
      <c r="I464" s="3" t="inlineStr">
        <is>
          <t>0</t>
        </is>
      </c>
      <c r="J464" s="3" t="inlineStr">
        <is>
          <t>1</t>
        </is>
      </c>
      <c r="K464" s="3" t="inlineStr">
        <is>
          <t>0</t>
        </is>
      </c>
      <c r="L464" s="3" t="inlineStr">
        <is>
          <t>1</t>
        </is>
      </c>
      <c r="M464" s="3" t="inlineStr">
        <is>
          <t>1</t>
        </is>
      </c>
      <c r="N464" s="3" t="inlineStr">
        <is>
          <t>1</t>
        </is>
      </c>
      <c r="O464" s="4">
        <f>IF(OR($B464="",D464=""),"",--(D464=$B464))</f>
        <v/>
      </c>
      <c r="P464" s="4">
        <f>IF(OR($B464="",D464=""),"",IF($B464=1,--(D464=1),""))</f>
        <v/>
      </c>
      <c r="Q464" s="4">
        <f>IF(OR($B464="",D464=""),"",IF($B464=0,--(D464=0),""))</f>
        <v/>
      </c>
      <c r="R464" s="4">
        <f>IF(D464="","",--(D464=1))</f>
        <v/>
      </c>
      <c r="S464" s="4">
        <f>IF(OR($B464="",E464=""),"",--(E464=$B464))</f>
        <v/>
      </c>
      <c r="T464" s="4">
        <f>IF(OR($B464="",E464=""),"",IF($B464=1,--(E464=1),""))</f>
        <v/>
      </c>
      <c r="U464" s="4">
        <f>IF(OR($B464="",E464=""),"",IF($B464=0,--(E464=0),""))</f>
        <v/>
      </c>
      <c r="V464" s="4">
        <f>IF(E464="","",--(E464=1))</f>
        <v/>
      </c>
      <c r="W464" s="4">
        <f>IF(OR($B464="",F464=""),"",--(F464=$B464))</f>
        <v/>
      </c>
      <c r="X464" s="4">
        <f>IF(OR($B464="",F464=""),"",IF($B464=1,--(F464=1),""))</f>
        <v/>
      </c>
      <c r="Y464" s="4">
        <f>IF(OR($B464="",F464=""),"",IF($B464=0,--(F464=0),""))</f>
        <v/>
      </c>
      <c r="Z464" s="4">
        <f>IF(F464="","",--(F464=1))</f>
        <v/>
      </c>
      <c r="AA464" s="4">
        <f>IF(OR($B464="",G464=""),"",--(G464=$B464))</f>
        <v/>
      </c>
      <c r="AB464" s="4">
        <f>IF(OR($B464="",G464=""),"",IF($B464=1,--(G464=1),""))</f>
        <v/>
      </c>
      <c r="AC464" s="4">
        <f>IF(OR($B464="",G464=""),"",IF($B464=0,--(G464=0),""))</f>
        <v/>
      </c>
      <c r="AD464" s="4">
        <f>IF(G464="","",--(G464=1))</f>
        <v/>
      </c>
      <c r="AE464" s="4">
        <f>IF(OR($B464="",H464=""),"",--(H464=$B464))</f>
        <v/>
      </c>
      <c r="AF464" s="4">
        <f>IF(OR($B464="",H464=""),"",IF($B464=1,--(H464=1),""))</f>
        <v/>
      </c>
      <c r="AG464" s="4">
        <f>IF(OR($B464="",H464=""),"",IF($B464=0,--(H464=0),""))</f>
        <v/>
      </c>
      <c r="AH464" s="4">
        <f>IF(H464="","",--(H464=1))</f>
        <v/>
      </c>
      <c r="AI464" s="4">
        <f>IF(OR($B464="",I464=""),"",--(I464=$B464))</f>
        <v/>
      </c>
      <c r="AJ464" s="4">
        <f>IF(OR($B464="",I464=""),"",IF($B464=1,--(I464=1),""))</f>
        <v/>
      </c>
      <c r="AK464" s="4">
        <f>IF(OR($B464="",I464=""),"",IF($B464=0,--(I464=0),""))</f>
        <v/>
      </c>
      <c r="AL464" s="4">
        <f>IF(I464="","",--(I464=1))</f>
        <v/>
      </c>
      <c r="AM464" s="4">
        <f>IF(OR($B464="",J464=""),"",--(J464=$B464))</f>
        <v/>
      </c>
      <c r="AN464" s="4">
        <f>IF(OR($B464="",J464=""),"",IF($B464=1,--(J464=1),""))</f>
        <v/>
      </c>
      <c r="AO464" s="4">
        <f>IF(OR($B464="",J464=""),"",IF($B464=0,--(J464=0),""))</f>
        <v/>
      </c>
      <c r="AP464" s="4">
        <f>IF(J464="","",--(J464=1))</f>
        <v/>
      </c>
      <c r="AQ464" s="4">
        <f>IF(OR($B464="",K464=""),"",--(K464=$B464))</f>
        <v/>
      </c>
      <c r="AR464" s="4">
        <f>IF(OR($B464="",K464=""),"",IF($B464=1,--(K464=1),""))</f>
        <v/>
      </c>
      <c r="AS464" s="4">
        <f>IF(OR($B464="",K464=""),"",IF($B464=0,--(K464=0),""))</f>
        <v/>
      </c>
      <c r="AT464" s="4">
        <f>IF(K464="","",--(K464=1))</f>
        <v/>
      </c>
      <c r="AU464" s="4">
        <f>IF(OR($B464="",L464=""),"",--(L464=$B464))</f>
        <v/>
      </c>
      <c r="AV464" s="4">
        <f>IF(OR($B464="",L464=""),"",IF($B464=1,--(L464=1),""))</f>
        <v/>
      </c>
      <c r="AW464" s="4">
        <f>IF(OR($B464="",L464=""),"",IF($B464=0,--(L464=0),""))</f>
        <v/>
      </c>
      <c r="AX464" s="4">
        <f>IF(L464="","",--(L464=1))</f>
        <v/>
      </c>
      <c r="AY464" s="4">
        <f>IF(OR($B464="",M464=""),"",--(M464=$B464))</f>
        <v/>
      </c>
      <c r="AZ464" s="4">
        <f>IF(OR($B464="",M464=""),"",IF($B464=1,--(M464=1),""))</f>
        <v/>
      </c>
      <c r="BA464" s="4">
        <f>IF(OR($B464="",M464=""),"",IF($B464=0,--(M464=0),""))</f>
        <v/>
      </c>
      <c r="BB464" s="4">
        <f>IF(M464="","",--(M464=1))</f>
        <v/>
      </c>
      <c r="BC464" s="4">
        <f>IF(OR($B464="",N464=""),"",--(N464=$B464))</f>
        <v/>
      </c>
      <c r="BD464" s="4">
        <f>IF(OR($B464="",N464=""),"",IF($B464=1,--(N464=1),""))</f>
        <v/>
      </c>
      <c r="BE464" s="4">
        <f>IF(OR($B464="",N464=""),"",IF($B464=0,--(N464=0),""))</f>
        <v/>
      </c>
      <c r="BF464" s="4">
        <f>IF(N464="","",--(N464=1))</f>
        <v/>
      </c>
    </row>
    <row r="465">
      <c r="A465" s="3" t="inlineStr">
        <is>
          <t>202294618</t>
        </is>
      </c>
      <c r="B465" s="3" t="inlineStr">
        <is>
          <t>0</t>
        </is>
      </c>
      <c r="C465" s="3" t="inlineStr">
        <is>
          <t>Direct</t>
        </is>
      </c>
      <c r="D465" s="3" t="inlineStr">
        <is>
          <t>1</t>
        </is>
      </c>
      <c r="E465" s="3" t="inlineStr">
        <is>
          <t>0</t>
        </is>
      </c>
      <c r="F465" s="3" t="inlineStr">
        <is>
          <t>0</t>
        </is>
      </c>
      <c r="G465" s="3" t="inlineStr">
        <is>
          <t>1</t>
        </is>
      </c>
      <c r="H465" s="3" t="inlineStr">
        <is>
          <t>1</t>
        </is>
      </c>
      <c r="I465" s="3" t="inlineStr">
        <is>
          <t>1</t>
        </is>
      </c>
      <c r="J465" s="3" t="inlineStr">
        <is>
          <t>1</t>
        </is>
      </c>
      <c r="K465" s="3" t="inlineStr">
        <is>
          <t>1</t>
        </is>
      </c>
      <c r="L465" s="3" t="inlineStr">
        <is>
          <t>1</t>
        </is>
      </c>
      <c r="M465" s="3" t="inlineStr">
        <is>
          <t>1</t>
        </is>
      </c>
      <c r="N465" s="3" t="inlineStr">
        <is>
          <t>1</t>
        </is>
      </c>
      <c r="O465" s="4">
        <f>IF(OR($B465="",D465=""),"",--(D465=$B465))</f>
        <v/>
      </c>
      <c r="P465" s="4">
        <f>IF(OR($B465="",D465=""),"",IF($B465=1,--(D465=1),""))</f>
        <v/>
      </c>
      <c r="Q465" s="4">
        <f>IF(OR($B465="",D465=""),"",IF($B465=0,--(D465=0),""))</f>
        <v/>
      </c>
      <c r="R465" s="4">
        <f>IF(D465="","",--(D465=1))</f>
        <v/>
      </c>
      <c r="S465" s="4">
        <f>IF(OR($B465="",E465=""),"",--(E465=$B465))</f>
        <v/>
      </c>
      <c r="T465" s="4">
        <f>IF(OR($B465="",E465=""),"",IF($B465=1,--(E465=1),""))</f>
        <v/>
      </c>
      <c r="U465" s="4">
        <f>IF(OR($B465="",E465=""),"",IF($B465=0,--(E465=0),""))</f>
        <v/>
      </c>
      <c r="V465" s="4">
        <f>IF(E465="","",--(E465=1))</f>
        <v/>
      </c>
      <c r="W465" s="4">
        <f>IF(OR($B465="",F465=""),"",--(F465=$B465))</f>
        <v/>
      </c>
      <c r="X465" s="4">
        <f>IF(OR($B465="",F465=""),"",IF($B465=1,--(F465=1),""))</f>
        <v/>
      </c>
      <c r="Y465" s="4">
        <f>IF(OR($B465="",F465=""),"",IF($B465=0,--(F465=0),""))</f>
        <v/>
      </c>
      <c r="Z465" s="4">
        <f>IF(F465="","",--(F465=1))</f>
        <v/>
      </c>
      <c r="AA465" s="4">
        <f>IF(OR($B465="",G465=""),"",--(G465=$B465))</f>
        <v/>
      </c>
      <c r="AB465" s="4">
        <f>IF(OR($B465="",G465=""),"",IF($B465=1,--(G465=1),""))</f>
        <v/>
      </c>
      <c r="AC465" s="4">
        <f>IF(OR($B465="",G465=""),"",IF($B465=0,--(G465=0),""))</f>
        <v/>
      </c>
      <c r="AD465" s="4">
        <f>IF(G465="","",--(G465=1))</f>
        <v/>
      </c>
      <c r="AE465" s="4">
        <f>IF(OR($B465="",H465=""),"",--(H465=$B465))</f>
        <v/>
      </c>
      <c r="AF465" s="4">
        <f>IF(OR($B465="",H465=""),"",IF($B465=1,--(H465=1),""))</f>
        <v/>
      </c>
      <c r="AG465" s="4">
        <f>IF(OR($B465="",H465=""),"",IF($B465=0,--(H465=0),""))</f>
        <v/>
      </c>
      <c r="AH465" s="4">
        <f>IF(H465="","",--(H465=1))</f>
        <v/>
      </c>
      <c r="AI465" s="4">
        <f>IF(OR($B465="",I465=""),"",--(I465=$B465))</f>
        <v/>
      </c>
      <c r="AJ465" s="4">
        <f>IF(OR($B465="",I465=""),"",IF($B465=1,--(I465=1),""))</f>
        <v/>
      </c>
      <c r="AK465" s="4">
        <f>IF(OR($B465="",I465=""),"",IF($B465=0,--(I465=0),""))</f>
        <v/>
      </c>
      <c r="AL465" s="4">
        <f>IF(I465="","",--(I465=1))</f>
        <v/>
      </c>
      <c r="AM465" s="4">
        <f>IF(OR($B465="",J465=""),"",--(J465=$B465))</f>
        <v/>
      </c>
      <c r="AN465" s="4">
        <f>IF(OR($B465="",J465=""),"",IF($B465=1,--(J465=1),""))</f>
        <v/>
      </c>
      <c r="AO465" s="4">
        <f>IF(OR($B465="",J465=""),"",IF($B465=0,--(J465=0),""))</f>
        <v/>
      </c>
      <c r="AP465" s="4">
        <f>IF(J465="","",--(J465=1))</f>
        <v/>
      </c>
      <c r="AQ465" s="4">
        <f>IF(OR($B465="",K465=""),"",--(K465=$B465))</f>
        <v/>
      </c>
      <c r="AR465" s="4">
        <f>IF(OR($B465="",K465=""),"",IF($B465=1,--(K465=1),""))</f>
        <v/>
      </c>
      <c r="AS465" s="4">
        <f>IF(OR($B465="",K465=""),"",IF($B465=0,--(K465=0),""))</f>
        <v/>
      </c>
      <c r="AT465" s="4">
        <f>IF(K465="","",--(K465=1))</f>
        <v/>
      </c>
      <c r="AU465" s="4">
        <f>IF(OR($B465="",L465=""),"",--(L465=$B465))</f>
        <v/>
      </c>
      <c r="AV465" s="4">
        <f>IF(OR($B465="",L465=""),"",IF($B465=1,--(L465=1),""))</f>
        <v/>
      </c>
      <c r="AW465" s="4">
        <f>IF(OR($B465="",L465=""),"",IF($B465=0,--(L465=0),""))</f>
        <v/>
      </c>
      <c r="AX465" s="4">
        <f>IF(L465="","",--(L465=1))</f>
        <v/>
      </c>
      <c r="AY465" s="4">
        <f>IF(OR($B465="",M465=""),"",--(M465=$B465))</f>
        <v/>
      </c>
      <c r="AZ465" s="4">
        <f>IF(OR($B465="",M465=""),"",IF($B465=1,--(M465=1),""))</f>
        <v/>
      </c>
      <c r="BA465" s="4">
        <f>IF(OR($B465="",M465=""),"",IF($B465=0,--(M465=0),""))</f>
        <v/>
      </c>
      <c r="BB465" s="4">
        <f>IF(M465="","",--(M465=1))</f>
        <v/>
      </c>
      <c r="BC465" s="4">
        <f>IF(OR($B465="",N465=""),"",--(N465=$B465))</f>
        <v/>
      </c>
      <c r="BD465" s="4">
        <f>IF(OR($B465="",N465=""),"",IF($B465=1,--(N465=1),""))</f>
        <v/>
      </c>
      <c r="BE465" s="4">
        <f>IF(OR($B465="",N465=""),"",IF($B465=0,--(N465=0),""))</f>
        <v/>
      </c>
      <c r="BF465" s="4">
        <f>IF(N465="","",--(N465=1))</f>
        <v/>
      </c>
    </row>
    <row r="466">
      <c r="A466" s="3" t="inlineStr">
        <is>
          <t>202295261</t>
        </is>
      </c>
      <c r="B466" s="3" t="inlineStr">
        <is>
          <t>1</t>
        </is>
      </c>
      <c r="C466" s="3" t="inlineStr">
        <is>
          <t>Direct</t>
        </is>
      </c>
      <c r="D466" s="3" t="inlineStr">
        <is>
          <t>0</t>
        </is>
      </c>
      <c r="E466" s="3" t="inlineStr">
        <is>
          <t>1</t>
        </is>
      </c>
      <c r="F466" s="3" t="inlineStr">
        <is>
          <t>0</t>
        </is>
      </c>
      <c r="G466" s="3" t="inlineStr">
        <is>
          <t>0</t>
        </is>
      </c>
      <c r="H466" s="3" t="inlineStr">
        <is>
          <t>1</t>
        </is>
      </c>
      <c r="I466" s="3" t="inlineStr">
        <is>
          <t>0</t>
        </is>
      </c>
      <c r="J466" s="3" t="inlineStr">
        <is>
          <t>1</t>
        </is>
      </c>
      <c r="K466" s="3" t="inlineStr">
        <is>
          <t>1</t>
        </is>
      </c>
      <c r="L466" s="3" t="inlineStr">
        <is>
          <t>0</t>
        </is>
      </c>
      <c r="M466" s="3" t="inlineStr">
        <is>
          <t>1</t>
        </is>
      </c>
      <c r="N466" s="3" t="inlineStr">
        <is>
          <t>1</t>
        </is>
      </c>
      <c r="O466" s="4">
        <f>IF(OR($B466="",D466=""),"",--(D466=$B466))</f>
        <v/>
      </c>
      <c r="P466" s="4">
        <f>IF(OR($B466="",D466=""),"",IF($B466=1,--(D466=1),""))</f>
        <v/>
      </c>
      <c r="Q466" s="4">
        <f>IF(OR($B466="",D466=""),"",IF($B466=0,--(D466=0),""))</f>
        <v/>
      </c>
      <c r="R466" s="4">
        <f>IF(D466="","",--(D466=1))</f>
        <v/>
      </c>
      <c r="S466" s="4">
        <f>IF(OR($B466="",E466=""),"",--(E466=$B466))</f>
        <v/>
      </c>
      <c r="T466" s="4">
        <f>IF(OR($B466="",E466=""),"",IF($B466=1,--(E466=1),""))</f>
        <v/>
      </c>
      <c r="U466" s="4">
        <f>IF(OR($B466="",E466=""),"",IF($B466=0,--(E466=0),""))</f>
        <v/>
      </c>
      <c r="V466" s="4">
        <f>IF(E466="","",--(E466=1))</f>
        <v/>
      </c>
      <c r="W466" s="4">
        <f>IF(OR($B466="",F466=""),"",--(F466=$B466))</f>
        <v/>
      </c>
      <c r="X466" s="4">
        <f>IF(OR($B466="",F466=""),"",IF($B466=1,--(F466=1),""))</f>
        <v/>
      </c>
      <c r="Y466" s="4">
        <f>IF(OR($B466="",F466=""),"",IF($B466=0,--(F466=0),""))</f>
        <v/>
      </c>
      <c r="Z466" s="4">
        <f>IF(F466="","",--(F466=1))</f>
        <v/>
      </c>
      <c r="AA466" s="4">
        <f>IF(OR($B466="",G466=""),"",--(G466=$B466))</f>
        <v/>
      </c>
      <c r="AB466" s="4">
        <f>IF(OR($B466="",G466=""),"",IF($B466=1,--(G466=1),""))</f>
        <v/>
      </c>
      <c r="AC466" s="4">
        <f>IF(OR($B466="",G466=""),"",IF($B466=0,--(G466=0),""))</f>
        <v/>
      </c>
      <c r="AD466" s="4">
        <f>IF(G466="","",--(G466=1))</f>
        <v/>
      </c>
      <c r="AE466" s="4">
        <f>IF(OR($B466="",H466=""),"",--(H466=$B466))</f>
        <v/>
      </c>
      <c r="AF466" s="4">
        <f>IF(OR($B466="",H466=""),"",IF($B466=1,--(H466=1),""))</f>
        <v/>
      </c>
      <c r="AG466" s="4">
        <f>IF(OR($B466="",H466=""),"",IF($B466=0,--(H466=0),""))</f>
        <v/>
      </c>
      <c r="AH466" s="4">
        <f>IF(H466="","",--(H466=1))</f>
        <v/>
      </c>
      <c r="AI466" s="4">
        <f>IF(OR($B466="",I466=""),"",--(I466=$B466))</f>
        <v/>
      </c>
      <c r="AJ466" s="4">
        <f>IF(OR($B466="",I466=""),"",IF($B466=1,--(I466=1),""))</f>
        <v/>
      </c>
      <c r="AK466" s="4">
        <f>IF(OR($B466="",I466=""),"",IF($B466=0,--(I466=0),""))</f>
        <v/>
      </c>
      <c r="AL466" s="4">
        <f>IF(I466="","",--(I466=1))</f>
        <v/>
      </c>
      <c r="AM466" s="4">
        <f>IF(OR($B466="",J466=""),"",--(J466=$B466))</f>
        <v/>
      </c>
      <c r="AN466" s="4">
        <f>IF(OR($B466="",J466=""),"",IF($B466=1,--(J466=1),""))</f>
        <v/>
      </c>
      <c r="AO466" s="4">
        <f>IF(OR($B466="",J466=""),"",IF($B466=0,--(J466=0),""))</f>
        <v/>
      </c>
      <c r="AP466" s="4">
        <f>IF(J466="","",--(J466=1))</f>
        <v/>
      </c>
      <c r="AQ466" s="4">
        <f>IF(OR($B466="",K466=""),"",--(K466=$B466))</f>
        <v/>
      </c>
      <c r="AR466" s="4">
        <f>IF(OR($B466="",K466=""),"",IF($B466=1,--(K466=1),""))</f>
        <v/>
      </c>
      <c r="AS466" s="4">
        <f>IF(OR($B466="",K466=""),"",IF($B466=0,--(K466=0),""))</f>
        <v/>
      </c>
      <c r="AT466" s="4">
        <f>IF(K466="","",--(K466=1))</f>
        <v/>
      </c>
      <c r="AU466" s="4">
        <f>IF(OR($B466="",L466=""),"",--(L466=$B466))</f>
        <v/>
      </c>
      <c r="AV466" s="4">
        <f>IF(OR($B466="",L466=""),"",IF($B466=1,--(L466=1),""))</f>
        <v/>
      </c>
      <c r="AW466" s="4">
        <f>IF(OR($B466="",L466=""),"",IF($B466=0,--(L466=0),""))</f>
        <v/>
      </c>
      <c r="AX466" s="4">
        <f>IF(L466="","",--(L466=1))</f>
        <v/>
      </c>
      <c r="AY466" s="4">
        <f>IF(OR($B466="",M466=""),"",--(M466=$B466))</f>
        <v/>
      </c>
      <c r="AZ466" s="4">
        <f>IF(OR($B466="",M466=""),"",IF($B466=1,--(M466=1),""))</f>
        <v/>
      </c>
      <c r="BA466" s="4">
        <f>IF(OR($B466="",M466=""),"",IF($B466=0,--(M466=0),""))</f>
        <v/>
      </c>
      <c r="BB466" s="4">
        <f>IF(M466="","",--(M466=1))</f>
        <v/>
      </c>
      <c r="BC466" s="4">
        <f>IF(OR($B466="",N466=""),"",--(N466=$B466))</f>
        <v/>
      </c>
      <c r="BD466" s="4">
        <f>IF(OR($B466="",N466=""),"",IF($B466=1,--(N466=1),""))</f>
        <v/>
      </c>
      <c r="BE466" s="4">
        <f>IF(OR($B466="",N466=""),"",IF($B466=0,--(N466=0),""))</f>
        <v/>
      </c>
      <c r="BF466" s="4">
        <f>IF(N466="","",--(N466=1))</f>
        <v/>
      </c>
    </row>
    <row r="467">
      <c r="A467" s="3" t="inlineStr">
        <is>
          <t>202310430</t>
        </is>
      </c>
      <c r="B467" s="3" t="inlineStr">
        <is>
          <t>1</t>
        </is>
      </c>
      <c r="C467" s="3" t="inlineStr">
        <is>
          <t>Direct</t>
        </is>
      </c>
      <c r="D467" s="3" t="inlineStr">
        <is>
          <t>1</t>
        </is>
      </c>
      <c r="E467" s="3" t="inlineStr">
        <is>
          <t>1</t>
        </is>
      </c>
      <c r="F467" s="3" t="inlineStr">
        <is>
          <t>0</t>
        </is>
      </c>
      <c r="G467" s="3" t="inlineStr">
        <is>
          <t>0</t>
        </is>
      </c>
      <c r="H467" s="3" t="inlineStr">
        <is>
          <t>0</t>
        </is>
      </c>
      <c r="I467" s="3" t="inlineStr">
        <is>
          <t>0</t>
        </is>
      </c>
      <c r="J467" s="3" t="inlineStr">
        <is>
          <t>0</t>
        </is>
      </c>
      <c r="K467" s="3" t="inlineStr">
        <is>
          <t>0</t>
        </is>
      </c>
      <c r="L467" s="3" t="inlineStr">
        <is>
          <t>1</t>
        </is>
      </c>
      <c r="M467" s="3" t="inlineStr">
        <is>
          <t>0</t>
        </is>
      </c>
      <c r="N467" s="3" t="inlineStr">
        <is>
          <t>1</t>
        </is>
      </c>
      <c r="O467" s="4">
        <f>IF(OR($B467="",D467=""),"",--(D467=$B467))</f>
        <v/>
      </c>
      <c r="P467" s="4">
        <f>IF(OR($B467="",D467=""),"",IF($B467=1,--(D467=1),""))</f>
        <v/>
      </c>
      <c r="Q467" s="4">
        <f>IF(OR($B467="",D467=""),"",IF($B467=0,--(D467=0),""))</f>
        <v/>
      </c>
      <c r="R467" s="4">
        <f>IF(D467="","",--(D467=1))</f>
        <v/>
      </c>
      <c r="S467" s="4">
        <f>IF(OR($B467="",E467=""),"",--(E467=$B467))</f>
        <v/>
      </c>
      <c r="T467" s="4">
        <f>IF(OR($B467="",E467=""),"",IF($B467=1,--(E467=1),""))</f>
        <v/>
      </c>
      <c r="U467" s="4">
        <f>IF(OR($B467="",E467=""),"",IF($B467=0,--(E467=0),""))</f>
        <v/>
      </c>
      <c r="V467" s="4">
        <f>IF(E467="","",--(E467=1))</f>
        <v/>
      </c>
      <c r="W467" s="4">
        <f>IF(OR($B467="",F467=""),"",--(F467=$B467))</f>
        <v/>
      </c>
      <c r="X467" s="4">
        <f>IF(OR($B467="",F467=""),"",IF($B467=1,--(F467=1),""))</f>
        <v/>
      </c>
      <c r="Y467" s="4">
        <f>IF(OR($B467="",F467=""),"",IF($B467=0,--(F467=0),""))</f>
        <v/>
      </c>
      <c r="Z467" s="4">
        <f>IF(F467="","",--(F467=1))</f>
        <v/>
      </c>
      <c r="AA467" s="4">
        <f>IF(OR($B467="",G467=""),"",--(G467=$B467))</f>
        <v/>
      </c>
      <c r="AB467" s="4">
        <f>IF(OR($B467="",G467=""),"",IF($B467=1,--(G467=1),""))</f>
        <v/>
      </c>
      <c r="AC467" s="4">
        <f>IF(OR($B467="",G467=""),"",IF($B467=0,--(G467=0),""))</f>
        <v/>
      </c>
      <c r="AD467" s="4">
        <f>IF(G467="","",--(G467=1))</f>
        <v/>
      </c>
      <c r="AE467" s="4">
        <f>IF(OR($B467="",H467=""),"",--(H467=$B467))</f>
        <v/>
      </c>
      <c r="AF467" s="4">
        <f>IF(OR($B467="",H467=""),"",IF($B467=1,--(H467=1),""))</f>
        <v/>
      </c>
      <c r="AG467" s="4">
        <f>IF(OR($B467="",H467=""),"",IF($B467=0,--(H467=0),""))</f>
        <v/>
      </c>
      <c r="AH467" s="4">
        <f>IF(H467="","",--(H467=1))</f>
        <v/>
      </c>
      <c r="AI467" s="4">
        <f>IF(OR($B467="",I467=""),"",--(I467=$B467))</f>
        <v/>
      </c>
      <c r="AJ467" s="4">
        <f>IF(OR($B467="",I467=""),"",IF($B467=1,--(I467=1),""))</f>
        <v/>
      </c>
      <c r="AK467" s="4">
        <f>IF(OR($B467="",I467=""),"",IF($B467=0,--(I467=0),""))</f>
        <v/>
      </c>
      <c r="AL467" s="4">
        <f>IF(I467="","",--(I467=1))</f>
        <v/>
      </c>
      <c r="AM467" s="4">
        <f>IF(OR($B467="",J467=""),"",--(J467=$B467))</f>
        <v/>
      </c>
      <c r="AN467" s="4">
        <f>IF(OR($B467="",J467=""),"",IF($B467=1,--(J467=1),""))</f>
        <v/>
      </c>
      <c r="AO467" s="4">
        <f>IF(OR($B467="",J467=""),"",IF($B467=0,--(J467=0),""))</f>
        <v/>
      </c>
      <c r="AP467" s="4">
        <f>IF(J467="","",--(J467=1))</f>
        <v/>
      </c>
      <c r="AQ467" s="4">
        <f>IF(OR($B467="",K467=""),"",--(K467=$B467))</f>
        <v/>
      </c>
      <c r="AR467" s="4">
        <f>IF(OR($B467="",K467=""),"",IF($B467=1,--(K467=1),""))</f>
        <v/>
      </c>
      <c r="AS467" s="4">
        <f>IF(OR($B467="",K467=""),"",IF($B467=0,--(K467=0),""))</f>
        <v/>
      </c>
      <c r="AT467" s="4">
        <f>IF(K467="","",--(K467=1))</f>
        <v/>
      </c>
      <c r="AU467" s="4">
        <f>IF(OR($B467="",L467=""),"",--(L467=$B467))</f>
        <v/>
      </c>
      <c r="AV467" s="4">
        <f>IF(OR($B467="",L467=""),"",IF($B467=1,--(L467=1),""))</f>
        <v/>
      </c>
      <c r="AW467" s="4">
        <f>IF(OR($B467="",L467=""),"",IF($B467=0,--(L467=0),""))</f>
        <v/>
      </c>
      <c r="AX467" s="4">
        <f>IF(L467="","",--(L467=1))</f>
        <v/>
      </c>
      <c r="AY467" s="4">
        <f>IF(OR($B467="",M467=""),"",--(M467=$B467))</f>
        <v/>
      </c>
      <c r="AZ467" s="4">
        <f>IF(OR($B467="",M467=""),"",IF($B467=1,--(M467=1),""))</f>
        <v/>
      </c>
      <c r="BA467" s="4">
        <f>IF(OR($B467="",M467=""),"",IF($B467=0,--(M467=0),""))</f>
        <v/>
      </c>
      <c r="BB467" s="4">
        <f>IF(M467="","",--(M467=1))</f>
        <v/>
      </c>
      <c r="BC467" s="4">
        <f>IF(OR($B467="",N467=""),"",--(N467=$B467))</f>
        <v/>
      </c>
      <c r="BD467" s="4">
        <f>IF(OR($B467="",N467=""),"",IF($B467=1,--(N467=1),""))</f>
        <v/>
      </c>
      <c r="BE467" s="4">
        <f>IF(OR($B467="",N467=""),"",IF($B467=0,--(N467=0),""))</f>
        <v/>
      </c>
      <c r="BF467" s="4">
        <f>IF(N467="","",--(N467=1))</f>
        <v/>
      </c>
    </row>
    <row r="468">
      <c r="A468" s="3" t="inlineStr">
        <is>
          <t>2023105949</t>
        </is>
      </c>
      <c r="B468" s="3" t="inlineStr">
        <is>
          <t>1</t>
        </is>
      </c>
      <c r="C468" s="3" t="inlineStr">
        <is>
          <t>Direct</t>
        </is>
      </c>
      <c r="D468" s="3" t="inlineStr">
        <is>
          <t>1</t>
        </is>
      </c>
      <c r="E468" s="3" t="inlineStr">
        <is>
          <t>1</t>
        </is>
      </c>
      <c r="F468" s="3" t="inlineStr">
        <is>
          <t>0</t>
        </is>
      </c>
      <c r="G468" s="3" t="inlineStr">
        <is>
          <t>0</t>
        </is>
      </c>
      <c r="H468" s="3" t="inlineStr">
        <is>
          <t>1</t>
        </is>
      </c>
      <c r="I468" s="3" t="inlineStr">
        <is>
          <t>1</t>
        </is>
      </c>
      <c r="J468" s="3" t="inlineStr">
        <is>
          <t>1</t>
        </is>
      </c>
      <c r="K468" s="3" t="inlineStr">
        <is>
          <t>1</t>
        </is>
      </c>
      <c r="L468" s="3" t="inlineStr">
        <is>
          <t>1</t>
        </is>
      </c>
      <c r="M468" s="3" t="inlineStr">
        <is>
          <t>1</t>
        </is>
      </c>
      <c r="N468" s="3" t="inlineStr">
        <is>
          <t>1</t>
        </is>
      </c>
      <c r="O468" s="4">
        <f>IF(OR($B468="",D468=""),"",--(D468=$B468))</f>
        <v/>
      </c>
      <c r="P468" s="4">
        <f>IF(OR($B468="",D468=""),"",IF($B468=1,--(D468=1),""))</f>
        <v/>
      </c>
      <c r="Q468" s="4">
        <f>IF(OR($B468="",D468=""),"",IF($B468=0,--(D468=0),""))</f>
        <v/>
      </c>
      <c r="R468" s="4">
        <f>IF(D468="","",--(D468=1))</f>
        <v/>
      </c>
      <c r="S468" s="4">
        <f>IF(OR($B468="",E468=""),"",--(E468=$B468))</f>
        <v/>
      </c>
      <c r="T468" s="4">
        <f>IF(OR($B468="",E468=""),"",IF($B468=1,--(E468=1),""))</f>
        <v/>
      </c>
      <c r="U468" s="4">
        <f>IF(OR($B468="",E468=""),"",IF($B468=0,--(E468=0),""))</f>
        <v/>
      </c>
      <c r="V468" s="4">
        <f>IF(E468="","",--(E468=1))</f>
        <v/>
      </c>
      <c r="W468" s="4">
        <f>IF(OR($B468="",F468=""),"",--(F468=$B468))</f>
        <v/>
      </c>
      <c r="X468" s="4">
        <f>IF(OR($B468="",F468=""),"",IF($B468=1,--(F468=1),""))</f>
        <v/>
      </c>
      <c r="Y468" s="4">
        <f>IF(OR($B468="",F468=""),"",IF($B468=0,--(F468=0),""))</f>
        <v/>
      </c>
      <c r="Z468" s="4">
        <f>IF(F468="","",--(F468=1))</f>
        <v/>
      </c>
      <c r="AA468" s="4">
        <f>IF(OR($B468="",G468=""),"",--(G468=$B468))</f>
        <v/>
      </c>
      <c r="AB468" s="4">
        <f>IF(OR($B468="",G468=""),"",IF($B468=1,--(G468=1),""))</f>
        <v/>
      </c>
      <c r="AC468" s="4">
        <f>IF(OR($B468="",G468=""),"",IF($B468=0,--(G468=0),""))</f>
        <v/>
      </c>
      <c r="AD468" s="4">
        <f>IF(G468="","",--(G468=1))</f>
        <v/>
      </c>
      <c r="AE468" s="4">
        <f>IF(OR($B468="",H468=""),"",--(H468=$B468))</f>
        <v/>
      </c>
      <c r="AF468" s="4">
        <f>IF(OR($B468="",H468=""),"",IF($B468=1,--(H468=1),""))</f>
        <v/>
      </c>
      <c r="AG468" s="4">
        <f>IF(OR($B468="",H468=""),"",IF($B468=0,--(H468=0),""))</f>
        <v/>
      </c>
      <c r="AH468" s="4">
        <f>IF(H468="","",--(H468=1))</f>
        <v/>
      </c>
      <c r="AI468" s="4">
        <f>IF(OR($B468="",I468=""),"",--(I468=$B468))</f>
        <v/>
      </c>
      <c r="AJ468" s="4">
        <f>IF(OR($B468="",I468=""),"",IF($B468=1,--(I468=1),""))</f>
        <v/>
      </c>
      <c r="AK468" s="4">
        <f>IF(OR($B468="",I468=""),"",IF($B468=0,--(I468=0),""))</f>
        <v/>
      </c>
      <c r="AL468" s="4">
        <f>IF(I468="","",--(I468=1))</f>
        <v/>
      </c>
      <c r="AM468" s="4">
        <f>IF(OR($B468="",J468=""),"",--(J468=$B468))</f>
        <v/>
      </c>
      <c r="AN468" s="4">
        <f>IF(OR($B468="",J468=""),"",IF($B468=1,--(J468=1),""))</f>
        <v/>
      </c>
      <c r="AO468" s="4">
        <f>IF(OR($B468="",J468=""),"",IF($B468=0,--(J468=0),""))</f>
        <v/>
      </c>
      <c r="AP468" s="4">
        <f>IF(J468="","",--(J468=1))</f>
        <v/>
      </c>
      <c r="AQ468" s="4">
        <f>IF(OR($B468="",K468=""),"",--(K468=$B468))</f>
        <v/>
      </c>
      <c r="AR468" s="4">
        <f>IF(OR($B468="",K468=""),"",IF($B468=1,--(K468=1),""))</f>
        <v/>
      </c>
      <c r="AS468" s="4">
        <f>IF(OR($B468="",K468=""),"",IF($B468=0,--(K468=0),""))</f>
        <v/>
      </c>
      <c r="AT468" s="4">
        <f>IF(K468="","",--(K468=1))</f>
        <v/>
      </c>
      <c r="AU468" s="4">
        <f>IF(OR($B468="",L468=""),"",--(L468=$B468))</f>
        <v/>
      </c>
      <c r="AV468" s="4">
        <f>IF(OR($B468="",L468=""),"",IF($B468=1,--(L468=1),""))</f>
        <v/>
      </c>
      <c r="AW468" s="4">
        <f>IF(OR($B468="",L468=""),"",IF($B468=0,--(L468=0),""))</f>
        <v/>
      </c>
      <c r="AX468" s="4">
        <f>IF(L468="","",--(L468=1))</f>
        <v/>
      </c>
      <c r="AY468" s="4">
        <f>IF(OR($B468="",M468=""),"",--(M468=$B468))</f>
        <v/>
      </c>
      <c r="AZ468" s="4">
        <f>IF(OR($B468="",M468=""),"",IF($B468=1,--(M468=1),""))</f>
        <v/>
      </c>
      <c r="BA468" s="4">
        <f>IF(OR($B468="",M468=""),"",IF($B468=0,--(M468=0),""))</f>
        <v/>
      </c>
      <c r="BB468" s="4">
        <f>IF(M468="","",--(M468=1))</f>
        <v/>
      </c>
      <c r="BC468" s="4">
        <f>IF(OR($B468="",N468=""),"",--(N468=$B468))</f>
        <v/>
      </c>
      <c r="BD468" s="4">
        <f>IF(OR($B468="",N468=""),"",IF($B468=1,--(N468=1),""))</f>
        <v/>
      </c>
      <c r="BE468" s="4">
        <f>IF(OR($B468="",N468=""),"",IF($B468=0,--(N468=0),""))</f>
        <v/>
      </c>
      <c r="BF468" s="4">
        <f>IF(N468="","",--(N468=1))</f>
        <v/>
      </c>
    </row>
    <row r="469">
      <c r="A469" s="3" t="inlineStr">
        <is>
          <t>2023107549</t>
        </is>
      </c>
      <c r="B469" s="3" t="inlineStr">
        <is>
          <t>1</t>
        </is>
      </c>
      <c r="C469" s="3" t="inlineStr">
        <is>
          <t>Direct</t>
        </is>
      </c>
      <c r="D469" s="3" t="inlineStr">
        <is>
          <t>0</t>
        </is>
      </c>
      <c r="E469" s="3" t="inlineStr">
        <is>
          <t>1</t>
        </is>
      </c>
      <c r="F469" s="3" t="inlineStr">
        <is>
          <t>0</t>
        </is>
      </c>
      <c r="G469" s="3" t="inlineStr">
        <is>
          <t>0</t>
        </is>
      </c>
      <c r="H469" s="3" t="inlineStr">
        <is>
          <t>1</t>
        </is>
      </c>
      <c r="I469" s="3" t="inlineStr">
        <is>
          <t>0</t>
        </is>
      </c>
      <c r="J469" s="3" t="inlineStr">
        <is>
          <t>0</t>
        </is>
      </c>
      <c r="K469" s="3" t="inlineStr">
        <is>
          <t>1</t>
        </is>
      </c>
      <c r="L469" s="3" t="inlineStr">
        <is>
          <t>1</t>
        </is>
      </c>
      <c r="M469" s="3" t="inlineStr">
        <is>
          <t>1</t>
        </is>
      </c>
      <c r="N469" s="3" t="inlineStr">
        <is>
          <t>1</t>
        </is>
      </c>
      <c r="O469" s="4">
        <f>IF(OR($B469="",D469=""),"",--(D469=$B469))</f>
        <v/>
      </c>
      <c r="P469" s="4">
        <f>IF(OR($B469="",D469=""),"",IF($B469=1,--(D469=1),""))</f>
        <v/>
      </c>
      <c r="Q469" s="4">
        <f>IF(OR($B469="",D469=""),"",IF($B469=0,--(D469=0),""))</f>
        <v/>
      </c>
      <c r="R469" s="4">
        <f>IF(D469="","",--(D469=1))</f>
        <v/>
      </c>
      <c r="S469" s="4">
        <f>IF(OR($B469="",E469=""),"",--(E469=$B469))</f>
        <v/>
      </c>
      <c r="T469" s="4">
        <f>IF(OR($B469="",E469=""),"",IF($B469=1,--(E469=1),""))</f>
        <v/>
      </c>
      <c r="U469" s="4">
        <f>IF(OR($B469="",E469=""),"",IF($B469=0,--(E469=0),""))</f>
        <v/>
      </c>
      <c r="V469" s="4">
        <f>IF(E469="","",--(E469=1))</f>
        <v/>
      </c>
      <c r="W469" s="4">
        <f>IF(OR($B469="",F469=""),"",--(F469=$B469))</f>
        <v/>
      </c>
      <c r="X469" s="4">
        <f>IF(OR($B469="",F469=""),"",IF($B469=1,--(F469=1),""))</f>
        <v/>
      </c>
      <c r="Y469" s="4">
        <f>IF(OR($B469="",F469=""),"",IF($B469=0,--(F469=0),""))</f>
        <v/>
      </c>
      <c r="Z469" s="4">
        <f>IF(F469="","",--(F469=1))</f>
        <v/>
      </c>
      <c r="AA469" s="4">
        <f>IF(OR($B469="",G469=""),"",--(G469=$B469))</f>
        <v/>
      </c>
      <c r="AB469" s="4">
        <f>IF(OR($B469="",G469=""),"",IF($B469=1,--(G469=1),""))</f>
        <v/>
      </c>
      <c r="AC469" s="4">
        <f>IF(OR($B469="",G469=""),"",IF($B469=0,--(G469=0),""))</f>
        <v/>
      </c>
      <c r="AD469" s="4">
        <f>IF(G469="","",--(G469=1))</f>
        <v/>
      </c>
      <c r="AE469" s="4">
        <f>IF(OR($B469="",H469=""),"",--(H469=$B469))</f>
        <v/>
      </c>
      <c r="AF469" s="4">
        <f>IF(OR($B469="",H469=""),"",IF($B469=1,--(H469=1),""))</f>
        <v/>
      </c>
      <c r="AG469" s="4">
        <f>IF(OR($B469="",H469=""),"",IF($B469=0,--(H469=0),""))</f>
        <v/>
      </c>
      <c r="AH469" s="4">
        <f>IF(H469="","",--(H469=1))</f>
        <v/>
      </c>
      <c r="AI469" s="4">
        <f>IF(OR($B469="",I469=""),"",--(I469=$B469))</f>
        <v/>
      </c>
      <c r="AJ469" s="4">
        <f>IF(OR($B469="",I469=""),"",IF($B469=1,--(I469=1),""))</f>
        <v/>
      </c>
      <c r="AK469" s="4">
        <f>IF(OR($B469="",I469=""),"",IF($B469=0,--(I469=0),""))</f>
        <v/>
      </c>
      <c r="AL469" s="4">
        <f>IF(I469="","",--(I469=1))</f>
        <v/>
      </c>
      <c r="AM469" s="4">
        <f>IF(OR($B469="",J469=""),"",--(J469=$B469))</f>
        <v/>
      </c>
      <c r="AN469" s="4">
        <f>IF(OR($B469="",J469=""),"",IF($B469=1,--(J469=1),""))</f>
        <v/>
      </c>
      <c r="AO469" s="4">
        <f>IF(OR($B469="",J469=""),"",IF($B469=0,--(J469=0),""))</f>
        <v/>
      </c>
      <c r="AP469" s="4">
        <f>IF(J469="","",--(J469=1))</f>
        <v/>
      </c>
      <c r="AQ469" s="4">
        <f>IF(OR($B469="",K469=""),"",--(K469=$B469))</f>
        <v/>
      </c>
      <c r="AR469" s="4">
        <f>IF(OR($B469="",K469=""),"",IF($B469=1,--(K469=1),""))</f>
        <v/>
      </c>
      <c r="AS469" s="4">
        <f>IF(OR($B469="",K469=""),"",IF($B469=0,--(K469=0),""))</f>
        <v/>
      </c>
      <c r="AT469" s="4">
        <f>IF(K469="","",--(K469=1))</f>
        <v/>
      </c>
      <c r="AU469" s="4">
        <f>IF(OR($B469="",L469=""),"",--(L469=$B469))</f>
        <v/>
      </c>
      <c r="AV469" s="4">
        <f>IF(OR($B469="",L469=""),"",IF($B469=1,--(L469=1),""))</f>
        <v/>
      </c>
      <c r="AW469" s="4">
        <f>IF(OR($B469="",L469=""),"",IF($B469=0,--(L469=0),""))</f>
        <v/>
      </c>
      <c r="AX469" s="4">
        <f>IF(L469="","",--(L469=1))</f>
        <v/>
      </c>
      <c r="AY469" s="4">
        <f>IF(OR($B469="",M469=""),"",--(M469=$B469))</f>
        <v/>
      </c>
      <c r="AZ469" s="4">
        <f>IF(OR($B469="",M469=""),"",IF($B469=1,--(M469=1),""))</f>
        <v/>
      </c>
      <c r="BA469" s="4">
        <f>IF(OR($B469="",M469=""),"",IF($B469=0,--(M469=0),""))</f>
        <v/>
      </c>
      <c r="BB469" s="4">
        <f>IF(M469="","",--(M469=1))</f>
        <v/>
      </c>
      <c r="BC469" s="4">
        <f>IF(OR($B469="",N469=""),"",--(N469=$B469))</f>
        <v/>
      </c>
      <c r="BD469" s="4">
        <f>IF(OR($B469="",N469=""),"",IF($B469=1,--(N469=1),""))</f>
        <v/>
      </c>
      <c r="BE469" s="4">
        <f>IF(OR($B469="",N469=""),"",IF($B469=0,--(N469=0),""))</f>
        <v/>
      </c>
      <c r="BF469" s="4">
        <f>IF(N469="","",--(N469=1))</f>
        <v/>
      </c>
    </row>
    <row r="470">
      <c r="A470" s="3" t="inlineStr">
        <is>
          <t>2023108622</t>
        </is>
      </c>
      <c r="B470" s="3" t="inlineStr">
        <is>
          <t>0</t>
        </is>
      </c>
      <c r="C470" s="3" t="inlineStr">
        <is>
          <t>Direct</t>
        </is>
      </c>
      <c r="D470" s="3" t="inlineStr">
        <is>
          <t>1</t>
        </is>
      </c>
      <c r="E470" s="3" t="inlineStr">
        <is>
          <t>0</t>
        </is>
      </c>
      <c r="F470" s="3" t="inlineStr">
        <is>
          <t>0</t>
        </is>
      </c>
      <c r="G470" s="3" t="inlineStr">
        <is>
          <t>0</t>
        </is>
      </c>
      <c r="H470" s="3" t="inlineStr">
        <is>
          <t>1</t>
        </is>
      </c>
      <c r="I470" s="3" t="inlineStr">
        <is>
          <t>0</t>
        </is>
      </c>
      <c r="J470" s="3" t="inlineStr">
        <is>
          <t>1</t>
        </is>
      </c>
      <c r="K470" s="3" t="inlineStr">
        <is>
          <t>1</t>
        </is>
      </c>
      <c r="L470" s="3" t="inlineStr">
        <is>
          <t>1</t>
        </is>
      </c>
      <c r="M470" s="3" t="inlineStr">
        <is>
          <t>1</t>
        </is>
      </c>
      <c r="N470" s="3" t="inlineStr">
        <is>
          <t>1</t>
        </is>
      </c>
      <c r="O470" s="4">
        <f>IF(OR($B470="",D470=""),"",--(D470=$B470))</f>
        <v/>
      </c>
      <c r="P470" s="4">
        <f>IF(OR($B470="",D470=""),"",IF($B470=1,--(D470=1),""))</f>
        <v/>
      </c>
      <c r="Q470" s="4">
        <f>IF(OR($B470="",D470=""),"",IF($B470=0,--(D470=0),""))</f>
        <v/>
      </c>
      <c r="R470" s="4">
        <f>IF(D470="","",--(D470=1))</f>
        <v/>
      </c>
      <c r="S470" s="4">
        <f>IF(OR($B470="",E470=""),"",--(E470=$B470))</f>
        <v/>
      </c>
      <c r="T470" s="4">
        <f>IF(OR($B470="",E470=""),"",IF($B470=1,--(E470=1),""))</f>
        <v/>
      </c>
      <c r="U470" s="4">
        <f>IF(OR($B470="",E470=""),"",IF($B470=0,--(E470=0),""))</f>
        <v/>
      </c>
      <c r="V470" s="4">
        <f>IF(E470="","",--(E470=1))</f>
        <v/>
      </c>
      <c r="W470" s="4">
        <f>IF(OR($B470="",F470=""),"",--(F470=$B470))</f>
        <v/>
      </c>
      <c r="X470" s="4">
        <f>IF(OR($B470="",F470=""),"",IF($B470=1,--(F470=1),""))</f>
        <v/>
      </c>
      <c r="Y470" s="4">
        <f>IF(OR($B470="",F470=""),"",IF($B470=0,--(F470=0),""))</f>
        <v/>
      </c>
      <c r="Z470" s="4">
        <f>IF(F470="","",--(F470=1))</f>
        <v/>
      </c>
      <c r="AA470" s="4">
        <f>IF(OR($B470="",G470=""),"",--(G470=$B470))</f>
        <v/>
      </c>
      <c r="AB470" s="4">
        <f>IF(OR($B470="",G470=""),"",IF($B470=1,--(G470=1),""))</f>
        <v/>
      </c>
      <c r="AC470" s="4">
        <f>IF(OR($B470="",G470=""),"",IF($B470=0,--(G470=0),""))</f>
        <v/>
      </c>
      <c r="AD470" s="4">
        <f>IF(G470="","",--(G470=1))</f>
        <v/>
      </c>
      <c r="AE470" s="4">
        <f>IF(OR($B470="",H470=""),"",--(H470=$B470))</f>
        <v/>
      </c>
      <c r="AF470" s="4">
        <f>IF(OR($B470="",H470=""),"",IF($B470=1,--(H470=1),""))</f>
        <v/>
      </c>
      <c r="AG470" s="4">
        <f>IF(OR($B470="",H470=""),"",IF($B470=0,--(H470=0),""))</f>
        <v/>
      </c>
      <c r="AH470" s="4">
        <f>IF(H470="","",--(H470=1))</f>
        <v/>
      </c>
      <c r="AI470" s="4">
        <f>IF(OR($B470="",I470=""),"",--(I470=$B470))</f>
        <v/>
      </c>
      <c r="AJ470" s="4">
        <f>IF(OR($B470="",I470=""),"",IF($B470=1,--(I470=1),""))</f>
        <v/>
      </c>
      <c r="AK470" s="4">
        <f>IF(OR($B470="",I470=""),"",IF($B470=0,--(I470=0),""))</f>
        <v/>
      </c>
      <c r="AL470" s="4">
        <f>IF(I470="","",--(I470=1))</f>
        <v/>
      </c>
      <c r="AM470" s="4">
        <f>IF(OR($B470="",J470=""),"",--(J470=$B470))</f>
        <v/>
      </c>
      <c r="AN470" s="4">
        <f>IF(OR($B470="",J470=""),"",IF($B470=1,--(J470=1),""))</f>
        <v/>
      </c>
      <c r="AO470" s="4">
        <f>IF(OR($B470="",J470=""),"",IF($B470=0,--(J470=0),""))</f>
        <v/>
      </c>
      <c r="AP470" s="4">
        <f>IF(J470="","",--(J470=1))</f>
        <v/>
      </c>
      <c r="AQ470" s="4">
        <f>IF(OR($B470="",K470=""),"",--(K470=$B470))</f>
        <v/>
      </c>
      <c r="AR470" s="4">
        <f>IF(OR($B470="",K470=""),"",IF($B470=1,--(K470=1),""))</f>
        <v/>
      </c>
      <c r="AS470" s="4">
        <f>IF(OR($B470="",K470=""),"",IF($B470=0,--(K470=0),""))</f>
        <v/>
      </c>
      <c r="AT470" s="4">
        <f>IF(K470="","",--(K470=1))</f>
        <v/>
      </c>
      <c r="AU470" s="4">
        <f>IF(OR($B470="",L470=""),"",--(L470=$B470))</f>
        <v/>
      </c>
      <c r="AV470" s="4">
        <f>IF(OR($B470="",L470=""),"",IF($B470=1,--(L470=1),""))</f>
        <v/>
      </c>
      <c r="AW470" s="4">
        <f>IF(OR($B470="",L470=""),"",IF($B470=0,--(L470=0),""))</f>
        <v/>
      </c>
      <c r="AX470" s="4">
        <f>IF(L470="","",--(L470=1))</f>
        <v/>
      </c>
      <c r="AY470" s="4">
        <f>IF(OR($B470="",M470=""),"",--(M470=$B470))</f>
        <v/>
      </c>
      <c r="AZ470" s="4">
        <f>IF(OR($B470="",M470=""),"",IF($B470=1,--(M470=1),""))</f>
        <v/>
      </c>
      <c r="BA470" s="4">
        <f>IF(OR($B470="",M470=""),"",IF($B470=0,--(M470=0),""))</f>
        <v/>
      </c>
      <c r="BB470" s="4">
        <f>IF(M470="","",--(M470=1))</f>
        <v/>
      </c>
      <c r="BC470" s="4">
        <f>IF(OR($B470="",N470=""),"",--(N470=$B470))</f>
        <v/>
      </c>
      <c r="BD470" s="4">
        <f>IF(OR($B470="",N470=""),"",IF($B470=1,--(N470=1),""))</f>
        <v/>
      </c>
      <c r="BE470" s="4">
        <f>IF(OR($B470="",N470=""),"",IF($B470=0,--(N470=0),""))</f>
        <v/>
      </c>
      <c r="BF470" s="4">
        <f>IF(N470="","",--(N470=1))</f>
        <v/>
      </c>
    </row>
    <row r="471">
      <c r="A471" s="3" t="inlineStr">
        <is>
          <t>202311924</t>
        </is>
      </c>
      <c r="B471" s="3" t="inlineStr">
        <is>
          <t>1</t>
        </is>
      </c>
      <c r="C471" s="3" t="inlineStr">
        <is>
          <t>Direct</t>
        </is>
      </c>
      <c r="D471" s="3" t="inlineStr">
        <is>
          <t>1</t>
        </is>
      </c>
      <c r="E471" s="3" t="inlineStr">
        <is>
          <t>0</t>
        </is>
      </c>
      <c r="F471" s="3" t="inlineStr">
        <is>
          <t>0</t>
        </is>
      </c>
      <c r="G471" s="3" t="inlineStr">
        <is>
          <t>0</t>
        </is>
      </c>
      <c r="H471" s="3" t="inlineStr">
        <is>
          <t>1</t>
        </is>
      </c>
      <c r="I471" s="3" t="inlineStr">
        <is>
          <t>1</t>
        </is>
      </c>
      <c r="J471" s="3" t="inlineStr">
        <is>
          <t>1</t>
        </is>
      </c>
      <c r="K471" s="3" t="inlineStr">
        <is>
          <t>1</t>
        </is>
      </c>
      <c r="L471" s="3" t="inlineStr">
        <is>
          <t>1</t>
        </is>
      </c>
      <c r="M471" s="3" t="inlineStr">
        <is>
          <t>1</t>
        </is>
      </c>
      <c r="N471" s="3" t="inlineStr">
        <is>
          <t>1</t>
        </is>
      </c>
      <c r="O471" s="4">
        <f>IF(OR($B471="",D471=""),"",--(D471=$B471))</f>
        <v/>
      </c>
      <c r="P471" s="4">
        <f>IF(OR($B471="",D471=""),"",IF($B471=1,--(D471=1),""))</f>
        <v/>
      </c>
      <c r="Q471" s="4">
        <f>IF(OR($B471="",D471=""),"",IF($B471=0,--(D471=0),""))</f>
        <v/>
      </c>
      <c r="R471" s="4">
        <f>IF(D471="","",--(D471=1))</f>
        <v/>
      </c>
      <c r="S471" s="4">
        <f>IF(OR($B471="",E471=""),"",--(E471=$B471))</f>
        <v/>
      </c>
      <c r="T471" s="4">
        <f>IF(OR($B471="",E471=""),"",IF($B471=1,--(E471=1),""))</f>
        <v/>
      </c>
      <c r="U471" s="4">
        <f>IF(OR($B471="",E471=""),"",IF($B471=0,--(E471=0),""))</f>
        <v/>
      </c>
      <c r="V471" s="4">
        <f>IF(E471="","",--(E471=1))</f>
        <v/>
      </c>
      <c r="W471" s="4">
        <f>IF(OR($B471="",F471=""),"",--(F471=$B471))</f>
        <v/>
      </c>
      <c r="X471" s="4">
        <f>IF(OR($B471="",F471=""),"",IF($B471=1,--(F471=1),""))</f>
        <v/>
      </c>
      <c r="Y471" s="4">
        <f>IF(OR($B471="",F471=""),"",IF($B471=0,--(F471=0),""))</f>
        <v/>
      </c>
      <c r="Z471" s="4">
        <f>IF(F471="","",--(F471=1))</f>
        <v/>
      </c>
      <c r="AA471" s="4">
        <f>IF(OR($B471="",G471=""),"",--(G471=$B471))</f>
        <v/>
      </c>
      <c r="AB471" s="4">
        <f>IF(OR($B471="",G471=""),"",IF($B471=1,--(G471=1),""))</f>
        <v/>
      </c>
      <c r="AC471" s="4">
        <f>IF(OR($B471="",G471=""),"",IF($B471=0,--(G471=0),""))</f>
        <v/>
      </c>
      <c r="AD471" s="4">
        <f>IF(G471="","",--(G471=1))</f>
        <v/>
      </c>
      <c r="AE471" s="4">
        <f>IF(OR($B471="",H471=""),"",--(H471=$B471))</f>
        <v/>
      </c>
      <c r="AF471" s="4">
        <f>IF(OR($B471="",H471=""),"",IF($B471=1,--(H471=1),""))</f>
        <v/>
      </c>
      <c r="AG471" s="4">
        <f>IF(OR($B471="",H471=""),"",IF($B471=0,--(H471=0),""))</f>
        <v/>
      </c>
      <c r="AH471" s="4">
        <f>IF(H471="","",--(H471=1))</f>
        <v/>
      </c>
      <c r="AI471" s="4">
        <f>IF(OR($B471="",I471=""),"",--(I471=$B471))</f>
        <v/>
      </c>
      <c r="AJ471" s="4">
        <f>IF(OR($B471="",I471=""),"",IF($B471=1,--(I471=1),""))</f>
        <v/>
      </c>
      <c r="AK471" s="4">
        <f>IF(OR($B471="",I471=""),"",IF($B471=0,--(I471=0),""))</f>
        <v/>
      </c>
      <c r="AL471" s="4">
        <f>IF(I471="","",--(I471=1))</f>
        <v/>
      </c>
      <c r="AM471" s="4">
        <f>IF(OR($B471="",J471=""),"",--(J471=$B471))</f>
        <v/>
      </c>
      <c r="AN471" s="4">
        <f>IF(OR($B471="",J471=""),"",IF($B471=1,--(J471=1),""))</f>
        <v/>
      </c>
      <c r="AO471" s="4">
        <f>IF(OR($B471="",J471=""),"",IF($B471=0,--(J471=0),""))</f>
        <v/>
      </c>
      <c r="AP471" s="4">
        <f>IF(J471="","",--(J471=1))</f>
        <v/>
      </c>
      <c r="AQ471" s="4">
        <f>IF(OR($B471="",K471=""),"",--(K471=$B471))</f>
        <v/>
      </c>
      <c r="AR471" s="4">
        <f>IF(OR($B471="",K471=""),"",IF($B471=1,--(K471=1),""))</f>
        <v/>
      </c>
      <c r="AS471" s="4">
        <f>IF(OR($B471="",K471=""),"",IF($B471=0,--(K471=0),""))</f>
        <v/>
      </c>
      <c r="AT471" s="4">
        <f>IF(K471="","",--(K471=1))</f>
        <v/>
      </c>
      <c r="AU471" s="4">
        <f>IF(OR($B471="",L471=""),"",--(L471=$B471))</f>
        <v/>
      </c>
      <c r="AV471" s="4">
        <f>IF(OR($B471="",L471=""),"",IF($B471=1,--(L471=1),""))</f>
        <v/>
      </c>
      <c r="AW471" s="4">
        <f>IF(OR($B471="",L471=""),"",IF($B471=0,--(L471=0),""))</f>
        <v/>
      </c>
      <c r="AX471" s="4">
        <f>IF(L471="","",--(L471=1))</f>
        <v/>
      </c>
      <c r="AY471" s="4">
        <f>IF(OR($B471="",M471=""),"",--(M471=$B471))</f>
        <v/>
      </c>
      <c r="AZ471" s="4">
        <f>IF(OR($B471="",M471=""),"",IF($B471=1,--(M471=1),""))</f>
        <v/>
      </c>
      <c r="BA471" s="4">
        <f>IF(OR($B471="",M471=""),"",IF($B471=0,--(M471=0),""))</f>
        <v/>
      </c>
      <c r="BB471" s="4">
        <f>IF(M471="","",--(M471=1))</f>
        <v/>
      </c>
      <c r="BC471" s="4">
        <f>IF(OR($B471="",N471=""),"",--(N471=$B471))</f>
        <v/>
      </c>
      <c r="BD471" s="4">
        <f>IF(OR($B471="",N471=""),"",IF($B471=1,--(N471=1),""))</f>
        <v/>
      </c>
      <c r="BE471" s="4">
        <f>IF(OR($B471="",N471=""),"",IF($B471=0,--(N471=0),""))</f>
        <v/>
      </c>
      <c r="BF471" s="4">
        <f>IF(N471="","",--(N471=1))</f>
        <v/>
      </c>
    </row>
    <row r="472">
      <c r="A472" s="3" t="inlineStr">
        <is>
          <t>202312218</t>
        </is>
      </c>
      <c r="B472" s="3" t="inlineStr">
        <is>
          <t>1</t>
        </is>
      </c>
      <c r="C472" s="3" t="inlineStr">
        <is>
          <t>Direct</t>
        </is>
      </c>
      <c r="D472" s="3" t="inlineStr">
        <is>
          <t>1</t>
        </is>
      </c>
      <c r="E472" s="3" t="inlineStr">
        <is>
          <t>1</t>
        </is>
      </c>
      <c r="F472" s="3" t="inlineStr">
        <is>
          <t>0</t>
        </is>
      </c>
      <c r="G472" s="3" t="inlineStr">
        <is>
          <t>1</t>
        </is>
      </c>
      <c r="H472" s="3" t="inlineStr">
        <is>
          <t>1</t>
        </is>
      </c>
      <c r="I472" s="3" t="inlineStr">
        <is>
          <t>0</t>
        </is>
      </c>
      <c r="J472" s="3" t="inlineStr">
        <is>
          <t>0</t>
        </is>
      </c>
      <c r="K472" s="3" t="inlineStr">
        <is>
          <t>1</t>
        </is>
      </c>
      <c r="L472" s="3" t="inlineStr">
        <is>
          <t>1</t>
        </is>
      </c>
      <c r="M472" s="3" t="inlineStr">
        <is>
          <t>1</t>
        </is>
      </c>
      <c r="N472" s="3" t="inlineStr">
        <is>
          <t>1</t>
        </is>
      </c>
      <c r="O472" s="4">
        <f>IF(OR($B472="",D472=""),"",--(D472=$B472))</f>
        <v/>
      </c>
      <c r="P472" s="4">
        <f>IF(OR($B472="",D472=""),"",IF($B472=1,--(D472=1),""))</f>
        <v/>
      </c>
      <c r="Q472" s="4">
        <f>IF(OR($B472="",D472=""),"",IF($B472=0,--(D472=0),""))</f>
        <v/>
      </c>
      <c r="R472" s="4">
        <f>IF(D472="","",--(D472=1))</f>
        <v/>
      </c>
      <c r="S472" s="4">
        <f>IF(OR($B472="",E472=""),"",--(E472=$B472))</f>
        <v/>
      </c>
      <c r="T472" s="4">
        <f>IF(OR($B472="",E472=""),"",IF($B472=1,--(E472=1),""))</f>
        <v/>
      </c>
      <c r="U472" s="4">
        <f>IF(OR($B472="",E472=""),"",IF($B472=0,--(E472=0),""))</f>
        <v/>
      </c>
      <c r="V472" s="4">
        <f>IF(E472="","",--(E472=1))</f>
        <v/>
      </c>
      <c r="W472" s="4">
        <f>IF(OR($B472="",F472=""),"",--(F472=$B472))</f>
        <v/>
      </c>
      <c r="X472" s="4">
        <f>IF(OR($B472="",F472=""),"",IF($B472=1,--(F472=1),""))</f>
        <v/>
      </c>
      <c r="Y472" s="4">
        <f>IF(OR($B472="",F472=""),"",IF($B472=0,--(F472=0),""))</f>
        <v/>
      </c>
      <c r="Z472" s="4">
        <f>IF(F472="","",--(F472=1))</f>
        <v/>
      </c>
      <c r="AA472" s="4">
        <f>IF(OR($B472="",G472=""),"",--(G472=$B472))</f>
        <v/>
      </c>
      <c r="AB472" s="4">
        <f>IF(OR($B472="",G472=""),"",IF($B472=1,--(G472=1),""))</f>
        <v/>
      </c>
      <c r="AC472" s="4">
        <f>IF(OR($B472="",G472=""),"",IF($B472=0,--(G472=0),""))</f>
        <v/>
      </c>
      <c r="AD472" s="4">
        <f>IF(G472="","",--(G472=1))</f>
        <v/>
      </c>
      <c r="AE472" s="4">
        <f>IF(OR($B472="",H472=""),"",--(H472=$B472))</f>
        <v/>
      </c>
      <c r="AF472" s="4">
        <f>IF(OR($B472="",H472=""),"",IF($B472=1,--(H472=1),""))</f>
        <v/>
      </c>
      <c r="AG472" s="4">
        <f>IF(OR($B472="",H472=""),"",IF($B472=0,--(H472=0),""))</f>
        <v/>
      </c>
      <c r="AH472" s="4">
        <f>IF(H472="","",--(H472=1))</f>
        <v/>
      </c>
      <c r="AI472" s="4">
        <f>IF(OR($B472="",I472=""),"",--(I472=$B472))</f>
        <v/>
      </c>
      <c r="AJ472" s="4">
        <f>IF(OR($B472="",I472=""),"",IF($B472=1,--(I472=1),""))</f>
        <v/>
      </c>
      <c r="AK472" s="4">
        <f>IF(OR($B472="",I472=""),"",IF($B472=0,--(I472=0),""))</f>
        <v/>
      </c>
      <c r="AL472" s="4">
        <f>IF(I472="","",--(I472=1))</f>
        <v/>
      </c>
      <c r="AM472" s="4">
        <f>IF(OR($B472="",J472=""),"",--(J472=$B472))</f>
        <v/>
      </c>
      <c r="AN472" s="4">
        <f>IF(OR($B472="",J472=""),"",IF($B472=1,--(J472=1),""))</f>
        <v/>
      </c>
      <c r="AO472" s="4">
        <f>IF(OR($B472="",J472=""),"",IF($B472=0,--(J472=0),""))</f>
        <v/>
      </c>
      <c r="AP472" s="4">
        <f>IF(J472="","",--(J472=1))</f>
        <v/>
      </c>
      <c r="AQ472" s="4">
        <f>IF(OR($B472="",K472=""),"",--(K472=$B472))</f>
        <v/>
      </c>
      <c r="AR472" s="4">
        <f>IF(OR($B472="",K472=""),"",IF($B472=1,--(K472=1),""))</f>
        <v/>
      </c>
      <c r="AS472" s="4">
        <f>IF(OR($B472="",K472=""),"",IF($B472=0,--(K472=0),""))</f>
        <v/>
      </c>
      <c r="AT472" s="4">
        <f>IF(K472="","",--(K472=1))</f>
        <v/>
      </c>
      <c r="AU472" s="4">
        <f>IF(OR($B472="",L472=""),"",--(L472=$B472))</f>
        <v/>
      </c>
      <c r="AV472" s="4">
        <f>IF(OR($B472="",L472=""),"",IF($B472=1,--(L472=1),""))</f>
        <v/>
      </c>
      <c r="AW472" s="4">
        <f>IF(OR($B472="",L472=""),"",IF($B472=0,--(L472=0),""))</f>
        <v/>
      </c>
      <c r="AX472" s="4">
        <f>IF(L472="","",--(L472=1))</f>
        <v/>
      </c>
      <c r="AY472" s="4">
        <f>IF(OR($B472="",M472=""),"",--(M472=$B472))</f>
        <v/>
      </c>
      <c r="AZ472" s="4">
        <f>IF(OR($B472="",M472=""),"",IF($B472=1,--(M472=1),""))</f>
        <v/>
      </c>
      <c r="BA472" s="4">
        <f>IF(OR($B472="",M472=""),"",IF($B472=0,--(M472=0),""))</f>
        <v/>
      </c>
      <c r="BB472" s="4">
        <f>IF(M472="","",--(M472=1))</f>
        <v/>
      </c>
      <c r="BC472" s="4">
        <f>IF(OR($B472="",N472=""),"",--(N472=$B472))</f>
        <v/>
      </c>
      <c r="BD472" s="4">
        <f>IF(OR($B472="",N472=""),"",IF($B472=1,--(N472=1),""))</f>
        <v/>
      </c>
      <c r="BE472" s="4">
        <f>IF(OR($B472="",N472=""),"",IF($B472=0,--(N472=0),""))</f>
        <v/>
      </c>
      <c r="BF472" s="4">
        <f>IF(N472="","",--(N472=1))</f>
        <v/>
      </c>
    </row>
    <row r="473">
      <c r="A473" s="3" t="inlineStr">
        <is>
          <t>20231270</t>
        </is>
      </c>
      <c r="B473" s="3" t="inlineStr">
        <is>
          <t>1</t>
        </is>
      </c>
      <c r="C473" s="3" t="inlineStr">
        <is>
          <t>Direct</t>
        </is>
      </c>
      <c r="D473" s="3" t="inlineStr">
        <is>
          <t>1</t>
        </is>
      </c>
      <c r="E473" s="3" t="inlineStr">
        <is>
          <t>1</t>
        </is>
      </c>
      <c r="F473" s="3" t="inlineStr">
        <is>
          <t>0</t>
        </is>
      </c>
      <c r="G473" s="3" t="inlineStr">
        <is>
          <t>0</t>
        </is>
      </c>
      <c r="H473" s="3" t="inlineStr">
        <is>
          <t>1</t>
        </is>
      </c>
      <c r="I473" s="3" t="inlineStr">
        <is>
          <t>1</t>
        </is>
      </c>
      <c r="J473" s="3" t="inlineStr">
        <is>
          <t>1</t>
        </is>
      </c>
      <c r="K473" s="3" t="inlineStr">
        <is>
          <t>1</t>
        </is>
      </c>
      <c r="L473" s="3" t="inlineStr">
        <is>
          <t>1</t>
        </is>
      </c>
      <c r="M473" s="3" t="inlineStr">
        <is>
          <t>1</t>
        </is>
      </c>
      <c r="N473" s="3" t="inlineStr">
        <is>
          <t>1</t>
        </is>
      </c>
      <c r="O473" s="4">
        <f>IF(OR($B473="",D473=""),"",--(D473=$B473))</f>
        <v/>
      </c>
      <c r="P473" s="4">
        <f>IF(OR($B473="",D473=""),"",IF($B473=1,--(D473=1),""))</f>
        <v/>
      </c>
      <c r="Q473" s="4">
        <f>IF(OR($B473="",D473=""),"",IF($B473=0,--(D473=0),""))</f>
        <v/>
      </c>
      <c r="R473" s="4">
        <f>IF(D473="","",--(D473=1))</f>
        <v/>
      </c>
      <c r="S473" s="4">
        <f>IF(OR($B473="",E473=""),"",--(E473=$B473))</f>
        <v/>
      </c>
      <c r="T473" s="4">
        <f>IF(OR($B473="",E473=""),"",IF($B473=1,--(E473=1),""))</f>
        <v/>
      </c>
      <c r="U473" s="4">
        <f>IF(OR($B473="",E473=""),"",IF($B473=0,--(E473=0),""))</f>
        <v/>
      </c>
      <c r="V473" s="4">
        <f>IF(E473="","",--(E473=1))</f>
        <v/>
      </c>
      <c r="W473" s="4">
        <f>IF(OR($B473="",F473=""),"",--(F473=$B473))</f>
        <v/>
      </c>
      <c r="X473" s="4">
        <f>IF(OR($B473="",F473=""),"",IF($B473=1,--(F473=1),""))</f>
        <v/>
      </c>
      <c r="Y473" s="4">
        <f>IF(OR($B473="",F473=""),"",IF($B473=0,--(F473=0),""))</f>
        <v/>
      </c>
      <c r="Z473" s="4">
        <f>IF(F473="","",--(F473=1))</f>
        <v/>
      </c>
      <c r="AA473" s="4">
        <f>IF(OR($B473="",G473=""),"",--(G473=$B473))</f>
        <v/>
      </c>
      <c r="AB473" s="4">
        <f>IF(OR($B473="",G473=""),"",IF($B473=1,--(G473=1),""))</f>
        <v/>
      </c>
      <c r="AC473" s="4">
        <f>IF(OR($B473="",G473=""),"",IF($B473=0,--(G473=0),""))</f>
        <v/>
      </c>
      <c r="AD473" s="4">
        <f>IF(G473="","",--(G473=1))</f>
        <v/>
      </c>
      <c r="AE473" s="4">
        <f>IF(OR($B473="",H473=""),"",--(H473=$B473))</f>
        <v/>
      </c>
      <c r="AF473" s="4">
        <f>IF(OR($B473="",H473=""),"",IF($B473=1,--(H473=1),""))</f>
        <v/>
      </c>
      <c r="AG473" s="4">
        <f>IF(OR($B473="",H473=""),"",IF($B473=0,--(H473=0),""))</f>
        <v/>
      </c>
      <c r="AH473" s="4">
        <f>IF(H473="","",--(H473=1))</f>
        <v/>
      </c>
      <c r="AI473" s="4">
        <f>IF(OR($B473="",I473=""),"",--(I473=$B473))</f>
        <v/>
      </c>
      <c r="AJ473" s="4">
        <f>IF(OR($B473="",I473=""),"",IF($B473=1,--(I473=1),""))</f>
        <v/>
      </c>
      <c r="AK473" s="4">
        <f>IF(OR($B473="",I473=""),"",IF($B473=0,--(I473=0),""))</f>
        <v/>
      </c>
      <c r="AL473" s="4">
        <f>IF(I473="","",--(I473=1))</f>
        <v/>
      </c>
      <c r="AM473" s="4">
        <f>IF(OR($B473="",J473=""),"",--(J473=$B473))</f>
        <v/>
      </c>
      <c r="AN473" s="4">
        <f>IF(OR($B473="",J473=""),"",IF($B473=1,--(J473=1),""))</f>
        <v/>
      </c>
      <c r="AO473" s="4">
        <f>IF(OR($B473="",J473=""),"",IF($B473=0,--(J473=0),""))</f>
        <v/>
      </c>
      <c r="AP473" s="4">
        <f>IF(J473="","",--(J473=1))</f>
        <v/>
      </c>
      <c r="AQ473" s="4">
        <f>IF(OR($B473="",K473=""),"",--(K473=$B473))</f>
        <v/>
      </c>
      <c r="AR473" s="4">
        <f>IF(OR($B473="",K473=""),"",IF($B473=1,--(K473=1),""))</f>
        <v/>
      </c>
      <c r="AS473" s="4">
        <f>IF(OR($B473="",K473=""),"",IF($B473=0,--(K473=0),""))</f>
        <v/>
      </c>
      <c r="AT473" s="4">
        <f>IF(K473="","",--(K473=1))</f>
        <v/>
      </c>
      <c r="AU473" s="4">
        <f>IF(OR($B473="",L473=""),"",--(L473=$B473))</f>
        <v/>
      </c>
      <c r="AV473" s="4">
        <f>IF(OR($B473="",L473=""),"",IF($B473=1,--(L473=1),""))</f>
        <v/>
      </c>
      <c r="AW473" s="4">
        <f>IF(OR($B473="",L473=""),"",IF($B473=0,--(L473=0),""))</f>
        <v/>
      </c>
      <c r="AX473" s="4">
        <f>IF(L473="","",--(L473=1))</f>
        <v/>
      </c>
      <c r="AY473" s="4">
        <f>IF(OR($B473="",M473=""),"",--(M473=$B473))</f>
        <v/>
      </c>
      <c r="AZ473" s="4">
        <f>IF(OR($B473="",M473=""),"",IF($B473=1,--(M473=1),""))</f>
        <v/>
      </c>
      <c r="BA473" s="4">
        <f>IF(OR($B473="",M473=""),"",IF($B473=0,--(M473=0),""))</f>
        <v/>
      </c>
      <c r="BB473" s="4">
        <f>IF(M473="","",--(M473=1))</f>
        <v/>
      </c>
      <c r="BC473" s="4">
        <f>IF(OR($B473="",N473=""),"",--(N473=$B473))</f>
        <v/>
      </c>
      <c r="BD473" s="4">
        <f>IF(OR($B473="",N473=""),"",IF($B473=1,--(N473=1),""))</f>
        <v/>
      </c>
      <c r="BE473" s="4">
        <f>IF(OR($B473="",N473=""),"",IF($B473=0,--(N473=0),""))</f>
        <v/>
      </c>
      <c r="BF473" s="4">
        <f>IF(N473="","",--(N473=1))</f>
        <v/>
      </c>
    </row>
    <row r="474">
      <c r="A474" s="3" t="inlineStr">
        <is>
          <t>202313525</t>
        </is>
      </c>
      <c r="B474" s="3" t="inlineStr">
        <is>
          <t>1</t>
        </is>
      </c>
      <c r="C474" s="3" t="inlineStr">
        <is>
          <t>Direct</t>
        </is>
      </c>
      <c r="D474" s="3" t="inlineStr">
        <is>
          <t>1</t>
        </is>
      </c>
      <c r="E474" s="3" t="inlineStr">
        <is>
          <t>0</t>
        </is>
      </c>
      <c r="F474" s="3" t="inlineStr">
        <is>
          <t>0</t>
        </is>
      </c>
      <c r="G474" s="3" t="inlineStr">
        <is>
          <t>0</t>
        </is>
      </c>
      <c r="H474" s="3" t="inlineStr">
        <is>
          <t>0</t>
        </is>
      </c>
      <c r="I474" s="3" t="inlineStr">
        <is>
          <t>0</t>
        </is>
      </c>
      <c r="J474" s="3" t="inlineStr">
        <is>
          <t>1</t>
        </is>
      </c>
      <c r="K474" s="3" t="inlineStr">
        <is>
          <t>0</t>
        </is>
      </c>
      <c r="L474" s="3" t="inlineStr">
        <is>
          <t>1</t>
        </is>
      </c>
      <c r="M474" s="3" t="inlineStr">
        <is>
          <t>1</t>
        </is>
      </c>
      <c r="N474" s="3" t="inlineStr">
        <is>
          <t>1</t>
        </is>
      </c>
      <c r="O474" s="4">
        <f>IF(OR($B474="",D474=""),"",--(D474=$B474))</f>
        <v/>
      </c>
      <c r="P474" s="4">
        <f>IF(OR($B474="",D474=""),"",IF($B474=1,--(D474=1),""))</f>
        <v/>
      </c>
      <c r="Q474" s="4">
        <f>IF(OR($B474="",D474=""),"",IF($B474=0,--(D474=0),""))</f>
        <v/>
      </c>
      <c r="R474" s="4">
        <f>IF(D474="","",--(D474=1))</f>
        <v/>
      </c>
      <c r="S474" s="4">
        <f>IF(OR($B474="",E474=""),"",--(E474=$B474))</f>
        <v/>
      </c>
      <c r="T474" s="4">
        <f>IF(OR($B474="",E474=""),"",IF($B474=1,--(E474=1),""))</f>
        <v/>
      </c>
      <c r="U474" s="4">
        <f>IF(OR($B474="",E474=""),"",IF($B474=0,--(E474=0),""))</f>
        <v/>
      </c>
      <c r="V474" s="4">
        <f>IF(E474="","",--(E474=1))</f>
        <v/>
      </c>
      <c r="W474" s="4">
        <f>IF(OR($B474="",F474=""),"",--(F474=$B474))</f>
        <v/>
      </c>
      <c r="X474" s="4">
        <f>IF(OR($B474="",F474=""),"",IF($B474=1,--(F474=1),""))</f>
        <v/>
      </c>
      <c r="Y474" s="4">
        <f>IF(OR($B474="",F474=""),"",IF($B474=0,--(F474=0),""))</f>
        <v/>
      </c>
      <c r="Z474" s="4">
        <f>IF(F474="","",--(F474=1))</f>
        <v/>
      </c>
      <c r="AA474" s="4">
        <f>IF(OR($B474="",G474=""),"",--(G474=$B474))</f>
        <v/>
      </c>
      <c r="AB474" s="4">
        <f>IF(OR($B474="",G474=""),"",IF($B474=1,--(G474=1),""))</f>
        <v/>
      </c>
      <c r="AC474" s="4">
        <f>IF(OR($B474="",G474=""),"",IF($B474=0,--(G474=0),""))</f>
        <v/>
      </c>
      <c r="AD474" s="4">
        <f>IF(G474="","",--(G474=1))</f>
        <v/>
      </c>
      <c r="AE474" s="4">
        <f>IF(OR($B474="",H474=""),"",--(H474=$B474))</f>
        <v/>
      </c>
      <c r="AF474" s="4">
        <f>IF(OR($B474="",H474=""),"",IF($B474=1,--(H474=1),""))</f>
        <v/>
      </c>
      <c r="AG474" s="4">
        <f>IF(OR($B474="",H474=""),"",IF($B474=0,--(H474=0),""))</f>
        <v/>
      </c>
      <c r="AH474" s="4">
        <f>IF(H474="","",--(H474=1))</f>
        <v/>
      </c>
      <c r="AI474" s="4">
        <f>IF(OR($B474="",I474=""),"",--(I474=$B474))</f>
        <v/>
      </c>
      <c r="AJ474" s="4">
        <f>IF(OR($B474="",I474=""),"",IF($B474=1,--(I474=1),""))</f>
        <v/>
      </c>
      <c r="AK474" s="4">
        <f>IF(OR($B474="",I474=""),"",IF($B474=0,--(I474=0),""))</f>
        <v/>
      </c>
      <c r="AL474" s="4">
        <f>IF(I474="","",--(I474=1))</f>
        <v/>
      </c>
      <c r="AM474" s="4">
        <f>IF(OR($B474="",J474=""),"",--(J474=$B474))</f>
        <v/>
      </c>
      <c r="AN474" s="4">
        <f>IF(OR($B474="",J474=""),"",IF($B474=1,--(J474=1),""))</f>
        <v/>
      </c>
      <c r="AO474" s="4">
        <f>IF(OR($B474="",J474=""),"",IF($B474=0,--(J474=0),""))</f>
        <v/>
      </c>
      <c r="AP474" s="4">
        <f>IF(J474="","",--(J474=1))</f>
        <v/>
      </c>
      <c r="AQ474" s="4">
        <f>IF(OR($B474="",K474=""),"",--(K474=$B474))</f>
        <v/>
      </c>
      <c r="AR474" s="4">
        <f>IF(OR($B474="",K474=""),"",IF($B474=1,--(K474=1),""))</f>
        <v/>
      </c>
      <c r="AS474" s="4">
        <f>IF(OR($B474="",K474=""),"",IF($B474=0,--(K474=0),""))</f>
        <v/>
      </c>
      <c r="AT474" s="4">
        <f>IF(K474="","",--(K474=1))</f>
        <v/>
      </c>
      <c r="AU474" s="4">
        <f>IF(OR($B474="",L474=""),"",--(L474=$B474))</f>
        <v/>
      </c>
      <c r="AV474" s="4">
        <f>IF(OR($B474="",L474=""),"",IF($B474=1,--(L474=1),""))</f>
        <v/>
      </c>
      <c r="AW474" s="4">
        <f>IF(OR($B474="",L474=""),"",IF($B474=0,--(L474=0),""))</f>
        <v/>
      </c>
      <c r="AX474" s="4">
        <f>IF(L474="","",--(L474=1))</f>
        <v/>
      </c>
      <c r="AY474" s="4">
        <f>IF(OR($B474="",M474=""),"",--(M474=$B474))</f>
        <v/>
      </c>
      <c r="AZ474" s="4">
        <f>IF(OR($B474="",M474=""),"",IF($B474=1,--(M474=1),""))</f>
        <v/>
      </c>
      <c r="BA474" s="4">
        <f>IF(OR($B474="",M474=""),"",IF($B474=0,--(M474=0),""))</f>
        <v/>
      </c>
      <c r="BB474" s="4">
        <f>IF(M474="","",--(M474=1))</f>
        <v/>
      </c>
      <c r="BC474" s="4">
        <f>IF(OR($B474="",N474=""),"",--(N474=$B474))</f>
        <v/>
      </c>
      <c r="BD474" s="4">
        <f>IF(OR($B474="",N474=""),"",IF($B474=1,--(N474=1),""))</f>
        <v/>
      </c>
      <c r="BE474" s="4">
        <f>IF(OR($B474="",N474=""),"",IF($B474=0,--(N474=0),""))</f>
        <v/>
      </c>
      <c r="BF474" s="4">
        <f>IF(N474="","",--(N474=1))</f>
        <v/>
      </c>
    </row>
    <row r="475">
      <c r="A475" s="3" t="inlineStr">
        <is>
          <t>202315309</t>
        </is>
      </c>
      <c r="B475" s="3" t="inlineStr">
        <is>
          <t>1</t>
        </is>
      </c>
      <c r="C475" s="3" t="inlineStr">
        <is>
          <t>Direct</t>
        </is>
      </c>
      <c r="D475" s="3" t="inlineStr">
        <is>
          <t>1</t>
        </is>
      </c>
      <c r="E475" s="3" t="inlineStr">
        <is>
          <t>1</t>
        </is>
      </c>
      <c r="F475" s="3" t="inlineStr">
        <is>
          <t>0</t>
        </is>
      </c>
      <c r="G475" s="3" t="inlineStr">
        <is>
          <t>0</t>
        </is>
      </c>
      <c r="H475" s="3" t="inlineStr">
        <is>
          <t>1</t>
        </is>
      </c>
      <c r="I475" s="3" t="inlineStr">
        <is>
          <t>0</t>
        </is>
      </c>
      <c r="J475" s="3" t="inlineStr">
        <is>
          <t>0</t>
        </is>
      </c>
      <c r="K475" s="3" t="inlineStr">
        <is>
          <t>1</t>
        </is>
      </c>
      <c r="L475" s="3" t="inlineStr">
        <is>
          <t>1</t>
        </is>
      </c>
      <c r="M475" s="3" t="inlineStr">
        <is>
          <t>1</t>
        </is>
      </c>
      <c r="N475" s="3" t="inlineStr">
        <is>
          <t>1</t>
        </is>
      </c>
      <c r="O475" s="4">
        <f>IF(OR($B475="",D475=""),"",--(D475=$B475))</f>
        <v/>
      </c>
      <c r="P475" s="4">
        <f>IF(OR($B475="",D475=""),"",IF($B475=1,--(D475=1),""))</f>
        <v/>
      </c>
      <c r="Q475" s="4">
        <f>IF(OR($B475="",D475=""),"",IF($B475=0,--(D475=0),""))</f>
        <v/>
      </c>
      <c r="R475" s="4">
        <f>IF(D475="","",--(D475=1))</f>
        <v/>
      </c>
      <c r="S475" s="4">
        <f>IF(OR($B475="",E475=""),"",--(E475=$B475))</f>
        <v/>
      </c>
      <c r="T475" s="4">
        <f>IF(OR($B475="",E475=""),"",IF($B475=1,--(E475=1),""))</f>
        <v/>
      </c>
      <c r="U475" s="4">
        <f>IF(OR($B475="",E475=""),"",IF($B475=0,--(E475=0),""))</f>
        <v/>
      </c>
      <c r="V475" s="4">
        <f>IF(E475="","",--(E475=1))</f>
        <v/>
      </c>
      <c r="W475" s="4">
        <f>IF(OR($B475="",F475=""),"",--(F475=$B475))</f>
        <v/>
      </c>
      <c r="X475" s="4">
        <f>IF(OR($B475="",F475=""),"",IF($B475=1,--(F475=1),""))</f>
        <v/>
      </c>
      <c r="Y475" s="4">
        <f>IF(OR($B475="",F475=""),"",IF($B475=0,--(F475=0),""))</f>
        <v/>
      </c>
      <c r="Z475" s="4">
        <f>IF(F475="","",--(F475=1))</f>
        <v/>
      </c>
      <c r="AA475" s="4">
        <f>IF(OR($B475="",G475=""),"",--(G475=$B475))</f>
        <v/>
      </c>
      <c r="AB475" s="4">
        <f>IF(OR($B475="",G475=""),"",IF($B475=1,--(G475=1),""))</f>
        <v/>
      </c>
      <c r="AC475" s="4">
        <f>IF(OR($B475="",G475=""),"",IF($B475=0,--(G475=0),""))</f>
        <v/>
      </c>
      <c r="AD475" s="4">
        <f>IF(G475="","",--(G475=1))</f>
        <v/>
      </c>
      <c r="AE475" s="4">
        <f>IF(OR($B475="",H475=""),"",--(H475=$B475))</f>
        <v/>
      </c>
      <c r="AF475" s="4">
        <f>IF(OR($B475="",H475=""),"",IF($B475=1,--(H475=1),""))</f>
        <v/>
      </c>
      <c r="AG475" s="4">
        <f>IF(OR($B475="",H475=""),"",IF($B475=0,--(H475=0),""))</f>
        <v/>
      </c>
      <c r="AH475" s="4">
        <f>IF(H475="","",--(H475=1))</f>
        <v/>
      </c>
      <c r="AI475" s="4">
        <f>IF(OR($B475="",I475=""),"",--(I475=$B475))</f>
        <v/>
      </c>
      <c r="AJ475" s="4">
        <f>IF(OR($B475="",I475=""),"",IF($B475=1,--(I475=1),""))</f>
        <v/>
      </c>
      <c r="AK475" s="4">
        <f>IF(OR($B475="",I475=""),"",IF($B475=0,--(I475=0),""))</f>
        <v/>
      </c>
      <c r="AL475" s="4">
        <f>IF(I475="","",--(I475=1))</f>
        <v/>
      </c>
      <c r="AM475" s="4">
        <f>IF(OR($B475="",J475=""),"",--(J475=$B475))</f>
        <v/>
      </c>
      <c r="AN475" s="4">
        <f>IF(OR($B475="",J475=""),"",IF($B475=1,--(J475=1),""))</f>
        <v/>
      </c>
      <c r="AO475" s="4">
        <f>IF(OR($B475="",J475=""),"",IF($B475=0,--(J475=0),""))</f>
        <v/>
      </c>
      <c r="AP475" s="4">
        <f>IF(J475="","",--(J475=1))</f>
        <v/>
      </c>
      <c r="AQ475" s="4">
        <f>IF(OR($B475="",K475=""),"",--(K475=$B475))</f>
        <v/>
      </c>
      <c r="AR475" s="4">
        <f>IF(OR($B475="",K475=""),"",IF($B475=1,--(K475=1),""))</f>
        <v/>
      </c>
      <c r="AS475" s="4">
        <f>IF(OR($B475="",K475=""),"",IF($B475=0,--(K475=0),""))</f>
        <v/>
      </c>
      <c r="AT475" s="4">
        <f>IF(K475="","",--(K475=1))</f>
        <v/>
      </c>
      <c r="AU475" s="4">
        <f>IF(OR($B475="",L475=""),"",--(L475=$B475))</f>
        <v/>
      </c>
      <c r="AV475" s="4">
        <f>IF(OR($B475="",L475=""),"",IF($B475=1,--(L475=1),""))</f>
        <v/>
      </c>
      <c r="AW475" s="4">
        <f>IF(OR($B475="",L475=""),"",IF($B475=0,--(L475=0),""))</f>
        <v/>
      </c>
      <c r="AX475" s="4">
        <f>IF(L475="","",--(L475=1))</f>
        <v/>
      </c>
      <c r="AY475" s="4">
        <f>IF(OR($B475="",M475=""),"",--(M475=$B475))</f>
        <v/>
      </c>
      <c r="AZ475" s="4">
        <f>IF(OR($B475="",M475=""),"",IF($B475=1,--(M475=1),""))</f>
        <v/>
      </c>
      <c r="BA475" s="4">
        <f>IF(OR($B475="",M475=""),"",IF($B475=0,--(M475=0),""))</f>
        <v/>
      </c>
      <c r="BB475" s="4">
        <f>IF(M475="","",--(M475=1))</f>
        <v/>
      </c>
      <c r="BC475" s="4">
        <f>IF(OR($B475="",N475=""),"",--(N475=$B475))</f>
        <v/>
      </c>
      <c r="BD475" s="4">
        <f>IF(OR($B475="",N475=""),"",IF($B475=1,--(N475=1),""))</f>
        <v/>
      </c>
      <c r="BE475" s="4">
        <f>IF(OR($B475="",N475=""),"",IF($B475=0,--(N475=0),""))</f>
        <v/>
      </c>
      <c r="BF475" s="4">
        <f>IF(N475="","",--(N475=1))</f>
        <v/>
      </c>
    </row>
    <row r="476">
      <c r="A476" s="3" t="inlineStr">
        <is>
          <t>202316</t>
        </is>
      </c>
      <c r="B476" s="3" t="inlineStr">
        <is>
          <t>1</t>
        </is>
      </c>
      <c r="C476" s="3" t="inlineStr">
        <is>
          <t>Direct</t>
        </is>
      </c>
      <c r="D476" s="3" t="inlineStr">
        <is>
          <t>1</t>
        </is>
      </c>
      <c r="E476" s="3" t="inlineStr">
        <is>
          <t>0</t>
        </is>
      </c>
      <c r="F476" s="3" t="inlineStr">
        <is>
          <t>0</t>
        </is>
      </c>
      <c r="G476" s="3" t="inlineStr">
        <is>
          <t>0</t>
        </is>
      </c>
      <c r="H476" s="3" t="inlineStr">
        <is>
          <t>0</t>
        </is>
      </c>
      <c r="I476" s="3" t="inlineStr">
        <is>
          <t>0</t>
        </is>
      </c>
      <c r="J476" s="3" t="inlineStr">
        <is>
          <t>0</t>
        </is>
      </c>
      <c r="K476" s="3" t="inlineStr">
        <is>
          <t>0</t>
        </is>
      </c>
      <c r="L476" s="3" t="inlineStr">
        <is>
          <t>1</t>
        </is>
      </c>
      <c r="M476" s="3" t="inlineStr">
        <is>
          <t>1</t>
        </is>
      </c>
      <c r="N476" s="3" t="inlineStr">
        <is>
          <t>1</t>
        </is>
      </c>
      <c r="O476" s="4">
        <f>IF(OR($B476="",D476=""),"",--(D476=$B476))</f>
        <v/>
      </c>
      <c r="P476" s="4">
        <f>IF(OR($B476="",D476=""),"",IF($B476=1,--(D476=1),""))</f>
        <v/>
      </c>
      <c r="Q476" s="4">
        <f>IF(OR($B476="",D476=""),"",IF($B476=0,--(D476=0),""))</f>
        <v/>
      </c>
      <c r="R476" s="4">
        <f>IF(D476="","",--(D476=1))</f>
        <v/>
      </c>
      <c r="S476" s="4">
        <f>IF(OR($B476="",E476=""),"",--(E476=$B476))</f>
        <v/>
      </c>
      <c r="T476" s="4">
        <f>IF(OR($B476="",E476=""),"",IF($B476=1,--(E476=1),""))</f>
        <v/>
      </c>
      <c r="U476" s="4">
        <f>IF(OR($B476="",E476=""),"",IF($B476=0,--(E476=0),""))</f>
        <v/>
      </c>
      <c r="V476" s="4">
        <f>IF(E476="","",--(E476=1))</f>
        <v/>
      </c>
      <c r="W476" s="4">
        <f>IF(OR($B476="",F476=""),"",--(F476=$B476))</f>
        <v/>
      </c>
      <c r="X476" s="4">
        <f>IF(OR($B476="",F476=""),"",IF($B476=1,--(F476=1),""))</f>
        <v/>
      </c>
      <c r="Y476" s="4">
        <f>IF(OR($B476="",F476=""),"",IF($B476=0,--(F476=0),""))</f>
        <v/>
      </c>
      <c r="Z476" s="4">
        <f>IF(F476="","",--(F476=1))</f>
        <v/>
      </c>
      <c r="AA476" s="4">
        <f>IF(OR($B476="",G476=""),"",--(G476=$B476))</f>
        <v/>
      </c>
      <c r="AB476" s="4">
        <f>IF(OR($B476="",G476=""),"",IF($B476=1,--(G476=1),""))</f>
        <v/>
      </c>
      <c r="AC476" s="4">
        <f>IF(OR($B476="",G476=""),"",IF($B476=0,--(G476=0),""))</f>
        <v/>
      </c>
      <c r="AD476" s="4">
        <f>IF(G476="","",--(G476=1))</f>
        <v/>
      </c>
      <c r="AE476" s="4">
        <f>IF(OR($B476="",H476=""),"",--(H476=$B476))</f>
        <v/>
      </c>
      <c r="AF476" s="4">
        <f>IF(OR($B476="",H476=""),"",IF($B476=1,--(H476=1),""))</f>
        <v/>
      </c>
      <c r="AG476" s="4">
        <f>IF(OR($B476="",H476=""),"",IF($B476=0,--(H476=0),""))</f>
        <v/>
      </c>
      <c r="AH476" s="4">
        <f>IF(H476="","",--(H476=1))</f>
        <v/>
      </c>
      <c r="AI476" s="4">
        <f>IF(OR($B476="",I476=""),"",--(I476=$B476))</f>
        <v/>
      </c>
      <c r="AJ476" s="4">
        <f>IF(OR($B476="",I476=""),"",IF($B476=1,--(I476=1),""))</f>
        <v/>
      </c>
      <c r="AK476" s="4">
        <f>IF(OR($B476="",I476=""),"",IF($B476=0,--(I476=0),""))</f>
        <v/>
      </c>
      <c r="AL476" s="4">
        <f>IF(I476="","",--(I476=1))</f>
        <v/>
      </c>
      <c r="AM476" s="4">
        <f>IF(OR($B476="",J476=""),"",--(J476=$B476))</f>
        <v/>
      </c>
      <c r="AN476" s="4">
        <f>IF(OR($B476="",J476=""),"",IF($B476=1,--(J476=1),""))</f>
        <v/>
      </c>
      <c r="AO476" s="4">
        <f>IF(OR($B476="",J476=""),"",IF($B476=0,--(J476=0),""))</f>
        <v/>
      </c>
      <c r="AP476" s="4">
        <f>IF(J476="","",--(J476=1))</f>
        <v/>
      </c>
      <c r="AQ476" s="4">
        <f>IF(OR($B476="",K476=""),"",--(K476=$B476))</f>
        <v/>
      </c>
      <c r="AR476" s="4">
        <f>IF(OR($B476="",K476=""),"",IF($B476=1,--(K476=1),""))</f>
        <v/>
      </c>
      <c r="AS476" s="4">
        <f>IF(OR($B476="",K476=""),"",IF($B476=0,--(K476=0),""))</f>
        <v/>
      </c>
      <c r="AT476" s="4">
        <f>IF(K476="","",--(K476=1))</f>
        <v/>
      </c>
      <c r="AU476" s="4">
        <f>IF(OR($B476="",L476=""),"",--(L476=$B476))</f>
        <v/>
      </c>
      <c r="AV476" s="4">
        <f>IF(OR($B476="",L476=""),"",IF($B476=1,--(L476=1),""))</f>
        <v/>
      </c>
      <c r="AW476" s="4">
        <f>IF(OR($B476="",L476=""),"",IF($B476=0,--(L476=0),""))</f>
        <v/>
      </c>
      <c r="AX476" s="4">
        <f>IF(L476="","",--(L476=1))</f>
        <v/>
      </c>
      <c r="AY476" s="4">
        <f>IF(OR($B476="",M476=""),"",--(M476=$B476))</f>
        <v/>
      </c>
      <c r="AZ476" s="4">
        <f>IF(OR($B476="",M476=""),"",IF($B476=1,--(M476=1),""))</f>
        <v/>
      </c>
      <c r="BA476" s="4">
        <f>IF(OR($B476="",M476=""),"",IF($B476=0,--(M476=0),""))</f>
        <v/>
      </c>
      <c r="BB476" s="4">
        <f>IF(M476="","",--(M476=1))</f>
        <v/>
      </c>
      <c r="BC476" s="4">
        <f>IF(OR($B476="",N476=""),"",--(N476=$B476))</f>
        <v/>
      </c>
      <c r="BD476" s="4">
        <f>IF(OR($B476="",N476=""),"",IF($B476=1,--(N476=1),""))</f>
        <v/>
      </c>
      <c r="BE476" s="4">
        <f>IF(OR($B476="",N476=""),"",IF($B476=0,--(N476=0),""))</f>
        <v/>
      </c>
      <c r="BF476" s="4">
        <f>IF(N476="","",--(N476=1))</f>
        <v/>
      </c>
    </row>
    <row r="477">
      <c r="A477" s="3" t="inlineStr">
        <is>
          <t>202320289</t>
        </is>
      </c>
      <c r="B477" s="3" t="inlineStr">
        <is>
          <t>1</t>
        </is>
      </c>
      <c r="C477" s="3" t="inlineStr">
        <is>
          <t>Direct</t>
        </is>
      </c>
      <c r="D477" s="3" t="inlineStr">
        <is>
          <t>1</t>
        </is>
      </c>
      <c r="E477" s="3" t="inlineStr">
        <is>
          <t>1</t>
        </is>
      </c>
      <c r="F477" s="3" t="inlineStr">
        <is>
          <t>0</t>
        </is>
      </c>
      <c r="G477" s="3" t="inlineStr">
        <is>
          <t>0</t>
        </is>
      </c>
      <c r="H477" s="3" t="inlineStr">
        <is>
          <t>1</t>
        </is>
      </c>
      <c r="I477" s="3" t="inlineStr">
        <is>
          <t>0</t>
        </is>
      </c>
      <c r="J477" s="3" t="inlineStr">
        <is>
          <t>0</t>
        </is>
      </c>
      <c r="K477" s="3" t="inlineStr">
        <is>
          <t>0</t>
        </is>
      </c>
      <c r="L477" s="3" t="inlineStr">
        <is>
          <t>1</t>
        </is>
      </c>
      <c r="M477" s="3" t="inlineStr">
        <is>
          <t>1</t>
        </is>
      </c>
      <c r="N477" s="3" t="inlineStr">
        <is>
          <t>1</t>
        </is>
      </c>
      <c r="O477" s="4">
        <f>IF(OR($B477="",D477=""),"",--(D477=$B477))</f>
        <v/>
      </c>
      <c r="P477" s="4">
        <f>IF(OR($B477="",D477=""),"",IF($B477=1,--(D477=1),""))</f>
        <v/>
      </c>
      <c r="Q477" s="4">
        <f>IF(OR($B477="",D477=""),"",IF($B477=0,--(D477=0),""))</f>
        <v/>
      </c>
      <c r="R477" s="4">
        <f>IF(D477="","",--(D477=1))</f>
        <v/>
      </c>
      <c r="S477" s="4">
        <f>IF(OR($B477="",E477=""),"",--(E477=$B477))</f>
        <v/>
      </c>
      <c r="T477" s="4">
        <f>IF(OR($B477="",E477=""),"",IF($B477=1,--(E477=1),""))</f>
        <v/>
      </c>
      <c r="U477" s="4">
        <f>IF(OR($B477="",E477=""),"",IF($B477=0,--(E477=0),""))</f>
        <v/>
      </c>
      <c r="V477" s="4">
        <f>IF(E477="","",--(E477=1))</f>
        <v/>
      </c>
      <c r="W477" s="4">
        <f>IF(OR($B477="",F477=""),"",--(F477=$B477))</f>
        <v/>
      </c>
      <c r="X477" s="4">
        <f>IF(OR($B477="",F477=""),"",IF($B477=1,--(F477=1),""))</f>
        <v/>
      </c>
      <c r="Y477" s="4">
        <f>IF(OR($B477="",F477=""),"",IF($B477=0,--(F477=0),""))</f>
        <v/>
      </c>
      <c r="Z477" s="4">
        <f>IF(F477="","",--(F477=1))</f>
        <v/>
      </c>
      <c r="AA477" s="4">
        <f>IF(OR($B477="",G477=""),"",--(G477=$B477))</f>
        <v/>
      </c>
      <c r="AB477" s="4">
        <f>IF(OR($B477="",G477=""),"",IF($B477=1,--(G477=1),""))</f>
        <v/>
      </c>
      <c r="AC477" s="4">
        <f>IF(OR($B477="",G477=""),"",IF($B477=0,--(G477=0),""))</f>
        <v/>
      </c>
      <c r="AD477" s="4">
        <f>IF(G477="","",--(G477=1))</f>
        <v/>
      </c>
      <c r="AE477" s="4">
        <f>IF(OR($B477="",H477=""),"",--(H477=$B477))</f>
        <v/>
      </c>
      <c r="AF477" s="4">
        <f>IF(OR($B477="",H477=""),"",IF($B477=1,--(H477=1),""))</f>
        <v/>
      </c>
      <c r="AG477" s="4">
        <f>IF(OR($B477="",H477=""),"",IF($B477=0,--(H477=0),""))</f>
        <v/>
      </c>
      <c r="AH477" s="4">
        <f>IF(H477="","",--(H477=1))</f>
        <v/>
      </c>
      <c r="AI477" s="4">
        <f>IF(OR($B477="",I477=""),"",--(I477=$B477))</f>
        <v/>
      </c>
      <c r="AJ477" s="4">
        <f>IF(OR($B477="",I477=""),"",IF($B477=1,--(I477=1),""))</f>
        <v/>
      </c>
      <c r="AK477" s="4">
        <f>IF(OR($B477="",I477=""),"",IF($B477=0,--(I477=0),""))</f>
        <v/>
      </c>
      <c r="AL477" s="4">
        <f>IF(I477="","",--(I477=1))</f>
        <v/>
      </c>
      <c r="AM477" s="4">
        <f>IF(OR($B477="",J477=""),"",--(J477=$B477))</f>
        <v/>
      </c>
      <c r="AN477" s="4">
        <f>IF(OR($B477="",J477=""),"",IF($B477=1,--(J477=1),""))</f>
        <v/>
      </c>
      <c r="AO477" s="4">
        <f>IF(OR($B477="",J477=""),"",IF($B477=0,--(J477=0),""))</f>
        <v/>
      </c>
      <c r="AP477" s="4">
        <f>IF(J477="","",--(J477=1))</f>
        <v/>
      </c>
      <c r="AQ477" s="4">
        <f>IF(OR($B477="",K477=""),"",--(K477=$B477))</f>
        <v/>
      </c>
      <c r="AR477" s="4">
        <f>IF(OR($B477="",K477=""),"",IF($B477=1,--(K477=1),""))</f>
        <v/>
      </c>
      <c r="AS477" s="4">
        <f>IF(OR($B477="",K477=""),"",IF($B477=0,--(K477=0),""))</f>
        <v/>
      </c>
      <c r="AT477" s="4">
        <f>IF(K477="","",--(K477=1))</f>
        <v/>
      </c>
      <c r="AU477" s="4">
        <f>IF(OR($B477="",L477=""),"",--(L477=$B477))</f>
        <v/>
      </c>
      <c r="AV477" s="4">
        <f>IF(OR($B477="",L477=""),"",IF($B477=1,--(L477=1),""))</f>
        <v/>
      </c>
      <c r="AW477" s="4">
        <f>IF(OR($B477="",L477=""),"",IF($B477=0,--(L477=0),""))</f>
        <v/>
      </c>
      <c r="AX477" s="4">
        <f>IF(L477="","",--(L477=1))</f>
        <v/>
      </c>
      <c r="AY477" s="4">
        <f>IF(OR($B477="",M477=""),"",--(M477=$B477))</f>
        <v/>
      </c>
      <c r="AZ477" s="4">
        <f>IF(OR($B477="",M477=""),"",IF($B477=1,--(M477=1),""))</f>
        <v/>
      </c>
      <c r="BA477" s="4">
        <f>IF(OR($B477="",M477=""),"",IF($B477=0,--(M477=0),""))</f>
        <v/>
      </c>
      <c r="BB477" s="4">
        <f>IF(M477="","",--(M477=1))</f>
        <v/>
      </c>
      <c r="BC477" s="4">
        <f>IF(OR($B477="",N477=""),"",--(N477=$B477))</f>
        <v/>
      </c>
      <c r="BD477" s="4">
        <f>IF(OR($B477="",N477=""),"",IF($B477=1,--(N477=1),""))</f>
        <v/>
      </c>
      <c r="BE477" s="4">
        <f>IF(OR($B477="",N477=""),"",IF($B477=0,--(N477=0),""))</f>
        <v/>
      </c>
      <c r="BF477" s="4">
        <f>IF(N477="","",--(N477=1))</f>
        <v/>
      </c>
    </row>
    <row r="478">
      <c r="A478" s="3" t="inlineStr">
        <is>
          <t>202320783</t>
        </is>
      </c>
      <c r="B478" s="3" t="inlineStr">
        <is>
          <t>1</t>
        </is>
      </c>
      <c r="C478" s="3" t="inlineStr">
        <is>
          <t>Direct</t>
        </is>
      </c>
      <c r="D478" s="3" t="inlineStr">
        <is>
          <t>1</t>
        </is>
      </c>
      <c r="E478" s="3" t="inlineStr">
        <is>
          <t>1</t>
        </is>
      </c>
      <c r="F478" s="3" t="inlineStr">
        <is>
          <t>0</t>
        </is>
      </c>
      <c r="G478" s="3" t="inlineStr">
        <is>
          <t>0</t>
        </is>
      </c>
      <c r="H478" s="3" t="inlineStr">
        <is>
          <t>0</t>
        </is>
      </c>
      <c r="I478" s="3" t="inlineStr">
        <is>
          <t>0</t>
        </is>
      </c>
      <c r="J478" s="3" t="inlineStr">
        <is>
          <t>0</t>
        </is>
      </c>
      <c r="K478" s="3" t="inlineStr">
        <is>
          <t>1</t>
        </is>
      </c>
      <c r="L478" s="3" t="inlineStr">
        <is>
          <t>1</t>
        </is>
      </c>
      <c r="M478" s="3" t="inlineStr">
        <is>
          <t>1</t>
        </is>
      </c>
      <c r="N478" s="3" t="inlineStr">
        <is>
          <t>1</t>
        </is>
      </c>
      <c r="O478" s="4">
        <f>IF(OR($B478="",D478=""),"",--(D478=$B478))</f>
        <v/>
      </c>
      <c r="P478" s="4">
        <f>IF(OR($B478="",D478=""),"",IF($B478=1,--(D478=1),""))</f>
        <v/>
      </c>
      <c r="Q478" s="4">
        <f>IF(OR($B478="",D478=""),"",IF($B478=0,--(D478=0),""))</f>
        <v/>
      </c>
      <c r="R478" s="4">
        <f>IF(D478="","",--(D478=1))</f>
        <v/>
      </c>
      <c r="S478" s="4">
        <f>IF(OR($B478="",E478=""),"",--(E478=$B478))</f>
        <v/>
      </c>
      <c r="T478" s="4">
        <f>IF(OR($B478="",E478=""),"",IF($B478=1,--(E478=1),""))</f>
        <v/>
      </c>
      <c r="U478" s="4">
        <f>IF(OR($B478="",E478=""),"",IF($B478=0,--(E478=0),""))</f>
        <v/>
      </c>
      <c r="V478" s="4">
        <f>IF(E478="","",--(E478=1))</f>
        <v/>
      </c>
      <c r="W478" s="4">
        <f>IF(OR($B478="",F478=""),"",--(F478=$B478))</f>
        <v/>
      </c>
      <c r="X478" s="4">
        <f>IF(OR($B478="",F478=""),"",IF($B478=1,--(F478=1),""))</f>
        <v/>
      </c>
      <c r="Y478" s="4">
        <f>IF(OR($B478="",F478=""),"",IF($B478=0,--(F478=0),""))</f>
        <v/>
      </c>
      <c r="Z478" s="4">
        <f>IF(F478="","",--(F478=1))</f>
        <v/>
      </c>
      <c r="AA478" s="4">
        <f>IF(OR($B478="",G478=""),"",--(G478=$B478))</f>
        <v/>
      </c>
      <c r="AB478" s="4">
        <f>IF(OR($B478="",G478=""),"",IF($B478=1,--(G478=1),""))</f>
        <v/>
      </c>
      <c r="AC478" s="4">
        <f>IF(OR($B478="",G478=""),"",IF($B478=0,--(G478=0),""))</f>
        <v/>
      </c>
      <c r="AD478" s="4">
        <f>IF(G478="","",--(G478=1))</f>
        <v/>
      </c>
      <c r="AE478" s="4">
        <f>IF(OR($B478="",H478=""),"",--(H478=$B478))</f>
        <v/>
      </c>
      <c r="AF478" s="4">
        <f>IF(OR($B478="",H478=""),"",IF($B478=1,--(H478=1),""))</f>
        <v/>
      </c>
      <c r="AG478" s="4">
        <f>IF(OR($B478="",H478=""),"",IF($B478=0,--(H478=0),""))</f>
        <v/>
      </c>
      <c r="AH478" s="4">
        <f>IF(H478="","",--(H478=1))</f>
        <v/>
      </c>
      <c r="AI478" s="4">
        <f>IF(OR($B478="",I478=""),"",--(I478=$B478))</f>
        <v/>
      </c>
      <c r="AJ478" s="4">
        <f>IF(OR($B478="",I478=""),"",IF($B478=1,--(I478=1),""))</f>
        <v/>
      </c>
      <c r="AK478" s="4">
        <f>IF(OR($B478="",I478=""),"",IF($B478=0,--(I478=0),""))</f>
        <v/>
      </c>
      <c r="AL478" s="4">
        <f>IF(I478="","",--(I478=1))</f>
        <v/>
      </c>
      <c r="AM478" s="4">
        <f>IF(OR($B478="",J478=""),"",--(J478=$B478))</f>
        <v/>
      </c>
      <c r="AN478" s="4">
        <f>IF(OR($B478="",J478=""),"",IF($B478=1,--(J478=1),""))</f>
        <v/>
      </c>
      <c r="AO478" s="4">
        <f>IF(OR($B478="",J478=""),"",IF($B478=0,--(J478=0),""))</f>
        <v/>
      </c>
      <c r="AP478" s="4">
        <f>IF(J478="","",--(J478=1))</f>
        <v/>
      </c>
      <c r="AQ478" s="4">
        <f>IF(OR($B478="",K478=""),"",--(K478=$B478))</f>
        <v/>
      </c>
      <c r="AR478" s="4">
        <f>IF(OR($B478="",K478=""),"",IF($B478=1,--(K478=1),""))</f>
        <v/>
      </c>
      <c r="AS478" s="4">
        <f>IF(OR($B478="",K478=""),"",IF($B478=0,--(K478=0),""))</f>
        <v/>
      </c>
      <c r="AT478" s="4">
        <f>IF(K478="","",--(K478=1))</f>
        <v/>
      </c>
      <c r="AU478" s="4">
        <f>IF(OR($B478="",L478=""),"",--(L478=$B478))</f>
        <v/>
      </c>
      <c r="AV478" s="4">
        <f>IF(OR($B478="",L478=""),"",IF($B478=1,--(L478=1),""))</f>
        <v/>
      </c>
      <c r="AW478" s="4">
        <f>IF(OR($B478="",L478=""),"",IF($B478=0,--(L478=0),""))</f>
        <v/>
      </c>
      <c r="AX478" s="4">
        <f>IF(L478="","",--(L478=1))</f>
        <v/>
      </c>
      <c r="AY478" s="4">
        <f>IF(OR($B478="",M478=""),"",--(M478=$B478))</f>
        <v/>
      </c>
      <c r="AZ478" s="4">
        <f>IF(OR($B478="",M478=""),"",IF($B478=1,--(M478=1),""))</f>
        <v/>
      </c>
      <c r="BA478" s="4">
        <f>IF(OR($B478="",M478=""),"",IF($B478=0,--(M478=0),""))</f>
        <v/>
      </c>
      <c r="BB478" s="4">
        <f>IF(M478="","",--(M478=1))</f>
        <v/>
      </c>
      <c r="BC478" s="4">
        <f>IF(OR($B478="",N478=""),"",--(N478=$B478))</f>
        <v/>
      </c>
      <c r="BD478" s="4">
        <f>IF(OR($B478="",N478=""),"",IF($B478=1,--(N478=1),""))</f>
        <v/>
      </c>
      <c r="BE478" s="4">
        <f>IF(OR($B478="",N478=""),"",IF($B478=0,--(N478=0),""))</f>
        <v/>
      </c>
      <c r="BF478" s="4">
        <f>IF(N478="","",--(N478=1))</f>
        <v/>
      </c>
    </row>
    <row r="479">
      <c r="A479" s="3" t="inlineStr">
        <is>
          <t>202329076</t>
        </is>
      </c>
      <c r="B479" s="3" t="inlineStr">
        <is>
          <t>1</t>
        </is>
      </c>
      <c r="C479" s="3" t="inlineStr">
        <is>
          <t>Direct</t>
        </is>
      </c>
      <c r="D479" s="3" t="inlineStr">
        <is>
          <t>1</t>
        </is>
      </c>
      <c r="E479" s="3" t="inlineStr">
        <is>
          <t>1</t>
        </is>
      </c>
      <c r="F479" s="3" t="inlineStr">
        <is>
          <t>0</t>
        </is>
      </c>
      <c r="G479" s="3" t="inlineStr">
        <is>
          <t>0</t>
        </is>
      </c>
      <c r="H479" s="3" t="inlineStr">
        <is>
          <t>0</t>
        </is>
      </c>
      <c r="I479" s="3" t="inlineStr">
        <is>
          <t>0</t>
        </is>
      </c>
      <c r="J479" s="3" t="inlineStr">
        <is>
          <t>0</t>
        </is>
      </c>
      <c r="K479" s="3" t="inlineStr">
        <is>
          <t>1</t>
        </is>
      </c>
      <c r="L479" s="3" t="inlineStr">
        <is>
          <t>1</t>
        </is>
      </c>
      <c r="M479" s="3" t="inlineStr">
        <is>
          <t>1</t>
        </is>
      </c>
      <c r="N479" s="3" t="inlineStr">
        <is>
          <t>1</t>
        </is>
      </c>
      <c r="O479" s="4">
        <f>IF(OR($B479="",D479=""),"",--(D479=$B479))</f>
        <v/>
      </c>
      <c r="P479" s="4">
        <f>IF(OR($B479="",D479=""),"",IF($B479=1,--(D479=1),""))</f>
        <v/>
      </c>
      <c r="Q479" s="4">
        <f>IF(OR($B479="",D479=""),"",IF($B479=0,--(D479=0),""))</f>
        <v/>
      </c>
      <c r="R479" s="4">
        <f>IF(D479="","",--(D479=1))</f>
        <v/>
      </c>
      <c r="S479" s="4">
        <f>IF(OR($B479="",E479=""),"",--(E479=$B479))</f>
        <v/>
      </c>
      <c r="T479" s="4">
        <f>IF(OR($B479="",E479=""),"",IF($B479=1,--(E479=1),""))</f>
        <v/>
      </c>
      <c r="U479" s="4">
        <f>IF(OR($B479="",E479=""),"",IF($B479=0,--(E479=0),""))</f>
        <v/>
      </c>
      <c r="V479" s="4">
        <f>IF(E479="","",--(E479=1))</f>
        <v/>
      </c>
      <c r="W479" s="4">
        <f>IF(OR($B479="",F479=""),"",--(F479=$B479))</f>
        <v/>
      </c>
      <c r="X479" s="4">
        <f>IF(OR($B479="",F479=""),"",IF($B479=1,--(F479=1),""))</f>
        <v/>
      </c>
      <c r="Y479" s="4">
        <f>IF(OR($B479="",F479=""),"",IF($B479=0,--(F479=0),""))</f>
        <v/>
      </c>
      <c r="Z479" s="4">
        <f>IF(F479="","",--(F479=1))</f>
        <v/>
      </c>
      <c r="AA479" s="4">
        <f>IF(OR($B479="",G479=""),"",--(G479=$B479))</f>
        <v/>
      </c>
      <c r="AB479" s="4">
        <f>IF(OR($B479="",G479=""),"",IF($B479=1,--(G479=1),""))</f>
        <v/>
      </c>
      <c r="AC479" s="4">
        <f>IF(OR($B479="",G479=""),"",IF($B479=0,--(G479=0),""))</f>
        <v/>
      </c>
      <c r="AD479" s="4">
        <f>IF(G479="","",--(G479=1))</f>
        <v/>
      </c>
      <c r="AE479" s="4">
        <f>IF(OR($B479="",H479=""),"",--(H479=$B479))</f>
        <v/>
      </c>
      <c r="AF479" s="4">
        <f>IF(OR($B479="",H479=""),"",IF($B479=1,--(H479=1),""))</f>
        <v/>
      </c>
      <c r="AG479" s="4">
        <f>IF(OR($B479="",H479=""),"",IF($B479=0,--(H479=0),""))</f>
        <v/>
      </c>
      <c r="AH479" s="4">
        <f>IF(H479="","",--(H479=1))</f>
        <v/>
      </c>
      <c r="AI479" s="4">
        <f>IF(OR($B479="",I479=""),"",--(I479=$B479))</f>
        <v/>
      </c>
      <c r="AJ479" s="4">
        <f>IF(OR($B479="",I479=""),"",IF($B479=1,--(I479=1),""))</f>
        <v/>
      </c>
      <c r="AK479" s="4">
        <f>IF(OR($B479="",I479=""),"",IF($B479=0,--(I479=0),""))</f>
        <v/>
      </c>
      <c r="AL479" s="4">
        <f>IF(I479="","",--(I479=1))</f>
        <v/>
      </c>
      <c r="AM479" s="4">
        <f>IF(OR($B479="",J479=""),"",--(J479=$B479))</f>
        <v/>
      </c>
      <c r="AN479" s="4">
        <f>IF(OR($B479="",J479=""),"",IF($B479=1,--(J479=1),""))</f>
        <v/>
      </c>
      <c r="AO479" s="4">
        <f>IF(OR($B479="",J479=""),"",IF($B479=0,--(J479=0),""))</f>
        <v/>
      </c>
      <c r="AP479" s="4">
        <f>IF(J479="","",--(J479=1))</f>
        <v/>
      </c>
      <c r="AQ479" s="4">
        <f>IF(OR($B479="",K479=""),"",--(K479=$B479))</f>
        <v/>
      </c>
      <c r="AR479" s="4">
        <f>IF(OR($B479="",K479=""),"",IF($B479=1,--(K479=1),""))</f>
        <v/>
      </c>
      <c r="AS479" s="4">
        <f>IF(OR($B479="",K479=""),"",IF($B479=0,--(K479=0),""))</f>
        <v/>
      </c>
      <c r="AT479" s="4">
        <f>IF(K479="","",--(K479=1))</f>
        <v/>
      </c>
      <c r="AU479" s="4">
        <f>IF(OR($B479="",L479=""),"",--(L479=$B479))</f>
        <v/>
      </c>
      <c r="AV479" s="4">
        <f>IF(OR($B479="",L479=""),"",IF($B479=1,--(L479=1),""))</f>
        <v/>
      </c>
      <c r="AW479" s="4">
        <f>IF(OR($B479="",L479=""),"",IF($B479=0,--(L479=0),""))</f>
        <v/>
      </c>
      <c r="AX479" s="4">
        <f>IF(L479="","",--(L479=1))</f>
        <v/>
      </c>
      <c r="AY479" s="4">
        <f>IF(OR($B479="",M479=""),"",--(M479=$B479))</f>
        <v/>
      </c>
      <c r="AZ479" s="4">
        <f>IF(OR($B479="",M479=""),"",IF($B479=1,--(M479=1),""))</f>
        <v/>
      </c>
      <c r="BA479" s="4">
        <f>IF(OR($B479="",M479=""),"",IF($B479=0,--(M479=0),""))</f>
        <v/>
      </c>
      <c r="BB479" s="4">
        <f>IF(M479="","",--(M479=1))</f>
        <v/>
      </c>
      <c r="BC479" s="4">
        <f>IF(OR($B479="",N479=""),"",--(N479=$B479))</f>
        <v/>
      </c>
      <c r="BD479" s="4">
        <f>IF(OR($B479="",N479=""),"",IF($B479=1,--(N479=1),""))</f>
        <v/>
      </c>
      <c r="BE479" s="4">
        <f>IF(OR($B479="",N479=""),"",IF($B479=0,--(N479=0),""))</f>
        <v/>
      </c>
      <c r="BF479" s="4">
        <f>IF(N479="","",--(N479=1))</f>
        <v/>
      </c>
    </row>
    <row r="480">
      <c r="A480" s="3" t="inlineStr">
        <is>
          <t>202329111</t>
        </is>
      </c>
      <c r="B480" s="3" t="inlineStr">
        <is>
          <t>1</t>
        </is>
      </c>
      <c r="C480" s="3" t="inlineStr">
        <is>
          <t>Direct</t>
        </is>
      </c>
      <c r="D480" s="3" t="inlineStr">
        <is>
          <t>1</t>
        </is>
      </c>
      <c r="E480" s="3" t="inlineStr">
        <is>
          <t>1</t>
        </is>
      </c>
      <c r="F480" s="3" t="inlineStr">
        <is>
          <t>0</t>
        </is>
      </c>
      <c r="G480" s="3" t="inlineStr">
        <is>
          <t>0</t>
        </is>
      </c>
      <c r="H480" s="3" t="inlineStr">
        <is>
          <t>0</t>
        </is>
      </c>
      <c r="I480" s="3" t="inlineStr">
        <is>
          <t>0</t>
        </is>
      </c>
      <c r="J480" s="3" t="inlineStr">
        <is>
          <t>0</t>
        </is>
      </c>
      <c r="K480" s="3" t="inlineStr">
        <is>
          <t>1</t>
        </is>
      </c>
      <c r="L480" s="3" t="inlineStr">
        <is>
          <t>1</t>
        </is>
      </c>
      <c r="M480" s="3" t="inlineStr">
        <is>
          <t>1</t>
        </is>
      </c>
      <c r="N480" s="3" t="inlineStr">
        <is>
          <t>1</t>
        </is>
      </c>
      <c r="O480" s="4">
        <f>IF(OR($B480="",D480=""),"",--(D480=$B480))</f>
        <v/>
      </c>
      <c r="P480" s="4">
        <f>IF(OR($B480="",D480=""),"",IF($B480=1,--(D480=1),""))</f>
        <v/>
      </c>
      <c r="Q480" s="4">
        <f>IF(OR($B480="",D480=""),"",IF($B480=0,--(D480=0),""))</f>
        <v/>
      </c>
      <c r="R480" s="4">
        <f>IF(D480="","",--(D480=1))</f>
        <v/>
      </c>
      <c r="S480" s="4">
        <f>IF(OR($B480="",E480=""),"",--(E480=$B480))</f>
        <v/>
      </c>
      <c r="T480" s="4">
        <f>IF(OR($B480="",E480=""),"",IF($B480=1,--(E480=1),""))</f>
        <v/>
      </c>
      <c r="U480" s="4">
        <f>IF(OR($B480="",E480=""),"",IF($B480=0,--(E480=0),""))</f>
        <v/>
      </c>
      <c r="V480" s="4">
        <f>IF(E480="","",--(E480=1))</f>
        <v/>
      </c>
      <c r="W480" s="4">
        <f>IF(OR($B480="",F480=""),"",--(F480=$B480))</f>
        <v/>
      </c>
      <c r="X480" s="4">
        <f>IF(OR($B480="",F480=""),"",IF($B480=1,--(F480=1),""))</f>
        <v/>
      </c>
      <c r="Y480" s="4">
        <f>IF(OR($B480="",F480=""),"",IF($B480=0,--(F480=0),""))</f>
        <v/>
      </c>
      <c r="Z480" s="4">
        <f>IF(F480="","",--(F480=1))</f>
        <v/>
      </c>
      <c r="AA480" s="4">
        <f>IF(OR($B480="",G480=""),"",--(G480=$B480))</f>
        <v/>
      </c>
      <c r="AB480" s="4">
        <f>IF(OR($B480="",G480=""),"",IF($B480=1,--(G480=1),""))</f>
        <v/>
      </c>
      <c r="AC480" s="4">
        <f>IF(OR($B480="",G480=""),"",IF($B480=0,--(G480=0),""))</f>
        <v/>
      </c>
      <c r="AD480" s="4">
        <f>IF(G480="","",--(G480=1))</f>
        <v/>
      </c>
      <c r="AE480" s="4">
        <f>IF(OR($B480="",H480=""),"",--(H480=$B480))</f>
        <v/>
      </c>
      <c r="AF480" s="4">
        <f>IF(OR($B480="",H480=""),"",IF($B480=1,--(H480=1),""))</f>
        <v/>
      </c>
      <c r="AG480" s="4">
        <f>IF(OR($B480="",H480=""),"",IF($B480=0,--(H480=0),""))</f>
        <v/>
      </c>
      <c r="AH480" s="4">
        <f>IF(H480="","",--(H480=1))</f>
        <v/>
      </c>
      <c r="AI480" s="4">
        <f>IF(OR($B480="",I480=""),"",--(I480=$B480))</f>
        <v/>
      </c>
      <c r="AJ480" s="4">
        <f>IF(OR($B480="",I480=""),"",IF($B480=1,--(I480=1),""))</f>
        <v/>
      </c>
      <c r="AK480" s="4">
        <f>IF(OR($B480="",I480=""),"",IF($B480=0,--(I480=0),""))</f>
        <v/>
      </c>
      <c r="AL480" s="4">
        <f>IF(I480="","",--(I480=1))</f>
        <v/>
      </c>
      <c r="AM480" s="4">
        <f>IF(OR($B480="",J480=""),"",--(J480=$B480))</f>
        <v/>
      </c>
      <c r="AN480" s="4">
        <f>IF(OR($B480="",J480=""),"",IF($B480=1,--(J480=1),""))</f>
        <v/>
      </c>
      <c r="AO480" s="4">
        <f>IF(OR($B480="",J480=""),"",IF($B480=0,--(J480=0),""))</f>
        <v/>
      </c>
      <c r="AP480" s="4">
        <f>IF(J480="","",--(J480=1))</f>
        <v/>
      </c>
      <c r="AQ480" s="4">
        <f>IF(OR($B480="",K480=""),"",--(K480=$B480))</f>
        <v/>
      </c>
      <c r="AR480" s="4">
        <f>IF(OR($B480="",K480=""),"",IF($B480=1,--(K480=1),""))</f>
        <v/>
      </c>
      <c r="AS480" s="4">
        <f>IF(OR($B480="",K480=""),"",IF($B480=0,--(K480=0),""))</f>
        <v/>
      </c>
      <c r="AT480" s="4">
        <f>IF(K480="","",--(K480=1))</f>
        <v/>
      </c>
      <c r="AU480" s="4">
        <f>IF(OR($B480="",L480=""),"",--(L480=$B480))</f>
        <v/>
      </c>
      <c r="AV480" s="4">
        <f>IF(OR($B480="",L480=""),"",IF($B480=1,--(L480=1),""))</f>
        <v/>
      </c>
      <c r="AW480" s="4">
        <f>IF(OR($B480="",L480=""),"",IF($B480=0,--(L480=0),""))</f>
        <v/>
      </c>
      <c r="AX480" s="4">
        <f>IF(L480="","",--(L480=1))</f>
        <v/>
      </c>
      <c r="AY480" s="4">
        <f>IF(OR($B480="",M480=""),"",--(M480=$B480))</f>
        <v/>
      </c>
      <c r="AZ480" s="4">
        <f>IF(OR($B480="",M480=""),"",IF($B480=1,--(M480=1),""))</f>
        <v/>
      </c>
      <c r="BA480" s="4">
        <f>IF(OR($B480="",M480=""),"",IF($B480=0,--(M480=0),""))</f>
        <v/>
      </c>
      <c r="BB480" s="4">
        <f>IF(M480="","",--(M480=1))</f>
        <v/>
      </c>
      <c r="BC480" s="4">
        <f>IF(OR($B480="",N480=""),"",--(N480=$B480))</f>
        <v/>
      </c>
      <c r="BD480" s="4">
        <f>IF(OR($B480="",N480=""),"",IF($B480=1,--(N480=1),""))</f>
        <v/>
      </c>
      <c r="BE480" s="4">
        <f>IF(OR($B480="",N480=""),"",IF($B480=0,--(N480=0),""))</f>
        <v/>
      </c>
      <c r="BF480" s="4">
        <f>IF(N480="","",--(N480=1))</f>
        <v/>
      </c>
    </row>
    <row r="481">
      <c r="A481" s="3" t="inlineStr">
        <is>
          <t>202329610</t>
        </is>
      </c>
      <c r="B481" s="3" t="inlineStr">
        <is>
          <t>1</t>
        </is>
      </c>
      <c r="C481" s="3" t="inlineStr">
        <is>
          <t>Direct</t>
        </is>
      </c>
      <c r="D481" s="3" t="inlineStr">
        <is>
          <t>1</t>
        </is>
      </c>
      <c r="E481" s="3" t="inlineStr">
        <is>
          <t>1</t>
        </is>
      </c>
      <c r="F481" s="3" t="inlineStr">
        <is>
          <t>0</t>
        </is>
      </c>
      <c r="G481" s="3" t="inlineStr">
        <is>
          <t>1</t>
        </is>
      </c>
      <c r="H481" s="3" t="inlineStr">
        <is>
          <t>1</t>
        </is>
      </c>
      <c r="I481" s="3" t="inlineStr">
        <is>
          <t>0</t>
        </is>
      </c>
      <c r="J481" s="3" t="inlineStr">
        <is>
          <t>0</t>
        </is>
      </c>
      <c r="K481" s="3" t="inlineStr">
        <is>
          <t>1</t>
        </is>
      </c>
      <c r="L481" s="3" t="inlineStr">
        <is>
          <t>1</t>
        </is>
      </c>
      <c r="M481" s="3" t="inlineStr">
        <is>
          <t>1</t>
        </is>
      </c>
      <c r="N481" s="3" t="inlineStr">
        <is>
          <t>1</t>
        </is>
      </c>
      <c r="O481" s="4">
        <f>IF(OR($B481="",D481=""),"",--(D481=$B481))</f>
        <v/>
      </c>
      <c r="P481" s="4">
        <f>IF(OR($B481="",D481=""),"",IF($B481=1,--(D481=1),""))</f>
        <v/>
      </c>
      <c r="Q481" s="4">
        <f>IF(OR($B481="",D481=""),"",IF($B481=0,--(D481=0),""))</f>
        <v/>
      </c>
      <c r="R481" s="4">
        <f>IF(D481="","",--(D481=1))</f>
        <v/>
      </c>
      <c r="S481" s="4">
        <f>IF(OR($B481="",E481=""),"",--(E481=$B481))</f>
        <v/>
      </c>
      <c r="T481" s="4">
        <f>IF(OR($B481="",E481=""),"",IF($B481=1,--(E481=1),""))</f>
        <v/>
      </c>
      <c r="U481" s="4">
        <f>IF(OR($B481="",E481=""),"",IF($B481=0,--(E481=0),""))</f>
        <v/>
      </c>
      <c r="V481" s="4">
        <f>IF(E481="","",--(E481=1))</f>
        <v/>
      </c>
      <c r="W481" s="4">
        <f>IF(OR($B481="",F481=""),"",--(F481=$B481))</f>
        <v/>
      </c>
      <c r="X481" s="4">
        <f>IF(OR($B481="",F481=""),"",IF($B481=1,--(F481=1),""))</f>
        <v/>
      </c>
      <c r="Y481" s="4">
        <f>IF(OR($B481="",F481=""),"",IF($B481=0,--(F481=0),""))</f>
        <v/>
      </c>
      <c r="Z481" s="4">
        <f>IF(F481="","",--(F481=1))</f>
        <v/>
      </c>
      <c r="AA481" s="4">
        <f>IF(OR($B481="",G481=""),"",--(G481=$B481))</f>
        <v/>
      </c>
      <c r="AB481" s="4">
        <f>IF(OR($B481="",G481=""),"",IF($B481=1,--(G481=1),""))</f>
        <v/>
      </c>
      <c r="AC481" s="4">
        <f>IF(OR($B481="",G481=""),"",IF($B481=0,--(G481=0),""))</f>
        <v/>
      </c>
      <c r="AD481" s="4">
        <f>IF(G481="","",--(G481=1))</f>
        <v/>
      </c>
      <c r="AE481" s="4">
        <f>IF(OR($B481="",H481=""),"",--(H481=$B481))</f>
        <v/>
      </c>
      <c r="AF481" s="4">
        <f>IF(OR($B481="",H481=""),"",IF($B481=1,--(H481=1),""))</f>
        <v/>
      </c>
      <c r="AG481" s="4">
        <f>IF(OR($B481="",H481=""),"",IF($B481=0,--(H481=0),""))</f>
        <v/>
      </c>
      <c r="AH481" s="4">
        <f>IF(H481="","",--(H481=1))</f>
        <v/>
      </c>
      <c r="AI481" s="4">
        <f>IF(OR($B481="",I481=""),"",--(I481=$B481))</f>
        <v/>
      </c>
      <c r="AJ481" s="4">
        <f>IF(OR($B481="",I481=""),"",IF($B481=1,--(I481=1),""))</f>
        <v/>
      </c>
      <c r="AK481" s="4">
        <f>IF(OR($B481="",I481=""),"",IF($B481=0,--(I481=0),""))</f>
        <v/>
      </c>
      <c r="AL481" s="4">
        <f>IF(I481="","",--(I481=1))</f>
        <v/>
      </c>
      <c r="AM481" s="4">
        <f>IF(OR($B481="",J481=""),"",--(J481=$B481))</f>
        <v/>
      </c>
      <c r="AN481" s="4">
        <f>IF(OR($B481="",J481=""),"",IF($B481=1,--(J481=1),""))</f>
        <v/>
      </c>
      <c r="AO481" s="4">
        <f>IF(OR($B481="",J481=""),"",IF($B481=0,--(J481=0),""))</f>
        <v/>
      </c>
      <c r="AP481" s="4">
        <f>IF(J481="","",--(J481=1))</f>
        <v/>
      </c>
      <c r="AQ481" s="4">
        <f>IF(OR($B481="",K481=""),"",--(K481=$B481))</f>
        <v/>
      </c>
      <c r="AR481" s="4">
        <f>IF(OR($B481="",K481=""),"",IF($B481=1,--(K481=1),""))</f>
        <v/>
      </c>
      <c r="AS481" s="4">
        <f>IF(OR($B481="",K481=""),"",IF($B481=0,--(K481=0),""))</f>
        <v/>
      </c>
      <c r="AT481" s="4">
        <f>IF(K481="","",--(K481=1))</f>
        <v/>
      </c>
      <c r="AU481" s="4">
        <f>IF(OR($B481="",L481=""),"",--(L481=$B481))</f>
        <v/>
      </c>
      <c r="AV481" s="4">
        <f>IF(OR($B481="",L481=""),"",IF($B481=1,--(L481=1),""))</f>
        <v/>
      </c>
      <c r="AW481" s="4">
        <f>IF(OR($B481="",L481=""),"",IF($B481=0,--(L481=0),""))</f>
        <v/>
      </c>
      <c r="AX481" s="4">
        <f>IF(L481="","",--(L481=1))</f>
        <v/>
      </c>
      <c r="AY481" s="4">
        <f>IF(OR($B481="",M481=""),"",--(M481=$B481))</f>
        <v/>
      </c>
      <c r="AZ481" s="4">
        <f>IF(OR($B481="",M481=""),"",IF($B481=1,--(M481=1),""))</f>
        <v/>
      </c>
      <c r="BA481" s="4">
        <f>IF(OR($B481="",M481=""),"",IF($B481=0,--(M481=0),""))</f>
        <v/>
      </c>
      <c r="BB481" s="4">
        <f>IF(M481="","",--(M481=1))</f>
        <v/>
      </c>
      <c r="BC481" s="4">
        <f>IF(OR($B481="",N481=""),"",--(N481=$B481))</f>
        <v/>
      </c>
      <c r="BD481" s="4">
        <f>IF(OR($B481="",N481=""),"",IF($B481=1,--(N481=1),""))</f>
        <v/>
      </c>
      <c r="BE481" s="4">
        <f>IF(OR($B481="",N481=""),"",IF($B481=0,--(N481=0),""))</f>
        <v/>
      </c>
      <c r="BF481" s="4">
        <f>IF(N481="","",--(N481=1))</f>
        <v/>
      </c>
    </row>
    <row r="482">
      <c r="A482" s="3" t="inlineStr">
        <is>
          <t>20233957</t>
        </is>
      </c>
      <c r="B482" s="3" t="inlineStr">
        <is>
          <t>1</t>
        </is>
      </c>
      <c r="C482" s="3" t="inlineStr">
        <is>
          <t>Direct</t>
        </is>
      </c>
      <c r="D482" s="3" t="inlineStr">
        <is>
          <t>1</t>
        </is>
      </c>
      <c r="E482" s="3" t="inlineStr">
        <is>
          <t>1</t>
        </is>
      </c>
      <c r="F482" s="3" t="inlineStr">
        <is>
          <t>0</t>
        </is>
      </c>
      <c r="G482" s="3" t="inlineStr">
        <is>
          <t>1</t>
        </is>
      </c>
      <c r="H482" s="3" t="inlineStr">
        <is>
          <t>1</t>
        </is>
      </c>
      <c r="I482" s="3" t="inlineStr">
        <is>
          <t>1</t>
        </is>
      </c>
      <c r="J482" s="3" t="inlineStr">
        <is>
          <t>0</t>
        </is>
      </c>
      <c r="K482" s="3" t="inlineStr">
        <is>
          <t>0</t>
        </is>
      </c>
      <c r="L482" s="3" t="inlineStr">
        <is>
          <t>1</t>
        </is>
      </c>
      <c r="M482" s="3" t="inlineStr">
        <is>
          <t>1</t>
        </is>
      </c>
      <c r="N482" s="3" t="inlineStr">
        <is>
          <t>1</t>
        </is>
      </c>
      <c r="O482" s="4">
        <f>IF(OR($B482="",D482=""),"",--(D482=$B482))</f>
        <v/>
      </c>
      <c r="P482" s="4">
        <f>IF(OR($B482="",D482=""),"",IF($B482=1,--(D482=1),""))</f>
        <v/>
      </c>
      <c r="Q482" s="4">
        <f>IF(OR($B482="",D482=""),"",IF($B482=0,--(D482=0),""))</f>
        <v/>
      </c>
      <c r="R482" s="4">
        <f>IF(D482="","",--(D482=1))</f>
        <v/>
      </c>
      <c r="S482" s="4">
        <f>IF(OR($B482="",E482=""),"",--(E482=$B482))</f>
        <v/>
      </c>
      <c r="T482" s="4">
        <f>IF(OR($B482="",E482=""),"",IF($B482=1,--(E482=1),""))</f>
        <v/>
      </c>
      <c r="U482" s="4">
        <f>IF(OR($B482="",E482=""),"",IF($B482=0,--(E482=0),""))</f>
        <v/>
      </c>
      <c r="V482" s="4">
        <f>IF(E482="","",--(E482=1))</f>
        <v/>
      </c>
      <c r="W482" s="4">
        <f>IF(OR($B482="",F482=""),"",--(F482=$B482))</f>
        <v/>
      </c>
      <c r="X482" s="4">
        <f>IF(OR($B482="",F482=""),"",IF($B482=1,--(F482=1),""))</f>
        <v/>
      </c>
      <c r="Y482" s="4">
        <f>IF(OR($B482="",F482=""),"",IF($B482=0,--(F482=0),""))</f>
        <v/>
      </c>
      <c r="Z482" s="4">
        <f>IF(F482="","",--(F482=1))</f>
        <v/>
      </c>
      <c r="AA482" s="4">
        <f>IF(OR($B482="",G482=""),"",--(G482=$B482))</f>
        <v/>
      </c>
      <c r="AB482" s="4">
        <f>IF(OR($B482="",G482=""),"",IF($B482=1,--(G482=1),""))</f>
        <v/>
      </c>
      <c r="AC482" s="4">
        <f>IF(OR($B482="",G482=""),"",IF($B482=0,--(G482=0),""))</f>
        <v/>
      </c>
      <c r="AD482" s="4">
        <f>IF(G482="","",--(G482=1))</f>
        <v/>
      </c>
      <c r="AE482" s="4">
        <f>IF(OR($B482="",H482=""),"",--(H482=$B482))</f>
        <v/>
      </c>
      <c r="AF482" s="4">
        <f>IF(OR($B482="",H482=""),"",IF($B482=1,--(H482=1),""))</f>
        <v/>
      </c>
      <c r="AG482" s="4">
        <f>IF(OR($B482="",H482=""),"",IF($B482=0,--(H482=0),""))</f>
        <v/>
      </c>
      <c r="AH482" s="4">
        <f>IF(H482="","",--(H482=1))</f>
        <v/>
      </c>
      <c r="AI482" s="4">
        <f>IF(OR($B482="",I482=""),"",--(I482=$B482))</f>
        <v/>
      </c>
      <c r="AJ482" s="4">
        <f>IF(OR($B482="",I482=""),"",IF($B482=1,--(I482=1),""))</f>
        <v/>
      </c>
      <c r="AK482" s="4">
        <f>IF(OR($B482="",I482=""),"",IF($B482=0,--(I482=0),""))</f>
        <v/>
      </c>
      <c r="AL482" s="4">
        <f>IF(I482="","",--(I482=1))</f>
        <v/>
      </c>
      <c r="AM482" s="4">
        <f>IF(OR($B482="",J482=""),"",--(J482=$B482))</f>
        <v/>
      </c>
      <c r="AN482" s="4">
        <f>IF(OR($B482="",J482=""),"",IF($B482=1,--(J482=1),""))</f>
        <v/>
      </c>
      <c r="AO482" s="4">
        <f>IF(OR($B482="",J482=""),"",IF($B482=0,--(J482=0),""))</f>
        <v/>
      </c>
      <c r="AP482" s="4">
        <f>IF(J482="","",--(J482=1))</f>
        <v/>
      </c>
      <c r="AQ482" s="4">
        <f>IF(OR($B482="",K482=""),"",--(K482=$B482))</f>
        <v/>
      </c>
      <c r="AR482" s="4">
        <f>IF(OR($B482="",K482=""),"",IF($B482=1,--(K482=1),""))</f>
        <v/>
      </c>
      <c r="AS482" s="4">
        <f>IF(OR($B482="",K482=""),"",IF($B482=0,--(K482=0),""))</f>
        <v/>
      </c>
      <c r="AT482" s="4">
        <f>IF(K482="","",--(K482=1))</f>
        <v/>
      </c>
      <c r="AU482" s="4">
        <f>IF(OR($B482="",L482=""),"",--(L482=$B482))</f>
        <v/>
      </c>
      <c r="AV482" s="4">
        <f>IF(OR($B482="",L482=""),"",IF($B482=1,--(L482=1),""))</f>
        <v/>
      </c>
      <c r="AW482" s="4">
        <f>IF(OR($B482="",L482=""),"",IF($B482=0,--(L482=0),""))</f>
        <v/>
      </c>
      <c r="AX482" s="4">
        <f>IF(L482="","",--(L482=1))</f>
        <v/>
      </c>
      <c r="AY482" s="4">
        <f>IF(OR($B482="",M482=""),"",--(M482=$B482))</f>
        <v/>
      </c>
      <c r="AZ482" s="4">
        <f>IF(OR($B482="",M482=""),"",IF($B482=1,--(M482=1),""))</f>
        <v/>
      </c>
      <c r="BA482" s="4">
        <f>IF(OR($B482="",M482=""),"",IF($B482=0,--(M482=0),""))</f>
        <v/>
      </c>
      <c r="BB482" s="4">
        <f>IF(M482="","",--(M482=1))</f>
        <v/>
      </c>
      <c r="BC482" s="4">
        <f>IF(OR($B482="",N482=""),"",--(N482=$B482))</f>
        <v/>
      </c>
      <c r="BD482" s="4">
        <f>IF(OR($B482="",N482=""),"",IF($B482=1,--(N482=1),""))</f>
        <v/>
      </c>
      <c r="BE482" s="4">
        <f>IF(OR($B482="",N482=""),"",IF($B482=0,--(N482=0),""))</f>
        <v/>
      </c>
      <c r="BF482" s="4">
        <f>IF(N482="","",--(N482=1))</f>
        <v/>
      </c>
    </row>
    <row r="483">
      <c r="A483" s="3" t="inlineStr">
        <is>
          <t>202339725</t>
        </is>
      </c>
      <c r="B483" s="3" t="inlineStr">
        <is>
          <t>1</t>
        </is>
      </c>
      <c r="C483" s="3" t="inlineStr">
        <is>
          <t>Direct</t>
        </is>
      </c>
      <c r="D483" s="3" t="inlineStr">
        <is>
          <t>1</t>
        </is>
      </c>
      <c r="E483" s="3" t="inlineStr">
        <is>
          <t>1</t>
        </is>
      </c>
      <c r="F483" s="3" t="inlineStr">
        <is>
          <t>0</t>
        </is>
      </c>
      <c r="G483" s="3" t="inlineStr">
        <is>
          <t>0</t>
        </is>
      </c>
      <c r="H483" s="3" t="inlineStr">
        <is>
          <t>0</t>
        </is>
      </c>
      <c r="I483" s="3" t="inlineStr">
        <is>
          <t>0</t>
        </is>
      </c>
      <c r="J483" s="3" t="inlineStr">
        <is>
          <t>0</t>
        </is>
      </c>
      <c r="K483" s="3" t="inlineStr">
        <is>
          <t>1</t>
        </is>
      </c>
      <c r="L483" s="3" t="inlineStr">
        <is>
          <t>1</t>
        </is>
      </c>
      <c r="M483" s="3" t="inlineStr">
        <is>
          <t>1</t>
        </is>
      </c>
      <c r="N483" s="3" t="inlineStr">
        <is>
          <t>1</t>
        </is>
      </c>
      <c r="O483" s="4">
        <f>IF(OR($B483="",D483=""),"",--(D483=$B483))</f>
        <v/>
      </c>
      <c r="P483" s="4">
        <f>IF(OR($B483="",D483=""),"",IF($B483=1,--(D483=1),""))</f>
        <v/>
      </c>
      <c r="Q483" s="4">
        <f>IF(OR($B483="",D483=""),"",IF($B483=0,--(D483=0),""))</f>
        <v/>
      </c>
      <c r="R483" s="4">
        <f>IF(D483="","",--(D483=1))</f>
        <v/>
      </c>
      <c r="S483" s="4">
        <f>IF(OR($B483="",E483=""),"",--(E483=$B483))</f>
        <v/>
      </c>
      <c r="T483" s="4">
        <f>IF(OR($B483="",E483=""),"",IF($B483=1,--(E483=1),""))</f>
        <v/>
      </c>
      <c r="U483" s="4">
        <f>IF(OR($B483="",E483=""),"",IF($B483=0,--(E483=0),""))</f>
        <v/>
      </c>
      <c r="V483" s="4">
        <f>IF(E483="","",--(E483=1))</f>
        <v/>
      </c>
      <c r="W483" s="4">
        <f>IF(OR($B483="",F483=""),"",--(F483=$B483))</f>
        <v/>
      </c>
      <c r="X483" s="4">
        <f>IF(OR($B483="",F483=""),"",IF($B483=1,--(F483=1),""))</f>
        <v/>
      </c>
      <c r="Y483" s="4">
        <f>IF(OR($B483="",F483=""),"",IF($B483=0,--(F483=0),""))</f>
        <v/>
      </c>
      <c r="Z483" s="4">
        <f>IF(F483="","",--(F483=1))</f>
        <v/>
      </c>
      <c r="AA483" s="4">
        <f>IF(OR($B483="",G483=""),"",--(G483=$B483))</f>
        <v/>
      </c>
      <c r="AB483" s="4">
        <f>IF(OR($B483="",G483=""),"",IF($B483=1,--(G483=1),""))</f>
        <v/>
      </c>
      <c r="AC483" s="4">
        <f>IF(OR($B483="",G483=""),"",IF($B483=0,--(G483=0),""))</f>
        <v/>
      </c>
      <c r="AD483" s="4">
        <f>IF(G483="","",--(G483=1))</f>
        <v/>
      </c>
      <c r="AE483" s="4">
        <f>IF(OR($B483="",H483=""),"",--(H483=$B483))</f>
        <v/>
      </c>
      <c r="AF483" s="4">
        <f>IF(OR($B483="",H483=""),"",IF($B483=1,--(H483=1),""))</f>
        <v/>
      </c>
      <c r="AG483" s="4">
        <f>IF(OR($B483="",H483=""),"",IF($B483=0,--(H483=0),""))</f>
        <v/>
      </c>
      <c r="AH483" s="4">
        <f>IF(H483="","",--(H483=1))</f>
        <v/>
      </c>
      <c r="AI483" s="4">
        <f>IF(OR($B483="",I483=""),"",--(I483=$B483))</f>
        <v/>
      </c>
      <c r="AJ483" s="4">
        <f>IF(OR($B483="",I483=""),"",IF($B483=1,--(I483=1),""))</f>
        <v/>
      </c>
      <c r="AK483" s="4">
        <f>IF(OR($B483="",I483=""),"",IF($B483=0,--(I483=0),""))</f>
        <v/>
      </c>
      <c r="AL483" s="4">
        <f>IF(I483="","",--(I483=1))</f>
        <v/>
      </c>
      <c r="AM483" s="4">
        <f>IF(OR($B483="",J483=""),"",--(J483=$B483))</f>
        <v/>
      </c>
      <c r="AN483" s="4">
        <f>IF(OR($B483="",J483=""),"",IF($B483=1,--(J483=1),""))</f>
        <v/>
      </c>
      <c r="AO483" s="4">
        <f>IF(OR($B483="",J483=""),"",IF($B483=0,--(J483=0),""))</f>
        <v/>
      </c>
      <c r="AP483" s="4">
        <f>IF(J483="","",--(J483=1))</f>
        <v/>
      </c>
      <c r="AQ483" s="4">
        <f>IF(OR($B483="",K483=""),"",--(K483=$B483))</f>
        <v/>
      </c>
      <c r="AR483" s="4">
        <f>IF(OR($B483="",K483=""),"",IF($B483=1,--(K483=1),""))</f>
        <v/>
      </c>
      <c r="AS483" s="4">
        <f>IF(OR($B483="",K483=""),"",IF($B483=0,--(K483=0),""))</f>
        <v/>
      </c>
      <c r="AT483" s="4">
        <f>IF(K483="","",--(K483=1))</f>
        <v/>
      </c>
      <c r="AU483" s="4">
        <f>IF(OR($B483="",L483=""),"",--(L483=$B483))</f>
        <v/>
      </c>
      <c r="AV483" s="4">
        <f>IF(OR($B483="",L483=""),"",IF($B483=1,--(L483=1),""))</f>
        <v/>
      </c>
      <c r="AW483" s="4">
        <f>IF(OR($B483="",L483=""),"",IF($B483=0,--(L483=0),""))</f>
        <v/>
      </c>
      <c r="AX483" s="4">
        <f>IF(L483="","",--(L483=1))</f>
        <v/>
      </c>
      <c r="AY483" s="4">
        <f>IF(OR($B483="",M483=""),"",--(M483=$B483))</f>
        <v/>
      </c>
      <c r="AZ483" s="4">
        <f>IF(OR($B483="",M483=""),"",IF($B483=1,--(M483=1),""))</f>
        <v/>
      </c>
      <c r="BA483" s="4">
        <f>IF(OR($B483="",M483=""),"",IF($B483=0,--(M483=0),""))</f>
        <v/>
      </c>
      <c r="BB483" s="4">
        <f>IF(M483="","",--(M483=1))</f>
        <v/>
      </c>
      <c r="BC483" s="4">
        <f>IF(OR($B483="",N483=""),"",--(N483=$B483))</f>
        <v/>
      </c>
      <c r="BD483" s="4">
        <f>IF(OR($B483="",N483=""),"",IF($B483=1,--(N483=1),""))</f>
        <v/>
      </c>
      <c r="BE483" s="4">
        <f>IF(OR($B483="",N483=""),"",IF($B483=0,--(N483=0),""))</f>
        <v/>
      </c>
      <c r="BF483" s="4">
        <f>IF(N483="","",--(N483=1))</f>
        <v/>
      </c>
    </row>
    <row r="484">
      <c r="A484" s="3" t="inlineStr">
        <is>
          <t>202343890</t>
        </is>
      </c>
      <c r="B484" s="3" t="inlineStr">
        <is>
          <t>1</t>
        </is>
      </c>
      <c r="C484" s="3" t="inlineStr">
        <is>
          <t>Direct</t>
        </is>
      </c>
      <c r="D484" s="3" t="inlineStr">
        <is>
          <t>0</t>
        </is>
      </c>
      <c r="E484" s="3" t="inlineStr">
        <is>
          <t>0</t>
        </is>
      </c>
      <c r="F484" s="3" t="inlineStr">
        <is>
          <t>0</t>
        </is>
      </c>
      <c r="G484" s="3" t="inlineStr">
        <is>
          <t>0</t>
        </is>
      </c>
      <c r="H484" s="3" t="inlineStr">
        <is>
          <t>0</t>
        </is>
      </c>
      <c r="I484" s="3" t="inlineStr">
        <is>
          <t>0</t>
        </is>
      </c>
      <c r="J484" s="3" t="inlineStr">
        <is>
          <t>0</t>
        </is>
      </c>
      <c r="K484" s="3" t="inlineStr">
        <is>
          <t>0</t>
        </is>
      </c>
      <c r="L484" s="3" t="inlineStr">
        <is>
          <t>1</t>
        </is>
      </c>
      <c r="M484" s="3" t="inlineStr">
        <is>
          <t>1</t>
        </is>
      </c>
      <c r="N484" s="3" t="inlineStr">
        <is>
          <t>1</t>
        </is>
      </c>
      <c r="O484" s="4">
        <f>IF(OR($B484="",D484=""),"",--(D484=$B484))</f>
        <v/>
      </c>
      <c r="P484" s="4">
        <f>IF(OR($B484="",D484=""),"",IF($B484=1,--(D484=1),""))</f>
        <v/>
      </c>
      <c r="Q484" s="4">
        <f>IF(OR($B484="",D484=""),"",IF($B484=0,--(D484=0),""))</f>
        <v/>
      </c>
      <c r="R484" s="4">
        <f>IF(D484="","",--(D484=1))</f>
        <v/>
      </c>
      <c r="S484" s="4">
        <f>IF(OR($B484="",E484=""),"",--(E484=$B484))</f>
        <v/>
      </c>
      <c r="T484" s="4">
        <f>IF(OR($B484="",E484=""),"",IF($B484=1,--(E484=1),""))</f>
        <v/>
      </c>
      <c r="U484" s="4">
        <f>IF(OR($B484="",E484=""),"",IF($B484=0,--(E484=0),""))</f>
        <v/>
      </c>
      <c r="V484" s="4">
        <f>IF(E484="","",--(E484=1))</f>
        <v/>
      </c>
      <c r="W484" s="4">
        <f>IF(OR($B484="",F484=""),"",--(F484=$B484))</f>
        <v/>
      </c>
      <c r="X484" s="4">
        <f>IF(OR($B484="",F484=""),"",IF($B484=1,--(F484=1),""))</f>
        <v/>
      </c>
      <c r="Y484" s="4">
        <f>IF(OR($B484="",F484=""),"",IF($B484=0,--(F484=0),""))</f>
        <v/>
      </c>
      <c r="Z484" s="4">
        <f>IF(F484="","",--(F484=1))</f>
        <v/>
      </c>
      <c r="AA484" s="4">
        <f>IF(OR($B484="",G484=""),"",--(G484=$B484))</f>
        <v/>
      </c>
      <c r="AB484" s="4">
        <f>IF(OR($B484="",G484=""),"",IF($B484=1,--(G484=1),""))</f>
        <v/>
      </c>
      <c r="AC484" s="4">
        <f>IF(OR($B484="",G484=""),"",IF($B484=0,--(G484=0),""))</f>
        <v/>
      </c>
      <c r="AD484" s="4">
        <f>IF(G484="","",--(G484=1))</f>
        <v/>
      </c>
      <c r="AE484" s="4">
        <f>IF(OR($B484="",H484=""),"",--(H484=$B484))</f>
        <v/>
      </c>
      <c r="AF484" s="4">
        <f>IF(OR($B484="",H484=""),"",IF($B484=1,--(H484=1),""))</f>
        <v/>
      </c>
      <c r="AG484" s="4">
        <f>IF(OR($B484="",H484=""),"",IF($B484=0,--(H484=0),""))</f>
        <v/>
      </c>
      <c r="AH484" s="4">
        <f>IF(H484="","",--(H484=1))</f>
        <v/>
      </c>
      <c r="AI484" s="4">
        <f>IF(OR($B484="",I484=""),"",--(I484=$B484))</f>
        <v/>
      </c>
      <c r="AJ484" s="4">
        <f>IF(OR($B484="",I484=""),"",IF($B484=1,--(I484=1),""))</f>
        <v/>
      </c>
      <c r="AK484" s="4">
        <f>IF(OR($B484="",I484=""),"",IF($B484=0,--(I484=0),""))</f>
        <v/>
      </c>
      <c r="AL484" s="4">
        <f>IF(I484="","",--(I484=1))</f>
        <v/>
      </c>
      <c r="AM484" s="4">
        <f>IF(OR($B484="",J484=""),"",--(J484=$B484))</f>
        <v/>
      </c>
      <c r="AN484" s="4">
        <f>IF(OR($B484="",J484=""),"",IF($B484=1,--(J484=1),""))</f>
        <v/>
      </c>
      <c r="AO484" s="4">
        <f>IF(OR($B484="",J484=""),"",IF($B484=0,--(J484=0),""))</f>
        <v/>
      </c>
      <c r="AP484" s="4">
        <f>IF(J484="","",--(J484=1))</f>
        <v/>
      </c>
      <c r="AQ484" s="4">
        <f>IF(OR($B484="",K484=""),"",--(K484=$B484))</f>
        <v/>
      </c>
      <c r="AR484" s="4">
        <f>IF(OR($B484="",K484=""),"",IF($B484=1,--(K484=1),""))</f>
        <v/>
      </c>
      <c r="AS484" s="4">
        <f>IF(OR($B484="",K484=""),"",IF($B484=0,--(K484=0),""))</f>
        <v/>
      </c>
      <c r="AT484" s="4">
        <f>IF(K484="","",--(K484=1))</f>
        <v/>
      </c>
      <c r="AU484" s="4">
        <f>IF(OR($B484="",L484=""),"",--(L484=$B484))</f>
        <v/>
      </c>
      <c r="AV484" s="4">
        <f>IF(OR($B484="",L484=""),"",IF($B484=1,--(L484=1),""))</f>
        <v/>
      </c>
      <c r="AW484" s="4">
        <f>IF(OR($B484="",L484=""),"",IF($B484=0,--(L484=0),""))</f>
        <v/>
      </c>
      <c r="AX484" s="4">
        <f>IF(L484="","",--(L484=1))</f>
        <v/>
      </c>
      <c r="AY484" s="4">
        <f>IF(OR($B484="",M484=""),"",--(M484=$B484))</f>
        <v/>
      </c>
      <c r="AZ484" s="4">
        <f>IF(OR($B484="",M484=""),"",IF($B484=1,--(M484=1),""))</f>
        <v/>
      </c>
      <c r="BA484" s="4">
        <f>IF(OR($B484="",M484=""),"",IF($B484=0,--(M484=0),""))</f>
        <v/>
      </c>
      <c r="BB484" s="4">
        <f>IF(M484="","",--(M484=1))</f>
        <v/>
      </c>
      <c r="BC484" s="4">
        <f>IF(OR($B484="",N484=""),"",--(N484=$B484))</f>
        <v/>
      </c>
      <c r="BD484" s="4">
        <f>IF(OR($B484="",N484=""),"",IF($B484=1,--(N484=1),""))</f>
        <v/>
      </c>
      <c r="BE484" s="4">
        <f>IF(OR($B484="",N484=""),"",IF($B484=0,--(N484=0),""))</f>
        <v/>
      </c>
      <c r="BF484" s="4">
        <f>IF(N484="","",--(N484=1))</f>
        <v/>
      </c>
    </row>
    <row r="485">
      <c r="A485" s="3" t="inlineStr">
        <is>
          <t>202345171</t>
        </is>
      </c>
      <c r="B485" s="3" t="inlineStr">
        <is>
          <t>1</t>
        </is>
      </c>
      <c r="C485" s="3" t="inlineStr">
        <is>
          <t>Direct</t>
        </is>
      </c>
      <c r="D485" s="3" t="inlineStr">
        <is>
          <t>0</t>
        </is>
      </c>
      <c r="E485" s="3" t="inlineStr">
        <is>
          <t>0</t>
        </is>
      </c>
      <c r="F485" s="3" t="inlineStr">
        <is>
          <t>0</t>
        </is>
      </c>
      <c r="G485" s="3" t="inlineStr">
        <is>
          <t>0</t>
        </is>
      </c>
      <c r="H485" s="3" t="inlineStr">
        <is>
          <t>0</t>
        </is>
      </c>
      <c r="I485" s="3" t="inlineStr">
        <is>
          <t>0</t>
        </is>
      </c>
      <c r="J485" s="3" t="inlineStr">
        <is>
          <t>1</t>
        </is>
      </c>
      <c r="K485" s="3" t="inlineStr">
        <is>
          <t>1</t>
        </is>
      </c>
      <c r="L485" s="3" t="inlineStr">
        <is>
          <t>1</t>
        </is>
      </c>
      <c r="M485" s="3" t="inlineStr">
        <is>
          <t>1</t>
        </is>
      </c>
      <c r="N485" s="3" t="inlineStr">
        <is>
          <t>1</t>
        </is>
      </c>
      <c r="O485" s="4">
        <f>IF(OR($B485="",D485=""),"",--(D485=$B485))</f>
        <v/>
      </c>
      <c r="P485" s="4">
        <f>IF(OR($B485="",D485=""),"",IF($B485=1,--(D485=1),""))</f>
        <v/>
      </c>
      <c r="Q485" s="4">
        <f>IF(OR($B485="",D485=""),"",IF($B485=0,--(D485=0),""))</f>
        <v/>
      </c>
      <c r="R485" s="4">
        <f>IF(D485="","",--(D485=1))</f>
        <v/>
      </c>
      <c r="S485" s="4">
        <f>IF(OR($B485="",E485=""),"",--(E485=$B485))</f>
        <v/>
      </c>
      <c r="T485" s="4">
        <f>IF(OR($B485="",E485=""),"",IF($B485=1,--(E485=1),""))</f>
        <v/>
      </c>
      <c r="U485" s="4">
        <f>IF(OR($B485="",E485=""),"",IF($B485=0,--(E485=0),""))</f>
        <v/>
      </c>
      <c r="V485" s="4">
        <f>IF(E485="","",--(E485=1))</f>
        <v/>
      </c>
      <c r="W485" s="4">
        <f>IF(OR($B485="",F485=""),"",--(F485=$B485))</f>
        <v/>
      </c>
      <c r="X485" s="4">
        <f>IF(OR($B485="",F485=""),"",IF($B485=1,--(F485=1),""))</f>
        <v/>
      </c>
      <c r="Y485" s="4">
        <f>IF(OR($B485="",F485=""),"",IF($B485=0,--(F485=0),""))</f>
        <v/>
      </c>
      <c r="Z485" s="4">
        <f>IF(F485="","",--(F485=1))</f>
        <v/>
      </c>
      <c r="AA485" s="4">
        <f>IF(OR($B485="",G485=""),"",--(G485=$B485))</f>
        <v/>
      </c>
      <c r="AB485" s="4">
        <f>IF(OR($B485="",G485=""),"",IF($B485=1,--(G485=1),""))</f>
        <v/>
      </c>
      <c r="AC485" s="4">
        <f>IF(OR($B485="",G485=""),"",IF($B485=0,--(G485=0),""))</f>
        <v/>
      </c>
      <c r="AD485" s="4">
        <f>IF(G485="","",--(G485=1))</f>
        <v/>
      </c>
      <c r="AE485" s="4">
        <f>IF(OR($B485="",H485=""),"",--(H485=$B485))</f>
        <v/>
      </c>
      <c r="AF485" s="4">
        <f>IF(OR($B485="",H485=""),"",IF($B485=1,--(H485=1),""))</f>
        <v/>
      </c>
      <c r="AG485" s="4">
        <f>IF(OR($B485="",H485=""),"",IF($B485=0,--(H485=0),""))</f>
        <v/>
      </c>
      <c r="AH485" s="4">
        <f>IF(H485="","",--(H485=1))</f>
        <v/>
      </c>
      <c r="AI485" s="4">
        <f>IF(OR($B485="",I485=""),"",--(I485=$B485))</f>
        <v/>
      </c>
      <c r="AJ485" s="4">
        <f>IF(OR($B485="",I485=""),"",IF($B485=1,--(I485=1),""))</f>
        <v/>
      </c>
      <c r="AK485" s="4">
        <f>IF(OR($B485="",I485=""),"",IF($B485=0,--(I485=0),""))</f>
        <v/>
      </c>
      <c r="AL485" s="4">
        <f>IF(I485="","",--(I485=1))</f>
        <v/>
      </c>
      <c r="AM485" s="4">
        <f>IF(OR($B485="",J485=""),"",--(J485=$B485))</f>
        <v/>
      </c>
      <c r="AN485" s="4">
        <f>IF(OR($B485="",J485=""),"",IF($B485=1,--(J485=1),""))</f>
        <v/>
      </c>
      <c r="AO485" s="4">
        <f>IF(OR($B485="",J485=""),"",IF($B485=0,--(J485=0),""))</f>
        <v/>
      </c>
      <c r="AP485" s="4">
        <f>IF(J485="","",--(J485=1))</f>
        <v/>
      </c>
      <c r="AQ485" s="4">
        <f>IF(OR($B485="",K485=""),"",--(K485=$B485))</f>
        <v/>
      </c>
      <c r="AR485" s="4">
        <f>IF(OR($B485="",K485=""),"",IF($B485=1,--(K485=1),""))</f>
        <v/>
      </c>
      <c r="AS485" s="4">
        <f>IF(OR($B485="",K485=""),"",IF($B485=0,--(K485=0),""))</f>
        <v/>
      </c>
      <c r="AT485" s="4">
        <f>IF(K485="","",--(K485=1))</f>
        <v/>
      </c>
      <c r="AU485" s="4">
        <f>IF(OR($B485="",L485=""),"",--(L485=$B485))</f>
        <v/>
      </c>
      <c r="AV485" s="4">
        <f>IF(OR($B485="",L485=""),"",IF($B485=1,--(L485=1),""))</f>
        <v/>
      </c>
      <c r="AW485" s="4">
        <f>IF(OR($B485="",L485=""),"",IF($B485=0,--(L485=0),""))</f>
        <v/>
      </c>
      <c r="AX485" s="4">
        <f>IF(L485="","",--(L485=1))</f>
        <v/>
      </c>
      <c r="AY485" s="4">
        <f>IF(OR($B485="",M485=""),"",--(M485=$B485))</f>
        <v/>
      </c>
      <c r="AZ485" s="4">
        <f>IF(OR($B485="",M485=""),"",IF($B485=1,--(M485=1),""))</f>
        <v/>
      </c>
      <c r="BA485" s="4">
        <f>IF(OR($B485="",M485=""),"",IF($B485=0,--(M485=0),""))</f>
        <v/>
      </c>
      <c r="BB485" s="4">
        <f>IF(M485="","",--(M485=1))</f>
        <v/>
      </c>
      <c r="BC485" s="4">
        <f>IF(OR($B485="",N485=""),"",--(N485=$B485))</f>
        <v/>
      </c>
      <c r="BD485" s="4">
        <f>IF(OR($B485="",N485=""),"",IF($B485=1,--(N485=1),""))</f>
        <v/>
      </c>
      <c r="BE485" s="4">
        <f>IF(OR($B485="",N485=""),"",IF($B485=0,--(N485=0),""))</f>
        <v/>
      </c>
      <c r="BF485" s="4">
        <f>IF(N485="","",--(N485=1))</f>
        <v/>
      </c>
    </row>
    <row r="486">
      <c r="A486" s="3" t="inlineStr">
        <is>
          <t>20234548</t>
        </is>
      </c>
      <c r="B486" s="3" t="inlineStr">
        <is>
          <t>1</t>
        </is>
      </c>
      <c r="C486" s="3" t="inlineStr">
        <is>
          <t>Direct</t>
        </is>
      </c>
      <c r="D486" s="3" t="inlineStr">
        <is>
          <t>1</t>
        </is>
      </c>
      <c r="E486" s="3" t="inlineStr">
        <is>
          <t>0</t>
        </is>
      </c>
      <c r="F486" s="3" t="inlineStr">
        <is>
          <t>0</t>
        </is>
      </c>
      <c r="G486" s="3" t="inlineStr">
        <is>
          <t>0</t>
        </is>
      </c>
      <c r="H486" s="3" t="inlineStr">
        <is>
          <t>0</t>
        </is>
      </c>
      <c r="I486" s="3" t="inlineStr">
        <is>
          <t>0</t>
        </is>
      </c>
      <c r="J486" s="3" t="inlineStr">
        <is>
          <t>0</t>
        </is>
      </c>
      <c r="K486" s="3" t="inlineStr">
        <is>
          <t>1</t>
        </is>
      </c>
      <c r="L486" s="3" t="inlineStr">
        <is>
          <t>1</t>
        </is>
      </c>
      <c r="M486" s="3" t="inlineStr">
        <is>
          <t>1</t>
        </is>
      </c>
      <c r="N486" s="3" t="inlineStr">
        <is>
          <t>1</t>
        </is>
      </c>
      <c r="O486" s="4">
        <f>IF(OR($B486="",D486=""),"",--(D486=$B486))</f>
        <v/>
      </c>
      <c r="P486" s="4">
        <f>IF(OR($B486="",D486=""),"",IF($B486=1,--(D486=1),""))</f>
        <v/>
      </c>
      <c r="Q486" s="4">
        <f>IF(OR($B486="",D486=""),"",IF($B486=0,--(D486=0),""))</f>
        <v/>
      </c>
      <c r="R486" s="4">
        <f>IF(D486="","",--(D486=1))</f>
        <v/>
      </c>
      <c r="S486" s="4">
        <f>IF(OR($B486="",E486=""),"",--(E486=$B486))</f>
        <v/>
      </c>
      <c r="T486" s="4">
        <f>IF(OR($B486="",E486=""),"",IF($B486=1,--(E486=1),""))</f>
        <v/>
      </c>
      <c r="U486" s="4">
        <f>IF(OR($B486="",E486=""),"",IF($B486=0,--(E486=0),""))</f>
        <v/>
      </c>
      <c r="V486" s="4">
        <f>IF(E486="","",--(E486=1))</f>
        <v/>
      </c>
      <c r="W486" s="4">
        <f>IF(OR($B486="",F486=""),"",--(F486=$B486))</f>
        <v/>
      </c>
      <c r="X486" s="4">
        <f>IF(OR($B486="",F486=""),"",IF($B486=1,--(F486=1),""))</f>
        <v/>
      </c>
      <c r="Y486" s="4">
        <f>IF(OR($B486="",F486=""),"",IF($B486=0,--(F486=0),""))</f>
        <v/>
      </c>
      <c r="Z486" s="4">
        <f>IF(F486="","",--(F486=1))</f>
        <v/>
      </c>
      <c r="AA486" s="4">
        <f>IF(OR($B486="",G486=""),"",--(G486=$B486))</f>
        <v/>
      </c>
      <c r="AB486" s="4">
        <f>IF(OR($B486="",G486=""),"",IF($B486=1,--(G486=1),""))</f>
        <v/>
      </c>
      <c r="AC486" s="4">
        <f>IF(OR($B486="",G486=""),"",IF($B486=0,--(G486=0),""))</f>
        <v/>
      </c>
      <c r="AD486" s="4">
        <f>IF(G486="","",--(G486=1))</f>
        <v/>
      </c>
      <c r="AE486" s="4">
        <f>IF(OR($B486="",H486=""),"",--(H486=$B486))</f>
        <v/>
      </c>
      <c r="AF486" s="4">
        <f>IF(OR($B486="",H486=""),"",IF($B486=1,--(H486=1),""))</f>
        <v/>
      </c>
      <c r="AG486" s="4">
        <f>IF(OR($B486="",H486=""),"",IF($B486=0,--(H486=0),""))</f>
        <v/>
      </c>
      <c r="AH486" s="4">
        <f>IF(H486="","",--(H486=1))</f>
        <v/>
      </c>
      <c r="AI486" s="4">
        <f>IF(OR($B486="",I486=""),"",--(I486=$B486))</f>
        <v/>
      </c>
      <c r="AJ486" s="4">
        <f>IF(OR($B486="",I486=""),"",IF($B486=1,--(I486=1),""))</f>
        <v/>
      </c>
      <c r="AK486" s="4">
        <f>IF(OR($B486="",I486=""),"",IF($B486=0,--(I486=0),""))</f>
        <v/>
      </c>
      <c r="AL486" s="4">
        <f>IF(I486="","",--(I486=1))</f>
        <v/>
      </c>
      <c r="AM486" s="4">
        <f>IF(OR($B486="",J486=""),"",--(J486=$B486))</f>
        <v/>
      </c>
      <c r="AN486" s="4">
        <f>IF(OR($B486="",J486=""),"",IF($B486=1,--(J486=1),""))</f>
        <v/>
      </c>
      <c r="AO486" s="4">
        <f>IF(OR($B486="",J486=""),"",IF($B486=0,--(J486=0),""))</f>
        <v/>
      </c>
      <c r="AP486" s="4">
        <f>IF(J486="","",--(J486=1))</f>
        <v/>
      </c>
      <c r="AQ486" s="4">
        <f>IF(OR($B486="",K486=""),"",--(K486=$B486))</f>
        <v/>
      </c>
      <c r="AR486" s="4">
        <f>IF(OR($B486="",K486=""),"",IF($B486=1,--(K486=1),""))</f>
        <v/>
      </c>
      <c r="AS486" s="4">
        <f>IF(OR($B486="",K486=""),"",IF($B486=0,--(K486=0),""))</f>
        <v/>
      </c>
      <c r="AT486" s="4">
        <f>IF(K486="","",--(K486=1))</f>
        <v/>
      </c>
      <c r="AU486" s="4">
        <f>IF(OR($B486="",L486=""),"",--(L486=$B486))</f>
        <v/>
      </c>
      <c r="AV486" s="4">
        <f>IF(OR($B486="",L486=""),"",IF($B486=1,--(L486=1),""))</f>
        <v/>
      </c>
      <c r="AW486" s="4">
        <f>IF(OR($B486="",L486=""),"",IF($B486=0,--(L486=0),""))</f>
        <v/>
      </c>
      <c r="AX486" s="4">
        <f>IF(L486="","",--(L486=1))</f>
        <v/>
      </c>
      <c r="AY486" s="4">
        <f>IF(OR($B486="",M486=""),"",--(M486=$B486))</f>
        <v/>
      </c>
      <c r="AZ486" s="4">
        <f>IF(OR($B486="",M486=""),"",IF($B486=1,--(M486=1),""))</f>
        <v/>
      </c>
      <c r="BA486" s="4">
        <f>IF(OR($B486="",M486=""),"",IF($B486=0,--(M486=0),""))</f>
        <v/>
      </c>
      <c r="BB486" s="4">
        <f>IF(M486="","",--(M486=1))</f>
        <v/>
      </c>
      <c r="BC486" s="4">
        <f>IF(OR($B486="",N486=""),"",--(N486=$B486))</f>
        <v/>
      </c>
      <c r="BD486" s="4">
        <f>IF(OR($B486="",N486=""),"",IF($B486=1,--(N486=1),""))</f>
        <v/>
      </c>
      <c r="BE486" s="4">
        <f>IF(OR($B486="",N486=""),"",IF($B486=0,--(N486=0),""))</f>
        <v/>
      </c>
      <c r="BF486" s="4">
        <f>IF(N486="","",--(N486=1))</f>
        <v/>
      </c>
    </row>
    <row r="487">
      <c r="A487" s="3" t="inlineStr">
        <is>
          <t>202346773</t>
        </is>
      </c>
      <c r="B487" s="3" t="inlineStr">
        <is>
          <t>0</t>
        </is>
      </c>
      <c r="C487" s="3" t="inlineStr">
        <is>
          <t>Direct</t>
        </is>
      </c>
      <c r="D487" s="3" t="inlineStr">
        <is>
          <t>0</t>
        </is>
      </c>
      <c r="E487" s="3" t="inlineStr">
        <is>
          <t>0</t>
        </is>
      </c>
      <c r="F487" s="3" t="inlineStr">
        <is>
          <t>0</t>
        </is>
      </c>
      <c r="G487" s="3" t="inlineStr">
        <is>
          <t>0</t>
        </is>
      </c>
      <c r="H487" s="3" t="inlineStr">
        <is>
          <t>0</t>
        </is>
      </c>
      <c r="I487" s="3" t="inlineStr">
        <is>
          <t>0</t>
        </is>
      </c>
      <c r="J487" s="3" t="inlineStr">
        <is>
          <t>0</t>
        </is>
      </c>
      <c r="K487" s="3" t="inlineStr">
        <is>
          <t>1</t>
        </is>
      </c>
      <c r="L487" s="3" t="inlineStr">
        <is>
          <t>0</t>
        </is>
      </c>
      <c r="M487" s="3" t="inlineStr">
        <is>
          <t>0</t>
        </is>
      </c>
      <c r="N487" s="3" t="inlineStr">
        <is>
          <t>1</t>
        </is>
      </c>
      <c r="O487" s="4">
        <f>IF(OR($B487="",D487=""),"",--(D487=$B487))</f>
        <v/>
      </c>
      <c r="P487" s="4">
        <f>IF(OR($B487="",D487=""),"",IF($B487=1,--(D487=1),""))</f>
        <v/>
      </c>
      <c r="Q487" s="4">
        <f>IF(OR($B487="",D487=""),"",IF($B487=0,--(D487=0),""))</f>
        <v/>
      </c>
      <c r="R487" s="4">
        <f>IF(D487="","",--(D487=1))</f>
        <v/>
      </c>
      <c r="S487" s="4">
        <f>IF(OR($B487="",E487=""),"",--(E487=$B487))</f>
        <v/>
      </c>
      <c r="T487" s="4">
        <f>IF(OR($B487="",E487=""),"",IF($B487=1,--(E487=1),""))</f>
        <v/>
      </c>
      <c r="U487" s="4">
        <f>IF(OR($B487="",E487=""),"",IF($B487=0,--(E487=0),""))</f>
        <v/>
      </c>
      <c r="V487" s="4">
        <f>IF(E487="","",--(E487=1))</f>
        <v/>
      </c>
      <c r="W487" s="4">
        <f>IF(OR($B487="",F487=""),"",--(F487=$B487))</f>
        <v/>
      </c>
      <c r="X487" s="4">
        <f>IF(OR($B487="",F487=""),"",IF($B487=1,--(F487=1),""))</f>
        <v/>
      </c>
      <c r="Y487" s="4">
        <f>IF(OR($B487="",F487=""),"",IF($B487=0,--(F487=0),""))</f>
        <v/>
      </c>
      <c r="Z487" s="4">
        <f>IF(F487="","",--(F487=1))</f>
        <v/>
      </c>
      <c r="AA487" s="4">
        <f>IF(OR($B487="",G487=""),"",--(G487=$B487))</f>
        <v/>
      </c>
      <c r="AB487" s="4">
        <f>IF(OR($B487="",G487=""),"",IF($B487=1,--(G487=1),""))</f>
        <v/>
      </c>
      <c r="AC487" s="4">
        <f>IF(OR($B487="",G487=""),"",IF($B487=0,--(G487=0),""))</f>
        <v/>
      </c>
      <c r="AD487" s="4">
        <f>IF(G487="","",--(G487=1))</f>
        <v/>
      </c>
      <c r="AE487" s="4">
        <f>IF(OR($B487="",H487=""),"",--(H487=$B487))</f>
        <v/>
      </c>
      <c r="AF487" s="4">
        <f>IF(OR($B487="",H487=""),"",IF($B487=1,--(H487=1),""))</f>
        <v/>
      </c>
      <c r="AG487" s="4">
        <f>IF(OR($B487="",H487=""),"",IF($B487=0,--(H487=0),""))</f>
        <v/>
      </c>
      <c r="AH487" s="4">
        <f>IF(H487="","",--(H487=1))</f>
        <v/>
      </c>
      <c r="AI487" s="4">
        <f>IF(OR($B487="",I487=""),"",--(I487=$B487))</f>
        <v/>
      </c>
      <c r="AJ487" s="4">
        <f>IF(OR($B487="",I487=""),"",IF($B487=1,--(I487=1),""))</f>
        <v/>
      </c>
      <c r="AK487" s="4">
        <f>IF(OR($B487="",I487=""),"",IF($B487=0,--(I487=0),""))</f>
        <v/>
      </c>
      <c r="AL487" s="4">
        <f>IF(I487="","",--(I487=1))</f>
        <v/>
      </c>
      <c r="AM487" s="4">
        <f>IF(OR($B487="",J487=""),"",--(J487=$B487))</f>
        <v/>
      </c>
      <c r="AN487" s="4">
        <f>IF(OR($B487="",J487=""),"",IF($B487=1,--(J487=1),""))</f>
        <v/>
      </c>
      <c r="AO487" s="4">
        <f>IF(OR($B487="",J487=""),"",IF($B487=0,--(J487=0),""))</f>
        <v/>
      </c>
      <c r="AP487" s="4">
        <f>IF(J487="","",--(J487=1))</f>
        <v/>
      </c>
      <c r="AQ487" s="4">
        <f>IF(OR($B487="",K487=""),"",--(K487=$B487))</f>
        <v/>
      </c>
      <c r="AR487" s="4">
        <f>IF(OR($B487="",K487=""),"",IF($B487=1,--(K487=1),""))</f>
        <v/>
      </c>
      <c r="AS487" s="4">
        <f>IF(OR($B487="",K487=""),"",IF($B487=0,--(K487=0),""))</f>
        <v/>
      </c>
      <c r="AT487" s="4">
        <f>IF(K487="","",--(K487=1))</f>
        <v/>
      </c>
      <c r="AU487" s="4">
        <f>IF(OR($B487="",L487=""),"",--(L487=$B487))</f>
        <v/>
      </c>
      <c r="AV487" s="4">
        <f>IF(OR($B487="",L487=""),"",IF($B487=1,--(L487=1),""))</f>
        <v/>
      </c>
      <c r="AW487" s="4">
        <f>IF(OR($B487="",L487=""),"",IF($B487=0,--(L487=0),""))</f>
        <v/>
      </c>
      <c r="AX487" s="4">
        <f>IF(L487="","",--(L487=1))</f>
        <v/>
      </c>
      <c r="AY487" s="4">
        <f>IF(OR($B487="",M487=""),"",--(M487=$B487))</f>
        <v/>
      </c>
      <c r="AZ487" s="4">
        <f>IF(OR($B487="",M487=""),"",IF($B487=1,--(M487=1),""))</f>
        <v/>
      </c>
      <c r="BA487" s="4">
        <f>IF(OR($B487="",M487=""),"",IF($B487=0,--(M487=0),""))</f>
        <v/>
      </c>
      <c r="BB487" s="4">
        <f>IF(M487="","",--(M487=1))</f>
        <v/>
      </c>
      <c r="BC487" s="4">
        <f>IF(OR($B487="",N487=""),"",--(N487=$B487))</f>
        <v/>
      </c>
      <c r="BD487" s="4">
        <f>IF(OR($B487="",N487=""),"",IF($B487=1,--(N487=1),""))</f>
        <v/>
      </c>
      <c r="BE487" s="4">
        <f>IF(OR($B487="",N487=""),"",IF($B487=0,--(N487=0),""))</f>
        <v/>
      </c>
      <c r="BF487" s="4">
        <f>IF(N487="","",--(N487=1))</f>
        <v/>
      </c>
    </row>
    <row r="488">
      <c r="A488" s="3" t="inlineStr">
        <is>
          <t>202348261</t>
        </is>
      </c>
      <c r="B488" s="3" t="inlineStr">
        <is>
          <t>1</t>
        </is>
      </c>
      <c r="C488" s="3" t="inlineStr">
        <is>
          <t>Direct</t>
        </is>
      </c>
      <c r="D488" s="3" t="inlineStr">
        <is>
          <t>1</t>
        </is>
      </c>
      <c r="E488" s="3" t="inlineStr">
        <is>
          <t>1</t>
        </is>
      </c>
      <c r="F488" s="3" t="inlineStr">
        <is>
          <t>0</t>
        </is>
      </c>
      <c r="G488" s="3" t="inlineStr">
        <is>
          <t>0</t>
        </is>
      </c>
      <c r="H488" s="3" t="inlineStr">
        <is>
          <t>0</t>
        </is>
      </c>
      <c r="I488" s="3" t="inlineStr">
        <is>
          <t>0</t>
        </is>
      </c>
      <c r="J488" s="3" t="inlineStr">
        <is>
          <t>0</t>
        </is>
      </c>
      <c r="K488" s="3" t="inlineStr">
        <is>
          <t>1</t>
        </is>
      </c>
      <c r="L488" s="3" t="inlineStr">
        <is>
          <t>1</t>
        </is>
      </c>
      <c r="M488" s="3" t="inlineStr">
        <is>
          <t>1</t>
        </is>
      </c>
      <c r="N488" s="3" t="inlineStr">
        <is>
          <t>1</t>
        </is>
      </c>
      <c r="O488" s="4">
        <f>IF(OR($B488="",D488=""),"",--(D488=$B488))</f>
        <v/>
      </c>
      <c r="P488" s="4">
        <f>IF(OR($B488="",D488=""),"",IF($B488=1,--(D488=1),""))</f>
        <v/>
      </c>
      <c r="Q488" s="4">
        <f>IF(OR($B488="",D488=""),"",IF($B488=0,--(D488=0),""))</f>
        <v/>
      </c>
      <c r="R488" s="4">
        <f>IF(D488="","",--(D488=1))</f>
        <v/>
      </c>
      <c r="S488" s="4">
        <f>IF(OR($B488="",E488=""),"",--(E488=$B488))</f>
        <v/>
      </c>
      <c r="T488" s="4">
        <f>IF(OR($B488="",E488=""),"",IF($B488=1,--(E488=1),""))</f>
        <v/>
      </c>
      <c r="U488" s="4">
        <f>IF(OR($B488="",E488=""),"",IF($B488=0,--(E488=0),""))</f>
        <v/>
      </c>
      <c r="V488" s="4">
        <f>IF(E488="","",--(E488=1))</f>
        <v/>
      </c>
      <c r="W488" s="4">
        <f>IF(OR($B488="",F488=""),"",--(F488=$B488))</f>
        <v/>
      </c>
      <c r="X488" s="4">
        <f>IF(OR($B488="",F488=""),"",IF($B488=1,--(F488=1),""))</f>
        <v/>
      </c>
      <c r="Y488" s="4">
        <f>IF(OR($B488="",F488=""),"",IF($B488=0,--(F488=0),""))</f>
        <v/>
      </c>
      <c r="Z488" s="4">
        <f>IF(F488="","",--(F488=1))</f>
        <v/>
      </c>
      <c r="AA488" s="4">
        <f>IF(OR($B488="",G488=""),"",--(G488=$B488))</f>
        <v/>
      </c>
      <c r="AB488" s="4">
        <f>IF(OR($B488="",G488=""),"",IF($B488=1,--(G488=1),""))</f>
        <v/>
      </c>
      <c r="AC488" s="4">
        <f>IF(OR($B488="",G488=""),"",IF($B488=0,--(G488=0),""))</f>
        <v/>
      </c>
      <c r="AD488" s="4">
        <f>IF(G488="","",--(G488=1))</f>
        <v/>
      </c>
      <c r="AE488" s="4">
        <f>IF(OR($B488="",H488=""),"",--(H488=$B488))</f>
        <v/>
      </c>
      <c r="AF488" s="4">
        <f>IF(OR($B488="",H488=""),"",IF($B488=1,--(H488=1),""))</f>
        <v/>
      </c>
      <c r="AG488" s="4">
        <f>IF(OR($B488="",H488=""),"",IF($B488=0,--(H488=0),""))</f>
        <v/>
      </c>
      <c r="AH488" s="4">
        <f>IF(H488="","",--(H488=1))</f>
        <v/>
      </c>
      <c r="AI488" s="4">
        <f>IF(OR($B488="",I488=""),"",--(I488=$B488))</f>
        <v/>
      </c>
      <c r="AJ488" s="4">
        <f>IF(OR($B488="",I488=""),"",IF($B488=1,--(I488=1),""))</f>
        <v/>
      </c>
      <c r="AK488" s="4">
        <f>IF(OR($B488="",I488=""),"",IF($B488=0,--(I488=0),""))</f>
        <v/>
      </c>
      <c r="AL488" s="4">
        <f>IF(I488="","",--(I488=1))</f>
        <v/>
      </c>
      <c r="AM488" s="4">
        <f>IF(OR($B488="",J488=""),"",--(J488=$B488))</f>
        <v/>
      </c>
      <c r="AN488" s="4">
        <f>IF(OR($B488="",J488=""),"",IF($B488=1,--(J488=1),""))</f>
        <v/>
      </c>
      <c r="AO488" s="4">
        <f>IF(OR($B488="",J488=""),"",IF($B488=0,--(J488=0),""))</f>
        <v/>
      </c>
      <c r="AP488" s="4">
        <f>IF(J488="","",--(J488=1))</f>
        <v/>
      </c>
      <c r="AQ488" s="4">
        <f>IF(OR($B488="",K488=""),"",--(K488=$B488))</f>
        <v/>
      </c>
      <c r="AR488" s="4">
        <f>IF(OR($B488="",K488=""),"",IF($B488=1,--(K488=1),""))</f>
        <v/>
      </c>
      <c r="AS488" s="4">
        <f>IF(OR($B488="",K488=""),"",IF($B488=0,--(K488=0),""))</f>
        <v/>
      </c>
      <c r="AT488" s="4">
        <f>IF(K488="","",--(K488=1))</f>
        <v/>
      </c>
      <c r="AU488" s="4">
        <f>IF(OR($B488="",L488=""),"",--(L488=$B488))</f>
        <v/>
      </c>
      <c r="AV488" s="4">
        <f>IF(OR($B488="",L488=""),"",IF($B488=1,--(L488=1),""))</f>
        <v/>
      </c>
      <c r="AW488" s="4">
        <f>IF(OR($B488="",L488=""),"",IF($B488=0,--(L488=0),""))</f>
        <v/>
      </c>
      <c r="AX488" s="4">
        <f>IF(L488="","",--(L488=1))</f>
        <v/>
      </c>
      <c r="AY488" s="4">
        <f>IF(OR($B488="",M488=""),"",--(M488=$B488))</f>
        <v/>
      </c>
      <c r="AZ488" s="4">
        <f>IF(OR($B488="",M488=""),"",IF($B488=1,--(M488=1),""))</f>
        <v/>
      </c>
      <c r="BA488" s="4">
        <f>IF(OR($B488="",M488=""),"",IF($B488=0,--(M488=0),""))</f>
        <v/>
      </c>
      <c r="BB488" s="4">
        <f>IF(M488="","",--(M488=1))</f>
        <v/>
      </c>
      <c r="BC488" s="4">
        <f>IF(OR($B488="",N488=""),"",--(N488=$B488))</f>
        <v/>
      </c>
      <c r="BD488" s="4">
        <f>IF(OR($B488="",N488=""),"",IF($B488=1,--(N488=1),""))</f>
        <v/>
      </c>
      <c r="BE488" s="4">
        <f>IF(OR($B488="",N488=""),"",IF($B488=0,--(N488=0),""))</f>
        <v/>
      </c>
      <c r="BF488" s="4">
        <f>IF(N488="","",--(N488=1))</f>
        <v/>
      </c>
    </row>
    <row r="489">
      <c r="A489" s="3" t="inlineStr">
        <is>
          <t>202357536</t>
        </is>
      </c>
      <c r="B489" s="3" t="inlineStr">
        <is>
          <t>1</t>
        </is>
      </c>
      <c r="C489" s="3" t="inlineStr">
        <is>
          <t>Direct</t>
        </is>
      </c>
      <c r="D489" s="3" t="inlineStr">
        <is>
          <t>1</t>
        </is>
      </c>
      <c r="E489" s="3" t="inlineStr">
        <is>
          <t>1</t>
        </is>
      </c>
      <c r="F489" s="3" t="inlineStr">
        <is>
          <t>0</t>
        </is>
      </c>
      <c r="G489" s="3" t="inlineStr">
        <is>
          <t>0</t>
        </is>
      </c>
      <c r="H489" s="3" t="inlineStr">
        <is>
          <t>0</t>
        </is>
      </c>
      <c r="I489" s="3" t="inlineStr">
        <is>
          <t>0</t>
        </is>
      </c>
      <c r="J489" s="3" t="inlineStr">
        <is>
          <t>0</t>
        </is>
      </c>
      <c r="K489" s="3" t="inlineStr">
        <is>
          <t>1</t>
        </is>
      </c>
      <c r="L489" s="3" t="inlineStr">
        <is>
          <t>0</t>
        </is>
      </c>
      <c r="M489" s="3" t="inlineStr">
        <is>
          <t>1</t>
        </is>
      </c>
      <c r="N489" s="3" t="inlineStr">
        <is>
          <t>1</t>
        </is>
      </c>
      <c r="O489" s="4">
        <f>IF(OR($B489="",D489=""),"",--(D489=$B489))</f>
        <v/>
      </c>
      <c r="P489" s="4">
        <f>IF(OR($B489="",D489=""),"",IF($B489=1,--(D489=1),""))</f>
        <v/>
      </c>
      <c r="Q489" s="4">
        <f>IF(OR($B489="",D489=""),"",IF($B489=0,--(D489=0),""))</f>
        <v/>
      </c>
      <c r="R489" s="4">
        <f>IF(D489="","",--(D489=1))</f>
        <v/>
      </c>
      <c r="S489" s="4">
        <f>IF(OR($B489="",E489=""),"",--(E489=$B489))</f>
        <v/>
      </c>
      <c r="T489" s="4">
        <f>IF(OR($B489="",E489=""),"",IF($B489=1,--(E489=1),""))</f>
        <v/>
      </c>
      <c r="U489" s="4">
        <f>IF(OR($B489="",E489=""),"",IF($B489=0,--(E489=0),""))</f>
        <v/>
      </c>
      <c r="V489" s="4">
        <f>IF(E489="","",--(E489=1))</f>
        <v/>
      </c>
      <c r="W489" s="4">
        <f>IF(OR($B489="",F489=""),"",--(F489=$B489))</f>
        <v/>
      </c>
      <c r="X489" s="4">
        <f>IF(OR($B489="",F489=""),"",IF($B489=1,--(F489=1),""))</f>
        <v/>
      </c>
      <c r="Y489" s="4">
        <f>IF(OR($B489="",F489=""),"",IF($B489=0,--(F489=0),""))</f>
        <v/>
      </c>
      <c r="Z489" s="4">
        <f>IF(F489="","",--(F489=1))</f>
        <v/>
      </c>
      <c r="AA489" s="4">
        <f>IF(OR($B489="",G489=""),"",--(G489=$B489))</f>
        <v/>
      </c>
      <c r="AB489" s="4">
        <f>IF(OR($B489="",G489=""),"",IF($B489=1,--(G489=1),""))</f>
        <v/>
      </c>
      <c r="AC489" s="4">
        <f>IF(OR($B489="",G489=""),"",IF($B489=0,--(G489=0),""))</f>
        <v/>
      </c>
      <c r="AD489" s="4">
        <f>IF(G489="","",--(G489=1))</f>
        <v/>
      </c>
      <c r="AE489" s="4">
        <f>IF(OR($B489="",H489=""),"",--(H489=$B489))</f>
        <v/>
      </c>
      <c r="AF489" s="4">
        <f>IF(OR($B489="",H489=""),"",IF($B489=1,--(H489=1),""))</f>
        <v/>
      </c>
      <c r="AG489" s="4">
        <f>IF(OR($B489="",H489=""),"",IF($B489=0,--(H489=0),""))</f>
        <v/>
      </c>
      <c r="AH489" s="4">
        <f>IF(H489="","",--(H489=1))</f>
        <v/>
      </c>
      <c r="AI489" s="4">
        <f>IF(OR($B489="",I489=""),"",--(I489=$B489))</f>
        <v/>
      </c>
      <c r="AJ489" s="4">
        <f>IF(OR($B489="",I489=""),"",IF($B489=1,--(I489=1),""))</f>
        <v/>
      </c>
      <c r="AK489" s="4">
        <f>IF(OR($B489="",I489=""),"",IF($B489=0,--(I489=0),""))</f>
        <v/>
      </c>
      <c r="AL489" s="4">
        <f>IF(I489="","",--(I489=1))</f>
        <v/>
      </c>
      <c r="AM489" s="4">
        <f>IF(OR($B489="",J489=""),"",--(J489=$B489))</f>
        <v/>
      </c>
      <c r="AN489" s="4">
        <f>IF(OR($B489="",J489=""),"",IF($B489=1,--(J489=1),""))</f>
        <v/>
      </c>
      <c r="AO489" s="4">
        <f>IF(OR($B489="",J489=""),"",IF($B489=0,--(J489=0),""))</f>
        <v/>
      </c>
      <c r="AP489" s="4">
        <f>IF(J489="","",--(J489=1))</f>
        <v/>
      </c>
      <c r="AQ489" s="4">
        <f>IF(OR($B489="",K489=""),"",--(K489=$B489))</f>
        <v/>
      </c>
      <c r="AR489" s="4">
        <f>IF(OR($B489="",K489=""),"",IF($B489=1,--(K489=1),""))</f>
        <v/>
      </c>
      <c r="AS489" s="4">
        <f>IF(OR($B489="",K489=""),"",IF($B489=0,--(K489=0),""))</f>
        <v/>
      </c>
      <c r="AT489" s="4">
        <f>IF(K489="","",--(K489=1))</f>
        <v/>
      </c>
      <c r="AU489" s="4">
        <f>IF(OR($B489="",L489=""),"",--(L489=$B489))</f>
        <v/>
      </c>
      <c r="AV489" s="4">
        <f>IF(OR($B489="",L489=""),"",IF($B489=1,--(L489=1),""))</f>
        <v/>
      </c>
      <c r="AW489" s="4">
        <f>IF(OR($B489="",L489=""),"",IF($B489=0,--(L489=0),""))</f>
        <v/>
      </c>
      <c r="AX489" s="4">
        <f>IF(L489="","",--(L489=1))</f>
        <v/>
      </c>
      <c r="AY489" s="4">
        <f>IF(OR($B489="",M489=""),"",--(M489=$B489))</f>
        <v/>
      </c>
      <c r="AZ489" s="4">
        <f>IF(OR($B489="",M489=""),"",IF($B489=1,--(M489=1),""))</f>
        <v/>
      </c>
      <c r="BA489" s="4">
        <f>IF(OR($B489="",M489=""),"",IF($B489=0,--(M489=0),""))</f>
        <v/>
      </c>
      <c r="BB489" s="4">
        <f>IF(M489="","",--(M489=1))</f>
        <v/>
      </c>
      <c r="BC489" s="4">
        <f>IF(OR($B489="",N489=""),"",--(N489=$B489))</f>
        <v/>
      </c>
      <c r="BD489" s="4">
        <f>IF(OR($B489="",N489=""),"",IF($B489=1,--(N489=1),""))</f>
        <v/>
      </c>
      <c r="BE489" s="4">
        <f>IF(OR($B489="",N489=""),"",IF($B489=0,--(N489=0),""))</f>
        <v/>
      </c>
      <c r="BF489" s="4">
        <f>IF(N489="","",--(N489=1))</f>
        <v/>
      </c>
    </row>
    <row r="490">
      <c r="A490" s="3" t="inlineStr">
        <is>
          <t>202366156</t>
        </is>
      </c>
      <c r="B490" s="3" t="inlineStr">
        <is>
          <t>1</t>
        </is>
      </c>
      <c r="C490" s="3" t="inlineStr">
        <is>
          <t>Direct</t>
        </is>
      </c>
      <c r="D490" s="3" t="inlineStr">
        <is>
          <t>1</t>
        </is>
      </c>
      <c r="E490" s="3" t="inlineStr">
        <is>
          <t>1</t>
        </is>
      </c>
      <c r="F490" s="3" t="inlineStr">
        <is>
          <t>0</t>
        </is>
      </c>
      <c r="G490" s="3" t="inlineStr">
        <is>
          <t>0</t>
        </is>
      </c>
      <c r="H490" s="3" t="inlineStr">
        <is>
          <t>0</t>
        </is>
      </c>
      <c r="I490" s="3" t="inlineStr">
        <is>
          <t>1</t>
        </is>
      </c>
      <c r="J490" s="3" t="inlineStr">
        <is>
          <t>0</t>
        </is>
      </c>
      <c r="K490" s="3" t="inlineStr">
        <is>
          <t>1</t>
        </is>
      </c>
      <c r="L490" s="3" t="inlineStr">
        <is>
          <t>1</t>
        </is>
      </c>
      <c r="M490" s="3" t="inlineStr">
        <is>
          <t>1</t>
        </is>
      </c>
      <c r="N490" s="3" t="inlineStr">
        <is>
          <t>1</t>
        </is>
      </c>
      <c r="O490" s="4">
        <f>IF(OR($B490="",D490=""),"",--(D490=$B490))</f>
        <v/>
      </c>
      <c r="P490" s="4">
        <f>IF(OR($B490="",D490=""),"",IF($B490=1,--(D490=1),""))</f>
        <v/>
      </c>
      <c r="Q490" s="4">
        <f>IF(OR($B490="",D490=""),"",IF($B490=0,--(D490=0),""))</f>
        <v/>
      </c>
      <c r="R490" s="4">
        <f>IF(D490="","",--(D490=1))</f>
        <v/>
      </c>
      <c r="S490" s="4">
        <f>IF(OR($B490="",E490=""),"",--(E490=$B490))</f>
        <v/>
      </c>
      <c r="T490" s="4">
        <f>IF(OR($B490="",E490=""),"",IF($B490=1,--(E490=1),""))</f>
        <v/>
      </c>
      <c r="U490" s="4">
        <f>IF(OR($B490="",E490=""),"",IF($B490=0,--(E490=0),""))</f>
        <v/>
      </c>
      <c r="V490" s="4">
        <f>IF(E490="","",--(E490=1))</f>
        <v/>
      </c>
      <c r="W490" s="4">
        <f>IF(OR($B490="",F490=""),"",--(F490=$B490))</f>
        <v/>
      </c>
      <c r="X490" s="4">
        <f>IF(OR($B490="",F490=""),"",IF($B490=1,--(F490=1),""))</f>
        <v/>
      </c>
      <c r="Y490" s="4">
        <f>IF(OR($B490="",F490=""),"",IF($B490=0,--(F490=0),""))</f>
        <v/>
      </c>
      <c r="Z490" s="4">
        <f>IF(F490="","",--(F490=1))</f>
        <v/>
      </c>
      <c r="AA490" s="4">
        <f>IF(OR($B490="",G490=""),"",--(G490=$B490))</f>
        <v/>
      </c>
      <c r="AB490" s="4">
        <f>IF(OR($B490="",G490=""),"",IF($B490=1,--(G490=1),""))</f>
        <v/>
      </c>
      <c r="AC490" s="4">
        <f>IF(OR($B490="",G490=""),"",IF($B490=0,--(G490=0),""))</f>
        <v/>
      </c>
      <c r="AD490" s="4">
        <f>IF(G490="","",--(G490=1))</f>
        <v/>
      </c>
      <c r="AE490" s="4">
        <f>IF(OR($B490="",H490=""),"",--(H490=$B490))</f>
        <v/>
      </c>
      <c r="AF490" s="4">
        <f>IF(OR($B490="",H490=""),"",IF($B490=1,--(H490=1),""))</f>
        <v/>
      </c>
      <c r="AG490" s="4">
        <f>IF(OR($B490="",H490=""),"",IF($B490=0,--(H490=0),""))</f>
        <v/>
      </c>
      <c r="AH490" s="4">
        <f>IF(H490="","",--(H490=1))</f>
        <v/>
      </c>
      <c r="AI490" s="4">
        <f>IF(OR($B490="",I490=""),"",--(I490=$B490))</f>
        <v/>
      </c>
      <c r="AJ490" s="4">
        <f>IF(OR($B490="",I490=""),"",IF($B490=1,--(I490=1),""))</f>
        <v/>
      </c>
      <c r="AK490" s="4">
        <f>IF(OR($B490="",I490=""),"",IF($B490=0,--(I490=0),""))</f>
        <v/>
      </c>
      <c r="AL490" s="4">
        <f>IF(I490="","",--(I490=1))</f>
        <v/>
      </c>
      <c r="AM490" s="4">
        <f>IF(OR($B490="",J490=""),"",--(J490=$B490))</f>
        <v/>
      </c>
      <c r="AN490" s="4">
        <f>IF(OR($B490="",J490=""),"",IF($B490=1,--(J490=1),""))</f>
        <v/>
      </c>
      <c r="AO490" s="4">
        <f>IF(OR($B490="",J490=""),"",IF($B490=0,--(J490=0),""))</f>
        <v/>
      </c>
      <c r="AP490" s="4">
        <f>IF(J490="","",--(J490=1))</f>
        <v/>
      </c>
      <c r="AQ490" s="4">
        <f>IF(OR($B490="",K490=""),"",--(K490=$B490))</f>
        <v/>
      </c>
      <c r="AR490" s="4">
        <f>IF(OR($B490="",K490=""),"",IF($B490=1,--(K490=1),""))</f>
        <v/>
      </c>
      <c r="AS490" s="4">
        <f>IF(OR($B490="",K490=""),"",IF($B490=0,--(K490=0),""))</f>
        <v/>
      </c>
      <c r="AT490" s="4">
        <f>IF(K490="","",--(K490=1))</f>
        <v/>
      </c>
      <c r="AU490" s="4">
        <f>IF(OR($B490="",L490=""),"",--(L490=$B490))</f>
        <v/>
      </c>
      <c r="AV490" s="4">
        <f>IF(OR($B490="",L490=""),"",IF($B490=1,--(L490=1),""))</f>
        <v/>
      </c>
      <c r="AW490" s="4">
        <f>IF(OR($B490="",L490=""),"",IF($B490=0,--(L490=0),""))</f>
        <v/>
      </c>
      <c r="AX490" s="4">
        <f>IF(L490="","",--(L490=1))</f>
        <v/>
      </c>
      <c r="AY490" s="4">
        <f>IF(OR($B490="",M490=""),"",--(M490=$B490))</f>
        <v/>
      </c>
      <c r="AZ490" s="4">
        <f>IF(OR($B490="",M490=""),"",IF($B490=1,--(M490=1),""))</f>
        <v/>
      </c>
      <c r="BA490" s="4">
        <f>IF(OR($B490="",M490=""),"",IF($B490=0,--(M490=0),""))</f>
        <v/>
      </c>
      <c r="BB490" s="4">
        <f>IF(M490="","",--(M490=1))</f>
        <v/>
      </c>
      <c r="BC490" s="4">
        <f>IF(OR($B490="",N490=""),"",--(N490=$B490))</f>
        <v/>
      </c>
      <c r="BD490" s="4">
        <f>IF(OR($B490="",N490=""),"",IF($B490=1,--(N490=1),""))</f>
        <v/>
      </c>
      <c r="BE490" s="4">
        <f>IF(OR($B490="",N490=""),"",IF($B490=0,--(N490=0),""))</f>
        <v/>
      </c>
      <c r="BF490" s="4">
        <f>IF(N490="","",--(N490=1))</f>
        <v/>
      </c>
    </row>
    <row r="491">
      <c r="A491" s="3" t="inlineStr">
        <is>
          <t>202374892</t>
        </is>
      </c>
      <c r="B491" s="3" t="inlineStr">
        <is>
          <t>1</t>
        </is>
      </c>
      <c r="C491" s="3" t="inlineStr">
        <is>
          <t>Direct</t>
        </is>
      </c>
      <c r="D491" s="3" t="inlineStr">
        <is>
          <t>1</t>
        </is>
      </c>
      <c r="E491" s="3" t="inlineStr">
        <is>
          <t>1</t>
        </is>
      </c>
      <c r="F491" s="3" t="inlineStr">
        <is>
          <t>0</t>
        </is>
      </c>
      <c r="G491" s="3" t="inlineStr">
        <is>
          <t>0</t>
        </is>
      </c>
      <c r="H491" s="3" t="inlineStr">
        <is>
          <t>0</t>
        </is>
      </c>
      <c r="I491" s="3" t="inlineStr">
        <is>
          <t>0</t>
        </is>
      </c>
      <c r="J491" s="3" t="inlineStr">
        <is>
          <t>0</t>
        </is>
      </c>
      <c r="K491" s="3" t="inlineStr">
        <is>
          <t>1</t>
        </is>
      </c>
      <c r="L491" s="3" t="inlineStr">
        <is>
          <t>0</t>
        </is>
      </c>
      <c r="M491" s="3" t="inlineStr">
        <is>
          <t>1</t>
        </is>
      </c>
      <c r="N491" s="3" t="inlineStr">
        <is>
          <t>1</t>
        </is>
      </c>
      <c r="O491" s="4">
        <f>IF(OR($B491="",D491=""),"",--(D491=$B491))</f>
        <v/>
      </c>
      <c r="P491" s="4">
        <f>IF(OR($B491="",D491=""),"",IF($B491=1,--(D491=1),""))</f>
        <v/>
      </c>
      <c r="Q491" s="4">
        <f>IF(OR($B491="",D491=""),"",IF($B491=0,--(D491=0),""))</f>
        <v/>
      </c>
      <c r="R491" s="4">
        <f>IF(D491="","",--(D491=1))</f>
        <v/>
      </c>
      <c r="S491" s="4">
        <f>IF(OR($B491="",E491=""),"",--(E491=$B491))</f>
        <v/>
      </c>
      <c r="T491" s="4">
        <f>IF(OR($B491="",E491=""),"",IF($B491=1,--(E491=1),""))</f>
        <v/>
      </c>
      <c r="U491" s="4">
        <f>IF(OR($B491="",E491=""),"",IF($B491=0,--(E491=0),""))</f>
        <v/>
      </c>
      <c r="V491" s="4">
        <f>IF(E491="","",--(E491=1))</f>
        <v/>
      </c>
      <c r="W491" s="4">
        <f>IF(OR($B491="",F491=""),"",--(F491=$B491))</f>
        <v/>
      </c>
      <c r="X491" s="4">
        <f>IF(OR($B491="",F491=""),"",IF($B491=1,--(F491=1),""))</f>
        <v/>
      </c>
      <c r="Y491" s="4">
        <f>IF(OR($B491="",F491=""),"",IF($B491=0,--(F491=0),""))</f>
        <v/>
      </c>
      <c r="Z491" s="4">
        <f>IF(F491="","",--(F491=1))</f>
        <v/>
      </c>
      <c r="AA491" s="4">
        <f>IF(OR($B491="",G491=""),"",--(G491=$B491))</f>
        <v/>
      </c>
      <c r="AB491" s="4">
        <f>IF(OR($B491="",G491=""),"",IF($B491=1,--(G491=1),""))</f>
        <v/>
      </c>
      <c r="AC491" s="4">
        <f>IF(OR($B491="",G491=""),"",IF($B491=0,--(G491=0),""))</f>
        <v/>
      </c>
      <c r="AD491" s="4">
        <f>IF(G491="","",--(G491=1))</f>
        <v/>
      </c>
      <c r="AE491" s="4">
        <f>IF(OR($B491="",H491=""),"",--(H491=$B491))</f>
        <v/>
      </c>
      <c r="AF491" s="4">
        <f>IF(OR($B491="",H491=""),"",IF($B491=1,--(H491=1),""))</f>
        <v/>
      </c>
      <c r="AG491" s="4">
        <f>IF(OR($B491="",H491=""),"",IF($B491=0,--(H491=0),""))</f>
        <v/>
      </c>
      <c r="AH491" s="4">
        <f>IF(H491="","",--(H491=1))</f>
        <v/>
      </c>
      <c r="AI491" s="4">
        <f>IF(OR($B491="",I491=""),"",--(I491=$B491))</f>
        <v/>
      </c>
      <c r="AJ491" s="4">
        <f>IF(OR($B491="",I491=""),"",IF($B491=1,--(I491=1),""))</f>
        <v/>
      </c>
      <c r="AK491" s="4">
        <f>IF(OR($B491="",I491=""),"",IF($B491=0,--(I491=0),""))</f>
        <v/>
      </c>
      <c r="AL491" s="4">
        <f>IF(I491="","",--(I491=1))</f>
        <v/>
      </c>
      <c r="AM491" s="4">
        <f>IF(OR($B491="",J491=""),"",--(J491=$B491))</f>
        <v/>
      </c>
      <c r="AN491" s="4">
        <f>IF(OR($B491="",J491=""),"",IF($B491=1,--(J491=1),""))</f>
        <v/>
      </c>
      <c r="AO491" s="4">
        <f>IF(OR($B491="",J491=""),"",IF($B491=0,--(J491=0),""))</f>
        <v/>
      </c>
      <c r="AP491" s="4">
        <f>IF(J491="","",--(J491=1))</f>
        <v/>
      </c>
      <c r="AQ491" s="4">
        <f>IF(OR($B491="",K491=""),"",--(K491=$B491))</f>
        <v/>
      </c>
      <c r="AR491" s="4">
        <f>IF(OR($B491="",K491=""),"",IF($B491=1,--(K491=1),""))</f>
        <v/>
      </c>
      <c r="AS491" s="4">
        <f>IF(OR($B491="",K491=""),"",IF($B491=0,--(K491=0),""))</f>
        <v/>
      </c>
      <c r="AT491" s="4">
        <f>IF(K491="","",--(K491=1))</f>
        <v/>
      </c>
      <c r="AU491" s="4">
        <f>IF(OR($B491="",L491=""),"",--(L491=$B491))</f>
        <v/>
      </c>
      <c r="AV491" s="4">
        <f>IF(OR($B491="",L491=""),"",IF($B491=1,--(L491=1),""))</f>
        <v/>
      </c>
      <c r="AW491" s="4">
        <f>IF(OR($B491="",L491=""),"",IF($B491=0,--(L491=0),""))</f>
        <v/>
      </c>
      <c r="AX491" s="4">
        <f>IF(L491="","",--(L491=1))</f>
        <v/>
      </c>
      <c r="AY491" s="4">
        <f>IF(OR($B491="",M491=""),"",--(M491=$B491))</f>
        <v/>
      </c>
      <c r="AZ491" s="4">
        <f>IF(OR($B491="",M491=""),"",IF($B491=1,--(M491=1),""))</f>
        <v/>
      </c>
      <c r="BA491" s="4">
        <f>IF(OR($B491="",M491=""),"",IF($B491=0,--(M491=0),""))</f>
        <v/>
      </c>
      <c r="BB491" s="4">
        <f>IF(M491="","",--(M491=1))</f>
        <v/>
      </c>
      <c r="BC491" s="4">
        <f>IF(OR($B491="",N491=""),"",--(N491=$B491))</f>
        <v/>
      </c>
      <c r="BD491" s="4">
        <f>IF(OR($B491="",N491=""),"",IF($B491=1,--(N491=1),""))</f>
        <v/>
      </c>
      <c r="BE491" s="4">
        <f>IF(OR($B491="",N491=""),"",IF($B491=0,--(N491=0),""))</f>
        <v/>
      </c>
      <c r="BF491" s="4">
        <f>IF(N491="","",--(N491=1))</f>
        <v/>
      </c>
    </row>
    <row r="492">
      <c r="A492" s="3" t="inlineStr">
        <is>
          <t>202380545</t>
        </is>
      </c>
      <c r="B492" s="3" t="inlineStr">
        <is>
          <t>0</t>
        </is>
      </c>
      <c r="C492" s="3" t="inlineStr">
        <is>
          <t>Direct</t>
        </is>
      </c>
      <c r="D492" s="3" t="inlineStr">
        <is>
          <t>0</t>
        </is>
      </c>
      <c r="E492" s="3" t="inlineStr">
        <is>
          <t>0</t>
        </is>
      </c>
      <c r="F492" s="3" t="inlineStr">
        <is>
          <t>1</t>
        </is>
      </c>
      <c r="G492" s="3" t="inlineStr">
        <is>
          <t>0</t>
        </is>
      </c>
      <c r="H492" s="3" t="inlineStr">
        <is>
          <t>1</t>
        </is>
      </c>
      <c r="I492" s="3" t="inlineStr">
        <is>
          <t>1</t>
        </is>
      </c>
      <c r="J492" s="3" t="inlineStr">
        <is>
          <t>1</t>
        </is>
      </c>
      <c r="K492" s="3" t="inlineStr">
        <is>
          <t>1</t>
        </is>
      </c>
      <c r="L492" s="3" t="inlineStr">
        <is>
          <t>1</t>
        </is>
      </c>
      <c r="M492" s="3" t="inlineStr">
        <is>
          <t>1</t>
        </is>
      </c>
      <c r="N492" s="3" t="inlineStr">
        <is>
          <t>1</t>
        </is>
      </c>
      <c r="O492" s="4">
        <f>IF(OR($B492="",D492=""),"",--(D492=$B492))</f>
        <v/>
      </c>
      <c r="P492" s="4">
        <f>IF(OR($B492="",D492=""),"",IF($B492=1,--(D492=1),""))</f>
        <v/>
      </c>
      <c r="Q492" s="4">
        <f>IF(OR($B492="",D492=""),"",IF($B492=0,--(D492=0),""))</f>
        <v/>
      </c>
      <c r="R492" s="4">
        <f>IF(D492="","",--(D492=1))</f>
        <v/>
      </c>
      <c r="S492" s="4">
        <f>IF(OR($B492="",E492=""),"",--(E492=$B492))</f>
        <v/>
      </c>
      <c r="T492" s="4">
        <f>IF(OR($B492="",E492=""),"",IF($B492=1,--(E492=1),""))</f>
        <v/>
      </c>
      <c r="U492" s="4">
        <f>IF(OR($B492="",E492=""),"",IF($B492=0,--(E492=0),""))</f>
        <v/>
      </c>
      <c r="V492" s="4">
        <f>IF(E492="","",--(E492=1))</f>
        <v/>
      </c>
      <c r="W492" s="4">
        <f>IF(OR($B492="",F492=""),"",--(F492=$B492))</f>
        <v/>
      </c>
      <c r="X492" s="4">
        <f>IF(OR($B492="",F492=""),"",IF($B492=1,--(F492=1),""))</f>
        <v/>
      </c>
      <c r="Y492" s="4">
        <f>IF(OR($B492="",F492=""),"",IF($B492=0,--(F492=0),""))</f>
        <v/>
      </c>
      <c r="Z492" s="4">
        <f>IF(F492="","",--(F492=1))</f>
        <v/>
      </c>
      <c r="AA492" s="4">
        <f>IF(OR($B492="",G492=""),"",--(G492=$B492))</f>
        <v/>
      </c>
      <c r="AB492" s="4">
        <f>IF(OR($B492="",G492=""),"",IF($B492=1,--(G492=1),""))</f>
        <v/>
      </c>
      <c r="AC492" s="4">
        <f>IF(OR($B492="",G492=""),"",IF($B492=0,--(G492=0),""))</f>
        <v/>
      </c>
      <c r="AD492" s="4">
        <f>IF(G492="","",--(G492=1))</f>
        <v/>
      </c>
      <c r="AE492" s="4">
        <f>IF(OR($B492="",H492=""),"",--(H492=$B492))</f>
        <v/>
      </c>
      <c r="AF492" s="4">
        <f>IF(OR($B492="",H492=""),"",IF($B492=1,--(H492=1),""))</f>
        <v/>
      </c>
      <c r="AG492" s="4">
        <f>IF(OR($B492="",H492=""),"",IF($B492=0,--(H492=0),""))</f>
        <v/>
      </c>
      <c r="AH492" s="4">
        <f>IF(H492="","",--(H492=1))</f>
        <v/>
      </c>
      <c r="AI492" s="4">
        <f>IF(OR($B492="",I492=""),"",--(I492=$B492))</f>
        <v/>
      </c>
      <c r="AJ492" s="4">
        <f>IF(OR($B492="",I492=""),"",IF($B492=1,--(I492=1),""))</f>
        <v/>
      </c>
      <c r="AK492" s="4">
        <f>IF(OR($B492="",I492=""),"",IF($B492=0,--(I492=0),""))</f>
        <v/>
      </c>
      <c r="AL492" s="4">
        <f>IF(I492="","",--(I492=1))</f>
        <v/>
      </c>
      <c r="AM492" s="4">
        <f>IF(OR($B492="",J492=""),"",--(J492=$B492))</f>
        <v/>
      </c>
      <c r="AN492" s="4">
        <f>IF(OR($B492="",J492=""),"",IF($B492=1,--(J492=1),""))</f>
        <v/>
      </c>
      <c r="AO492" s="4">
        <f>IF(OR($B492="",J492=""),"",IF($B492=0,--(J492=0),""))</f>
        <v/>
      </c>
      <c r="AP492" s="4">
        <f>IF(J492="","",--(J492=1))</f>
        <v/>
      </c>
      <c r="AQ492" s="4">
        <f>IF(OR($B492="",K492=""),"",--(K492=$B492))</f>
        <v/>
      </c>
      <c r="AR492" s="4">
        <f>IF(OR($B492="",K492=""),"",IF($B492=1,--(K492=1),""))</f>
        <v/>
      </c>
      <c r="AS492" s="4">
        <f>IF(OR($B492="",K492=""),"",IF($B492=0,--(K492=0),""))</f>
        <v/>
      </c>
      <c r="AT492" s="4">
        <f>IF(K492="","",--(K492=1))</f>
        <v/>
      </c>
      <c r="AU492" s="4">
        <f>IF(OR($B492="",L492=""),"",--(L492=$B492))</f>
        <v/>
      </c>
      <c r="AV492" s="4">
        <f>IF(OR($B492="",L492=""),"",IF($B492=1,--(L492=1),""))</f>
        <v/>
      </c>
      <c r="AW492" s="4">
        <f>IF(OR($B492="",L492=""),"",IF($B492=0,--(L492=0),""))</f>
        <v/>
      </c>
      <c r="AX492" s="4">
        <f>IF(L492="","",--(L492=1))</f>
        <v/>
      </c>
      <c r="AY492" s="4">
        <f>IF(OR($B492="",M492=""),"",--(M492=$B492))</f>
        <v/>
      </c>
      <c r="AZ492" s="4">
        <f>IF(OR($B492="",M492=""),"",IF($B492=1,--(M492=1),""))</f>
        <v/>
      </c>
      <c r="BA492" s="4">
        <f>IF(OR($B492="",M492=""),"",IF($B492=0,--(M492=0),""))</f>
        <v/>
      </c>
      <c r="BB492" s="4">
        <f>IF(M492="","",--(M492=1))</f>
        <v/>
      </c>
      <c r="BC492" s="4">
        <f>IF(OR($B492="",N492=""),"",--(N492=$B492))</f>
        <v/>
      </c>
      <c r="BD492" s="4">
        <f>IF(OR($B492="",N492=""),"",IF($B492=1,--(N492=1),""))</f>
        <v/>
      </c>
      <c r="BE492" s="4">
        <f>IF(OR($B492="",N492=""),"",IF($B492=0,--(N492=0),""))</f>
        <v/>
      </c>
      <c r="BF492" s="4">
        <f>IF(N492="","",--(N492=1))</f>
        <v/>
      </c>
    </row>
    <row r="493">
      <c r="A493" s="3" t="inlineStr">
        <is>
          <t>202381089</t>
        </is>
      </c>
      <c r="B493" s="3" t="inlineStr">
        <is>
          <t>1</t>
        </is>
      </c>
      <c r="C493" s="3" t="inlineStr">
        <is>
          <t>Direct</t>
        </is>
      </c>
      <c r="D493" s="3" t="inlineStr">
        <is>
          <t>1</t>
        </is>
      </c>
      <c r="E493" s="3" t="inlineStr">
        <is>
          <t>1</t>
        </is>
      </c>
      <c r="F493" s="3" t="inlineStr">
        <is>
          <t>0</t>
        </is>
      </c>
      <c r="G493" s="3" t="inlineStr">
        <is>
          <t>0</t>
        </is>
      </c>
      <c r="H493" s="3" t="inlineStr">
        <is>
          <t>1</t>
        </is>
      </c>
      <c r="I493" s="3" t="inlineStr">
        <is>
          <t>0</t>
        </is>
      </c>
      <c r="J493" s="3" t="inlineStr">
        <is>
          <t>0</t>
        </is>
      </c>
      <c r="K493" s="3" t="inlineStr">
        <is>
          <t>1</t>
        </is>
      </c>
      <c r="L493" s="3" t="inlineStr">
        <is>
          <t>1</t>
        </is>
      </c>
      <c r="M493" s="3" t="inlineStr">
        <is>
          <t>1</t>
        </is>
      </c>
      <c r="N493" s="3" t="inlineStr">
        <is>
          <t>1</t>
        </is>
      </c>
      <c r="O493" s="4">
        <f>IF(OR($B493="",D493=""),"",--(D493=$B493))</f>
        <v/>
      </c>
      <c r="P493" s="4">
        <f>IF(OR($B493="",D493=""),"",IF($B493=1,--(D493=1),""))</f>
        <v/>
      </c>
      <c r="Q493" s="4">
        <f>IF(OR($B493="",D493=""),"",IF($B493=0,--(D493=0),""))</f>
        <v/>
      </c>
      <c r="R493" s="4">
        <f>IF(D493="","",--(D493=1))</f>
        <v/>
      </c>
      <c r="S493" s="4">
        <f>IF(OR($B493="",E493=""),"",--(E493=$B493))</f>
        <v/>
      </c>
      <c r="T493" s="4">
        <f>IF(OR($B493="",E493=""),"",IF($B493=1,--(E493=1),""))</f>
        <v/>
      </c>
      <c r="U493" s="4">
        <f>IF(OR($B493="",E493=""),"",IF($B493=0,--(E493=0),""))</f>
        <v/>
      </c>
      <c r="V493" s="4">
        <f>IF(E493="","",--(E493=1))</f>
        <v/>
      </c>
      <c r="W493" s="4">
        <f>IF(OR($B493="",F493=""),"",--(F493=$B493))</f>
        <v/>
      </c>
      <c r="X493" s="4">
        <f>IF(OR($B493="",F493=""),"",IF($B493=1,--(F493=1),""))</f>
        <v/>
      </c>
      <c r="Y493" s="4">
        <f>IF(OR($B493="",F493=""),"",IF($B493=0,--(F493=0),""))</f>
        <v/>
      </c>
      <c r="Z493" s="4">
        <f>IF(F493="","",--(F493=1))</f>
        <v/>
      </c>
      <c r="AA493" s="4">
        <f>IF(OR($B493="",G493=""),"",--(G493=$B493))</f>
        <v/>
      </c>
      <c r="AB493" s="4">
        <f>IF(OR($B493="",G493=""),"",IF($B493=1,--(G493=1),""))</f>
        <v/>
      </c>
      <c r="AC493" s="4">
        <f>IF(OR($B493="",G493=""),"",IF($B493=0,--(G493=0),""))</f>
        <v/>
      </c>
      <c r="AD493" s="4">
        <f>IF(G493="","",--(G493=1))</f>
        <v/>
      </c>
      <c r="AE493" s="4">
        <f>IF(OR($B493="",H493=""),"",--(H493=$B493))</f>
        <v/>
      </c>
      <c r="AF493" s="4">
        <f>IF(OR($B493="",H493=""),"",IF($B493=1,--(H493=1),""))</f>
        <v/>
      </c>
      <c r="AG493" s="4">
        <f>IF(OR($B493="",H493=""),"",IF($B493=0,--(H493=0),""))</f>
        <v/>
      </c>
      <c r="AH493" s="4">
        <f>IF(H493="","",--(H493=1))</f>
        <v/>
      </c>
      <c r="AI493" s="4">
        <f>IF(OR($B493="",I493=""),"",--(I493=$B493))</f>
        <v/>
      </c>
      <c r="AJ493" s="4">
        <f>IF(OR($B493="",I493=""),"",IF($B493=1,--(I493=1),""))</f>
        <v/>
      </c>
      <c r="AK493" s="4">
        <f>IF(OR($B493="",I493=""),"",IF($B493=0,--(I493=0),""))</f>
        <v/>
      </c>
      <c r="AL493" s="4">
        <f>IF(I493="","",--(I493=1))</f>
        <v/>
      </c>
      <c r="AM493" s="4">
        <f>IF(OR($B493="",J493=""),"",--(J493=$B493))</f>
        <v/>
      </c>
      <c r="AN493" s="4">
        <f>IF(OR($B493="",J493=""),"",IF($B493=1,--(J493=1),""))</f>
        <v/>
      </c>
      <c r="AO493" s="4">
        <f>IF(OR($B493="",J493=""),"",IF($B493=0,--(J493=0),""))</f>
        <v/>
      </c>
      <c r="AP493" s="4">
        <f>IF(J493="","",--(J493=1))</f>
        <v/>
      </c>
      <c r="AQ493" s="4">
        <f>IF(OR($B493="",K493=""),"",--(K493=$B493))</f>
        <v/>
      </c>
      <c r="AR493" s="4">
        <f>IF(OR($B493="",K493=""),"",IF($B493=1,--(K493=1),""))</f>
        <v/>
      </c>
      <c r="AS493" s="4">
        <f>IF(OR($B493="",K493=""),"",IF($B493=0,--(K493=0),""))</f>
        <v/>
      </c>
      <c r="AT493" s="4">
        <f>IF(K493="","",--(K493=1))</f>
        <v/>
      </c>
      <c r="AU493" s="4">
        <f>IF(OR($B493="",L493=""),"",--(L493=$B493))</f>
        <v/>
      </c>
      <c r="AV493" s="4">
        <f>IF(OR($B493="",L493=""),"",IF($B493=1,--(L493=1),""))</f>
        <v/>
      </c>
      <c r="AW493" s="4">
        <f>IF(OR($B493="",L493=""),"",IF($B493=0,--(L493=0),""))</f>
        <v/>
      </c>
      <c r="AX493" s="4">
        <f>IF(L493="","",--(L493=1))</f>
        <v/>
      </c>
      <c r="AY493" s="4">
        <f>IF(OR($B493="",M493=""),"",--(M493=$B493))</f>
        <v/>
      </c>
      <c r="AZ493" s="4">
        <f>IF(OR($B493="",M493=""),"",IF($B493=1,--(M493=1),""))</f>
        <v/>
      </c>
      <c r="BA493" s="4">
        <f>IF(OR($B493="",M493=""),"",IF($B493=0,--(M493=0),""))</f>
        <v/>
      </c>
      <c r="BB493" s="4">
        <f>IF(M493="","",--(M493=1))</f>
        <v/>
      </c>
      <c r="BC493" s="4">
        <f>IF(OR($B493="",N493=""),"",--(N493=$B493))</f>
        <v/>
      </c>
      <c r="BD493" s="4">
        <f>IF(OR($B493="",N493=""),"",IF($B493=1,--(N493=1),""))</f>
        <v/>
      </c>
      <c r="BE493" s="4">
        <f>IF(OR($B493="",N493=""),"",IF($B493=0,--(N493=0),""))</f>
        <v/>
      </c>
      <c r="BF493" s="4">
        <f>IF(N493="","",--(N493=1))</f>
        <v/>
      </c>
    </row>
    <row r="494">
      <c r="A494" s="3" t="inlineStr">
        <is>
          <t>202384809</t>
        </is>
      </c>
      <c r="B494" s="3" t="inlineStr">
        <is>
          <t>1</t>
        </is>
      </c>
      <c r="C494" s="3" t="inlineStr">
        <is>
          <t>Direct</t>
        </is>
      </c>
      <c r="D494" s="3" t="inlineStr">
        <is>
          <t>1</t>
        </is>
      </c>
      <c r="E494" s="3" t="inlineStr">
        <is>
          <t>0</t>
        </is>
      </c>
      <c r="F494" s="3" t="inlineStr">
        <is>
          <t>0</t>
        </is>
      </c>
      <c r="G494" s="3" t="inlineStr">
        <is>
          <t>0</t>
        </is>
      </c>
      <c r="H494" s="3" t="inlineStr">
        <is>
          <t>1</t>
        </is>
      </c>
      <c r="I494" s="3" t="inlineStr">
        <is>
          <t>1</t>
        </is>
      </c>
      <c r="J494" s="3" t="inlineStr">
        <is>
          <t>1</t>
        </is>
      </c>
      <c r="K494" s="3" t="inlineStr">
        <is>
          <t>1</t>
        </is>
      </c>
      <c r="L494" s="3" t="inlineStr">
        <is>
          <t>1</t>
        </is>
      </c>
      <c r="M494" s="3" t="inlineStr">
        <is>
          <t>1</t>
        </is>
      </c>
      <c r="N494" s="3" t="inlineStr">
        <is>
          <t>1</t>
        </is>
      </c>
      <c r="O494" s="4">
        <f>IF(OR($B494="",D494=""),"",--(D494=$B494))</f>
        <v/>
      </c>
      <c r="P494" s="4">
        <f>IF(OR($B494="",D494=""),"",IF($B494=1,--(D494=1),""))</f>
        <v/>
      </c>
      <c r="Q494" s="4">
        <f>IF(OR($B494="",D494=""),"",IF($B494=0,--(D494=0),""))</f>
        <v/>
      </c>
      <c r="R494" s="4">
        <f>IF(D494="","",--(D494=1))</f>
        <v/>
      </c>
      <c r="S494" s="4">
        <f>IF(OR($B494="",E494=""),"",--(E494=$B494))</f>
        <v/>
      </c>
      <c r="T494" s="4">
        <f>IF(OR($B494="",E494=""),"",IF($B494=1,--(E494=1),""))</f>
        <v/>
      </c>
      <c r="U494" s="4">
        <f>IF(OR($B494="",E494=""),"",IF($B494=0,--(E494=0),""))</f>
        <v/>
      </c>
      <c r="V494" s="4">
        <f>IF(E494="","",--(E494=1))</f>
        <v/>
      </c>
      <c r="W494" s="4">
        <f>IF(OR($B494="",F494=""),"",--(F494=$B494))</f>
        <v/>
      </c>
      <c r="X494" s="4">
        <f>IF(OR($B494="",F494=""),"",IF($B494=1,--(F494=1),""))</f>
        <v/>
      </c>
      <c r="Y494" s="4">
        <f>IF(OR($B494="",F494=""),"",IF($B494=0,--(F494=0),""))</f>
        <v/>
      </c>
      <c r="Z494" s="4">
        <f>IF(F494="","",--(F494=1))</f>
        <v/>
      </c>
      <c r="AA494" s="4">
        <f>IF(OR($B494="",G494=""),"",--(G494=$B494))</f>
        <v/>
      </c>
      <c r="AB494" s="4">
        <f>IF(OR($B494="",G494=""),"",IF($B494=1,--(G494=1),""))</f>
        <v/>
      </c>
      <c r="AC494" s="4">
        <f>IF(OR($B494="",G494=""),"",IF($B494=0,--(G494=0),""))</f>
        <v/>
      </c>
      <c r="AD494" s="4">
        <f>IF(G494="","",--(G494=1))</f>
        <v/>
      </c>
      <c r="AE494" s="4">
        <f>IF(OR($B494="",H494=""),"",--(H494=$B494))</f>
        <v/>
      </c>
      <c r="AF494" s="4">
        <f>IF(OR($B494="",H494=""),"",IF($B494=1,--(H494=1),""))</f>
        <v/>
      </c>
      <c r="AG494" s="4">
        <f>IF(OR($B494="",H494=""),"",IF($B494=0,--(H494=0),""))</f>
        <v/>
      </c>
      <c r="AH494" s="4">
        <f>IF(H494="","",--(H494=1))</f>
        <v/>
      </c>
      <c r="AI494" s="4">
        <f>IF(OR($B494="",I494=""),"",--(I494=$B494))</f>
        <v/>
      </c>
      <c r="AJ494" s="4">
        <f>IF(OR($B494="",I494=""),"",IF($B494=1,--(I494=1),""))</f>
        <v/>
      </c>
      <c r="AK494" s="4">
        <f>IF(OR($B494="",I494=""),"",IF($B494=0,--(I494=0),""))</f>
        <v/>
      </c>
      <c r="AL494" s="4">
        <f>IF(I494="","",--(I494=1))</f>
        <v/>
      </c>
      <c r="AM494" s="4">
        <f>IF(OR($B494="",J494=""),"",--(J494=$B494))</f>
        <v/>
      </c>
      <c r="AN494" s="4">
        <f>IF(OR($B494="",J494=""),"",IF($B494=1,--(J494=1),""))</f>
        <v/>
      </c>
      <c r="AO494" s="4">
        <f>IF(OR($B494="",J494=""),"",IF($B494=0,--(J494=0),""))</f>
        <v/>
      </c>
      <c r="AP494" s="4">
        <f>IF(J494="","",--(J494=1))</f>
        <v/>
      </c>
      <c r="AQ494" s="4">
        <f>IF(OR($B494="",K494=""),"",--(K494=$B494))</f>
        <v/>
      </c>
      <c r="AR494" s="4">
        <f>IF(OR($B494="",K494=""),"",IF($B494=1,--(K494=1),""))</f>
        <v/>
      </c>
      <c r="AS494" s="4">
        <f>IF(OR($B494="",K494=""),"",IF($B494=0,--(K494=0),""))</f>
        <v/>
      </c>
      <c r="AT494" s="4">
        <f>IF(K494="","",--(K494=1))</f>
        <v/>
      </c>
      <c r="AU494" s="4">
        <f>IF(OR($B494="",L494=""),"",--(L494=$B494))</f>
        <v/>
      </c>
      <c r="AV494" s="4">
        <f>IF(OR($B494="",L494=""),"",IF($B494=1,--(L494=1),""))</f>
        <v/>
      </c>
      <c r="AW494" s="4">
        <f>IF(OR($B494="",L494=""),"",IF($B494=0,--(L494=0),""))</f>
        <v/>
      </c>
      <c r="AX494" s="4">
        <f>IF(L494="","",--(L494=1))</f>
        <v/>
      </c>
      <c r="AY494" s="4">
        <f>IF(OR($B494="",M494=""),"",--(M494=$B494))</f>
        <v/>
      </c>
      <c r="AZ494" s="4">
        <f>IF(OR($B494="",M494=""),"",IF($B494=1,--(M494=1),""))</f>
        <v/>
      </c>
      <c r="BA494" s="4">
        <f>IF(OR($B494="",M494=""),"",IF($B494=0,--(M494=0),""))</f>
        <v/>
      </c>
      <c r="BB494" s="4">
        <f>IF(M494="","",--(M494=1))</f>
        <v/>
      </c>
      <c r="BC494" s="4">
        <f>IF(OR($B494="",N494=""),"",--(N494=$B494))</f>
        <v/>
      </c>
      <c r="BD494" s="4">
        <f>IF(OR($B494="",N494=""),"",IF($B494=1,--(N494=1),""))</f>
        <v/>
      </c>
      <c r="BE494" s="4">
        <f>IF(OR($B494="",N494=""),"",IF($B494=0,--(N494=0),""))</f>
        <v/>
      </c>
      <c r="BF494" s="4">
        <f>IF(N494="","",--(N494=1))</f>
        <v/>
      </c>
    </row>
    <row r="495">
      <c r="A495" s="3" t="inlineStr">
        <is>
          <t>202391713</t>
        </is>
      </c>
      <c r="B495" s="3" t="inlineStr">
        <is>
          <t>1</t>
        </is>
      </c>
      <c r="C495" s="3" t="inlineStr">
        <is>
          <t>Direct</t>
        </is>
      </c>
      <c r="D495" s="3" t="inlineStr">
        <is>
          <t>0</t>
        </is>
      </c>
      <c r="E495" s="3" t="inlineStr">
        <is>
          <t>1</t>
        </is>
      </c>
      <c r="F495" s="3" t="inlineStr">
        <is>
          <t>0</t>
        </is>
      </c>
      <c r="G495" s="3" t="inlineStr">
        <is>
          <t>0</t>
        </is>
      </c>
      <c r="H495" s="3" t="inlineStr">
        <is>
          <t>0</t>
        </is>
      </c>
      <c r="I495" s="3" t="inlineStr">
        <is>
          <t>0</t>
        </is>
      </c>
      <c r="J495" s="3" t="inlineStr">
        <is>
          <t>0</t>
        </is>
      </c>
      <c r="K495" s="3" t="inlineStr">
        <is>
          <t>0</t>
        </is>
      </c>
      <c r="L495" s="3" t="inlineStr">
        <is>
          <t>1</t>
        </is>
      </c>
      <c r="M495" s="3" t="inlineStr">
        <is>
          <t>1</t>
        </is>
      </c>
      <c r="N495" s="3" t="inlineStr">
        <is>
          <t>1</t>
        </is>
      </c>
      <c r="O495" s="4">
        <f>IF(OR($B495="",D495=""),"",--(D495=$B495))</f>
        <v/>
      </c>
      <c r="P495" s="4">
        <f>IF(OR($B495="",D495=""),"",IF($B495=1,--(D495=1),""))</f>
        <v/>
      </c>
      <c r="Q495" s="4">
        <f>IF(OR($B495="",D495=""),"",IF($B495=0,--(D495=0),""))</f>
        <v/>
      </c>
      <c r="R495" s="4">
        <f>IF(D495="","",--(D495=1))</f>
        <v/>
      </c>
      <c r="S495" s="4">
        <f>IF(OR($B495="",E495=""),"",--(E495=$B495))</f>
        <v/>
      </c>
      <c r="T495" s="4">
        <f>IF(OR($B495="",E495=""),"",IF($B495=1,--(E495=1),""))</f>
        <v/>
      </c>
      <c r="U495" s="4">
        <f>IF(OR($B495="",E495=""),"",IF($B495=0,--(E495=0),""))</f>
        <v/>
      </c>
      <c r="V495" s="4">
        <f>IF(E495="","",--(E495=1))</f>
        <v/>
      </c>
      <c r="W495" s="4">
        <f>IF(OR($B495="",F495=""),"",--(F495=$B495))</f>
        <v/>
      </c>
      <c r="X495" s="4">
        <f>IF(OR($B495="",F495=""),"",IF($B495=1,--(F495=1),""))</f>
        <v/>
      </c>
      <c r="Y495" s="4">
        <f>IF(OR($B495="",F495=""),"",IF($B495=0,--(F495=0),""))</f>
        <v/>
      </c>
      <c r="Z495" s="4">
        <f>IF(F495="","",--(F495=1))</f>
        <v/>
      </c>
      <c r="AA495" s="4">
        <f>IF(OR($B495="",G495=""),"",--(G495=$B495))</f>
        <v/>
      </c>
      <c r="AB495" s="4">
        <f>IF(OR($B495="",G495=""),"",IF($B495=1,--(G495=1),""))</f>
        <v/>
      </c>
      <c r="AC495" s="4">
        <f>IF(OR($B495="",G495=""),"",IF($B495=0,--(G495=0),""))</f>
        <v/>
      </c>
      <c r="AD495" s="4">
        <f>IF(G495="","",--(G495=1))</f>
        <v/>
      </c>
      <c r="AE495" s="4">
        <f>IF(OR($B495="",H495=""),"",--(H495=$B495))</f>
        <v/>
      </c>
      <c r="AF495" s="4">
        <f>IF(OR($B495="",H495=""),"",IF($B495=1,--(H495=1),""))</f>
        <v/>
      </c>
      <c r="AG495" s="4">
        <f>IF(OR($B495="",H495=""),"",IF($B495=0,--(H495=0),""))</f>
        <v/>
      </c>
      <c r="AH495" s="4">
        <f>IF(H495="","",--(H495=1))</f>
        <v/>
      </c>
      <c r="AI495" s="4">
        <f>IF(OR($B495="",I495=""),"",--(I495=$B495))</f>
        <v/>
      </c>
      <c r="AJ495" s="4">
        <f>IF(OR($B495="",I495=""),"",IF($B495=1,--(I495=1),""))</f>
        <v/>
      </c>
      <c r="AK495" s="4">
        <f>IF(OR($B495="",I495=""),"",IF($B495=0,--(I495=0),""))</f>
        <v/>
      </c>
      <c r="AL495" s="4">
        <f>IF(I495="","",--(I495=1))</f>
        <v/>
      </c>
      <c r="AM495" s="4">
        <f>IF(OR($B495="",J495=""),"",--(J495=$B495))</f>
        <v/>
      </c>
      <c r="AN495" s="4">
        <f>IF(OR($B495="",J495=""),"",IF($B495=1,--(J495=1),""))</f>
        <v/>
      </c>
      <c r="AO495" s="4">
        <f>IF(OR($B495="",J495=""),"",IF($B495=0,--(J495=0),""))</f>
        <v/>
      </c>
      <c r="AP495" s="4">
        <f>IF(J495="","",--(J495=1))</f>
        <v/>
      </c>
      <c r="AQ495" s="4">
        <f>IF(OR($B495="",K495=""),"",--(K495=$B495))</f>
        <v/>
      </c>
      <c r="AR495" s="4">
        <f>IF(OR($B495="",K495=""),"",IF($B495=1,--(K495=1),""))</f>
        <v/>
      </c>
      <c r="AS495" s="4">
        <f>IF(OR($B495="",K495=""),"",IF($B495=0,--(K495=0),""))</f>
        <v/>
      </c>
      <c r="AT495" s="4">
        <f>IF(K495="","",--(K495=1))</f>
        <v/>
      </c>
      <c r="AU495" s="4">
        <f>IF(OR($B495="",L495=""),"",--(L495=$B495))</f>
        <v/>
      </c>
      <c r="AV495" s="4">
        <f>IF(OR($B495="",L495=""),"",IF($B495=1,--(L495=1),""))</f>
        <v/>
      </c>
      <c r="AW495" s="4">
        <f>IF(OR($B495="",L495=""),"",IF($B495=0,--(L495=0),""))</f>
        <v/>
      </c>
      <c r="AX495" s="4">
        <f>IF(L495="","",--(L495=1))</f>
        <v/>
      </c>
      <c r="AY495" s="4">
        <f>IF(OR($B495="",M495=""),"",--(M495=$B495))</f>
        <v/>
      </c>
      <c r="AZ495" s="4">
        <f>IF(OR($B495="",M495=""),"",IF($B495=1,--(M495=1),""))</f>
        <v/>
      </c>
      <c r="BA495" s="4">
        <f>IF(OR($B495="",M495=""),"",IF($B495=0,--(M495=0),""))</f>
        <v/>
      </c>
      <c r="BB495" s="4">
        <f>IF(M495="","",--(M495=1))</f>
        <v/>
      </c>
      <c r="BC495" s="4">
        <f>IF(OR($B495="",N495=""),"",--(N495=$B495))</f>
        <v/>
      </c>
      <c r="BD495" s="4">
        <f>IF(OR($B495="",N495=""),"",IF($B495=1,--(N495=1),""))</f>
        <v/>
      </c>
      <c r="BE495" s="4">
        <f>IF(OR($B495="",N495=""),"",IF($B495=0,--(N495=0),""))</f>
        <v/>
      </c>
      <c r="BF495" s="4">
        <f>IF(N495="","",--(N495=1))</f>
        <v/>
      </c>
    </row>
    <row r="496">
      <c r="A496" s="3" t="inlineStr">
        <is>
          <t>202392990</t>
        </is>
      </c>
      <c r="B496" s="3" t="inlineStr">
        <is>
          <t>0</t>
        </is>
      </c>
      <c r="C496" s="3" t="inlineStr">
        <is>
          <t>Direct</t>
        </is>
      </c>
      <c r="D496" s="3" t="inlineStr">
        <is>
          <t>1</t>
        </is>
      </c>
      <c r="E496" s="3" t="inlineStr">
        <is>
          <t>1</t>
        </is>
      </c>
      <c r="F496" s="3" t="inlineStr">
        <is>
          <t>1</t>
        </is>
      </c>
      <c r="G496" s="3" t="inlineStr">
        <is>
          <t>1</t>
        </is>
      </c>
      <c r="H496" s="3" t="inlineStr">
        <is>
          <t>1</t>
        </is>
      </c>
      <c r="I496" s="3" t="inlineStr">
        <is>
          <t>1</t>
        </is>
      </c>
      <c r="J496" s="3" t="inlineStr">
        <is>
          <t>1</t>
        </is>
      </c>
      <c r="K496" s="3" t="inlineStr">
        <is>
          <t>1</t>
        </is>
      </c>
      <c r="L496" s="3" t="inlineStr">
        <is>
          <t>1</t>
        </is>
      </c>
      <c r="M496" s="3" t="inlineStr">
        <is>
          <t>1</t>
        </is>
      </c>
      <c r="N496" s="3" t="inlineStr">
        <is>
          <t>1</t>
        </is>
      </c>
      <c r="O496" s="4">
        <f>IF(OR($B496="",D496=""),"",--(D496=$B496))</f>
        <v/>
      </c>
      <c r="P496" s="4">
        <f>IF(OR($B496="",D496=""),"",IF($B496=1,--(D496=1),""))</f>
        <v/>
      </c>
      <c r="Q496" s="4">
        <f>IF(OR($B496="",D496=""),"",IF($B496=0,--(D496=0),""))</f>
        <v/>
      </c>
      <c r="R496" s="4">
        <f>IF(D496="","",--(D496=1))</f>
        <v/>
      </c>
      <c r="S496" s="4">
        <f>IF(OR($B496="",E496=""),"",--(E496=$B496))</f>
        <v/>
      </c>
      <c r="T496" s="4">
        <f>IF(OR($B496="",E496=""),"",IF($B496=1,--(E496=1),""))</f>
        <v/>
      </c>
      <c r="U496" s="4">
        <f>IF(OR($B496="",E496=""),"",IF($B496=0,--(E496=0),""))</f>
        <v/>
      </c>
      <c r="V496" s="4">
        <f>IF(E496="","",--(E496=1))</f>
        <v/>
      </c>
      <c r="W496" s="4">
        <f>IF(OR($B496="",F496=""),"",--(F496=$B496))</f>
        <v/>
      </c>
      <c r="X496" s="4">
        <f>IF(OR($B496="",F496=""),"",IF($B496=1,--(F496=1),""))</f>
        <v/>
      </c>
      <c r="Y496" s="4">
        <f>IF(OR($B496="",F496=""),"",IF($B496=0,--(F496=0),""))</f>
        <v/>
      </c>
      <c r="Z496" s="4">
        <f>IF(F496="","",--(F496=1))</f>
        <v/>
      </c>
      <c r="AA496" s="4">
        <f>IF(OR($B496="",G496=""),"",--(G496=$B496))</f>
        <v/>
      </c>
      <c r="AB496" s="4">
        <f>IF(OR($B496="",G496=""),"",IF($B496=1,--(G496=1),""))</f>
        <v/>
      </c>
      <c r="AC496" s="4">
        <f>IF(OR($B496="",G496=""),"",IF($B496=0,--(G496=0),""))</f>
        <v/>
      </c>
      <c r="AD496" s="4">
        <f>IF(G496="","",--(G496=1))</f>
        <v/>
      </c>
      <c r="AE496" s="4">
        <f>IF(OR($B496="",H496=""),"",--(H496=$B496))</f>
        <v/>
      </c>
      <c r="AF496" s="4">
        <f>IF(OR($B496="",H496=""),"",IF($B496=1,--(H496=1),""))</f>
        <v/>
      </c>
      <c r="AG496" s="4">
        <f>IF(OR($B496="",H496=""),"",IF($B496=0,--(H496=0),""))</f>
        <v/>
      </c>
      <c r="AH496" s="4">
        <f>IF(H496="","",--(H496=1))</f>
        <v/>
      </c>
      <c r="AI496" s="4">
        <f>IF(OR($B496="",I496=""),"",--(I496=$B496))</f>
        <v/>
      </c>
      <c r="AJ496" s="4">
        <f>IF(OR($B496="",I496=""),"",IF($B496=1,--(I496=1),""))</f>
        <v/>
      </c>
      <c r="AK496" s="4">
        <f>IF(OR($B496="",I496=""),"",IF($B496=0,--(I496=0),""))</f>
        <v/>
      </c>
      <c r="AL496" s="4">
        <f>IF(I496="","",--(I496=1))</f>
        <v/>
      </c>
      <c r="AM496" s="4">
        <f>IF(OR($B496="",J496=""),"",--(J496=$B496))</f>
        <v/>
      </c>
      <c r="AN496" s="4">
        <f>IF(OR($B496="",J496=""),"",IF($B496=1,--(J496=1),""))</f>
        <v/>
      </c>
      <c r="AO496" s="4">
        <f>IF(OR($B496="",J496=""),"",IF($B496=0,--(J496=0),""))</f>
        <v/>
      </c>
      <c r="AP496" s="4">
        <f>IF(J496="","",--(J496=1))</f>
        <v/>
      </c>
      <c r="AQ496" s="4">
        <f>IF(OR($B496="",K496=""),"",--(K496=$B496))</f>
        <v/>
      </c>
      <c r="AR496" s="4">
        <f>IF(OR($B496="",K496=""),"",IF($B496=1,--(K496=1),""))</f>
        <v/>
      </c>
      <c r="AS496" s="4">
        <f>IF(OR($B496="",K496=""),"",IF($B496=0,--(K496=0),""))</f>
        <v/>
      </c>
      <c r="AT496" s="4">
        <f>IF(K496="","",--(K496=1))</f>
        <v/>
      </c>
      <c r="AU496" s="4">
        <f>IF(OR($B496="",L496=""),"",--(L496=$B496))</f>
        <v/>
      </c>
      <c r="AV496" s="4">
        <f>IF(OR($B496="",L496=""),"",IF($B496=1,--(L496=1),""))</f>
        <v/>
      </c>
      <c r="AW496" s="4">
        <f>IF(OR($B496="",L496=""),"",IF($B496=0,--(L496=0),""))</f>
        <v/>
      </c>
      <c r="AX496" s="4">
        <f>IF(L496="","",--(L496=1))</f>
        <v/>
      </c>
      <c r="AY496" s="4">
        <f>IF(OR($B496="",M496=""),"",--(M496=$B496))</f>
        <v/>
      </c>
      <c r="AZ496" s="4">
        <f>IF(OR($B496="",M496=""),"",IF($B496=1,--(M496=1),""))</f>
        <v/>
      </c>
      <c r="BA496" s="4">
        <f>IF(OR($B496="",M496=""),"",IF($B496=0,--(M496=0),""))</f>
        <v/>
      </c>
      <c r="BB496" s="4">
        <f>IF(M496="","",--(M496=1))</f>
        <v/>
      </c>
      <c r="BC496" s="4">
        <f>IF(OR($B496="",N496=""),"",--(N496=$B496))</f>
        <v/>
      </c>
      <c r="BD496" s="4">
        <f>IF(OR($B496="",N496=""),"",IF($B496=1,--(N496=1),""))</f>
        <v/>
      </c>
      <c r="BE496" s="4">
        <f>IF(OR($B496="",N496=""),"",IF($B496=0,--(N496=0),""))</f>
        <v/>
      </c>
      <c r="BF496" s="4">
        <f>IF(N496="","",--(N496=1))</f>
        <v/>
      </c>
    </row>
    <row r="497">
      <c r="A497" s="3" t="inlineStr">
        <is>
          <t>202398477</t>
        </is>
      </c>
      <c r="B497" s="3" t="inlineStr">
        <is>
          <t>1</t>
        </is>
      </c>
      <c r="C497" s="3" t="inlineStr">
        <is>
          <t>Direct</t>
        </is>
      </c>
      <c r="D497" s="3" t="inlineStr">
        <is>
          <t>1</t>
        </is>
      </c>
      <c r="E497" s="3" t="inlineStr">
        <is>
          <t>1</t>
        </is>
      </c>
      <c r="F497" s="3" t="inlineStr">
        <is>
          <t>0</t>
        </is>
      </c>
      <c r="G497" s="3" t="inlineStr">
        <is>
          <t>0</t>
        </is>
      </c>
      <c r="H497" s="3" t="inlineStr">
        <is>
          <t>0</t>
        </is>
      </c>
      <c r="I497" s="3" t="inlineStr">
        <is>
          <t>0</t>
        </is>
      </c>
      <c r="J497" s="3" t="inlineStr">
        <is>
          <t>0</t>
        </is>
      </c>
      <c r="K497" s="3" t="inlineStr">
        <is>
          <t>1</t>
        </is>
      </c>
      <c r="L497" s="3" t="inlineStr">
        <is>
          <t>1</t>
        </is>
      </c>
      <c r="M497" s="3" t="inlineStr">
        <is>
          <t>1</t>
        </is>
      </c>
      <c r="N497" s="3" t="inlineStr">
        <is>
          <t>1</t>
        </is>
      </c>
      <c r="O497" s="4">
        <f>IF(OR($B497="",D497=""),"",--(D497=$B497))</f>
        <v/>
      </c>
      <c r="P497" s="4">
        <f>IF(OR($B497="",D497=""),"",IF($B497=1,--(D497=1),""))</f>
        <v/>
      </c>
      <c r="Q497" s="4">
        <f>IF(OR($B497="",D497=""),"",IF($B497=0,--(D497=0),""))</f>
        <v/>
      </c>
      <c r="R497" s="4">
        <f>IF(D497="","",--(D497=1))</f>
        <v/>
      </c>
      <c r="S497" s="4">
        <f>IF(OR($B497="",E497=""),"",--(E497=$B497))</f>
        <v/>
      </c>
      <c r="T497" s="4">
        <f>IF(OR($B497="",E497=""),"",IF($B497=1,--(E497=1),""))</f>
        <v/>
      </c>
      <c r="U497" s="4">
        <f>IF(OR($B497="",E497=""),"",IF($B497=0,--(E497=0),""))</f>
        <v/>
      </c>
      <c r="V497" s="4">
        <f>IF(E497="","",--(E497=1))</f>
        <v/>
      </c>
      <c r="W497" s="4">
        <f>IF(OR($B497="",F497=""),"",--(F497=$B497))</f>
        <v/>
      </c>
      <c r="X497" s="4">
        <f>IF(OR($B497="",F497=""),"",IF($B497=1,--(F497=1),""))</f>
        <v/>
      </c>
      <c r="Y497" s="4">
        <f>IF(OR($B497="",F497=""),"",IF($B497=0,--(F497=0),""))</f>
        <v/>
      </c>
      <c r="Z497" s="4">
        <f>IF(F497="","",--(F497=1))</f>
        <v/>
      </c>
      <c r="AA497" s="4">
        <f>IF(OR($B497="",G497=""),"",--(G497=$B497))</f>
        <v/>
      </c>
      <c r="AB497" s="4">
        <f>IF(OR($B497="",G497=""),"",IF($B497=1,--(G497=1),""))</f>
        <v/>
      </c>
      <c r="AC497" s="4">
        <f>IF(OR($B497="",G497=""),"",IF($B497=0,--(G497=0),""))</f>
        <v/>
      </c>
      <c r="AD497" s="4">
        <f>IF(G497="","",--(G497=1))</f>
        <v/>
      </c>
      <c r="AE497" s="4">
        <f>IF(OR($B497="",H497=""),"",--(H497=$B497))</f>
        <v/>
      </c>
      <c r="AF497" s="4">
        <f>IF(OR($B497="",H497=""),"",IF($B497=1,--(H497=1),""))</f>
        <v/>
      </c>
      <c r="AG497" s="4">
        <f>IF(OR($B497="",H497=""),"",IF($B497=0,--(H497=0),""))</f>
        <v/>
      </c>
      <c r="AH497" s="4">
        <f>IF(H497="","",--(H497=1))</f>
        <v/>
      </c>
      <c r="AI497" s="4">
        <f>IF(OR($B497="",I497=""),"",--(I497=$B497))</f>
        <v/>
      </c>
      <c r="AJ497" s="4">
        <f>IF(OR($B497="",I497=""),"",IF($B497=1,--(I497=1),""))</f>
        <v/>
      </c>
      <c r="AK497" s="4">
        <f>IF(OR($B497="",I497=""),"",IF($B497=0,--(I497=0),""))</f>
        <v/>
      </c>
      <c r="AL497" s="4">
        <f>IF(I497="","",--(I497=1))</f>
        <v/>
      </c>
      <c r="AM497" s="4">
        <f>IF(OR($B497="",J497=""),"",--(J497=$B497))</f>
        <v/>
      </c>
      <c r="AN497" s="4">
        <f>IF(OR($B497="",J497=""),"",IF($B497=1,--(J497=1),""))</f>
        <v/>
      </c>
      <c r="AO497" s="4">
        <f>IF(OR($B497="",J497=""),"",IF($B497=0,--(J497=0),""))</f>
        <v/>
      </c>
      <c r="AP497" s="4">
        <f>IF(J497="","",--(J497=1))</f>
        <v/>
      </c>
      <c r="AQ497" s="4">
        <f>IF(OR($B497="",K497=""),"",--(K497=$B497))</f>
        <v/>
      </c>
      <c r="AR497" s="4">
        <f>IF(OR($B497="",K497=""),"",IF($B497=1,--(K497=1),""))</f>
        <v/>
      </c>
      <c r="AS497" s="4">
        <f>IF(OR($B497="",K497=""),"",IF($B497=0,--(K497=0),""))</f>
        <v/>
      </c>
      <c r="AT497" s="4">
        <f>IF(K497="","",--(K497=1))</f>
        <v/>
      </c>
      <c r="AU497" s="4">
        <f>IF(OR($B497="",L497=""),"",--(L497=$B497))</f>
        <v/>
      </c>
      <c r="AV497" s="4">
        <f>IF(OR($B497="",L497=""),"",IF($B497=1,--(L497=1),""))</f>
        <v/>
      </c>
      <c r="AW497" s="4">
        <f>IF(OR($B497="",L497=""),"",IF($B497=0,--(L497=0),""))</f>
        <v/>
      </c>
      <c r="AX497" s="4">
        <f>IF(L497="","",--(L497=1))</f>
        <v/>
      </c>
      <c r="AY497" s="4">
        <f>IF(OR($B497="",M497=""),"",--(M497=$B497))</f>
        <v/>
      </c>
      <c r="AZ497" s="4">
        <f>IF(OR($B497="",M497=""),"",IF($B497=1,--(M497=1),""))</f>
        <v/>
      </c>
      <c r="BA497" s="4">
        <f>IF(OR($B497="",M497=""),"",IF($B497=0,--(M497=0),""))</f>
        <v/>
      </c>
      <c r="BB497" s="4">
        <f>IF(M497="","",--(M497=1))</f>
        <v/>
      </c>
      <c r="BC497" s="4">
        <f>IF(OR($B497="",N497=""),"",--(N497=$B497))</f>
        <v/>
      </c>
      <c r="BD497" s="4">
        <f>IF(OR($B497="",N497=""),"",IF($B497=1,--(N497=1),""))</f>
        <v/>
      </c>
      <c r="BE497" s="4">
        <f>IF(OR($B497="",N497=""),"",IF($B497=0,--(N497=0),""))</f>
        <v/>
      </c>
      <c r="BF497" s="4">
        <f>IF(N497="","",--(N497=1))</f>
        <v/>
      </c>
    </row>
    <row r="498">
      <c r="A498" s="3" t="inlineStr">
        <is>
          <t>202415819</t>
        </is>
      </c>
      <c r="B498" s="3" t="inlineStr">
        <is>
          <t>0</t>
        </is>
      </c>
      <c r="C498" s="3" t="inlineStr">
        <is>
          <t>Direct</t>
        </is>
      </c>
      <c r="D498" s="3" t="inlineStr">
        <is>
          <t>1</t>
        </is>
      </c>
      <c r="E498" s="3" t="inlineStr">
        <is>
          <t>0</t>
        </is>
      </c>
      <c r="F498" s="3" t="inlineStr">
        <is>
          <t>0</t>
        </is>
      </c>
      <c r="G498" s="3" t="inlineStr">
        <is>
          <t>1</t>
        </is>
      </c>
      <c r="H498" s="3" t="inlineStr">
        <is>
          <t>0</t>
        </is>
      </c>
      <c r="I498" s="3" t="inlineStr">
        <is>
          <t>1</t>
        </is>
      </c>
      <c r="J498" s="3" t="inlineStr">
        <is>
          <t>1</t>
        </is>
      </c>
      <c r="K498" s="3" t="inlineStr">
        <is>
          <t>1</t>
        </is>
      </c>
      <c r="L498" s="3" t="inlineStr">
        <is>
          <t>1</t>
        </is>
      </c>
      <c r="M498" s="3" t="inlineStr">
        <is>
          <t>1</t>
        </is>
      </c>
      <c r="N498" s="3" t="inlineStr">
        <is>
          <t>1</t>
        </is>
      </c>
      <c r="O498" s="4">
        <f>IF(OR($B498="",D498=""),"",--(D498=$B498))</f>
        <v/>
      </c>
      <c r="P498" s="4">
        <f>IF(OR($B498="",D498=""),"",IF($B498=1,--(D498=1),""))</f>
        <v/>
      </c>
      <c r="Q498" s="4">
        <f>IF(OR($B498="",D498=""),"",IF($B498=0,--(D498=0),""))</f>
        <v/>
      </c>
      <c r="R498" s="4">
        <f>IF(D498="","",--(D498=1))</f>
        <v/>
      </c>
      <c r="S498" s="4">
        <f>IF(OR($B498="",E498=""),"",--(E498=$B498))</f>
        <v/>
      </c>
      <c r="T498" s="4">
        <f>IF(OR($B498="",E498=""),"",IF($B498=1,--(E498=1),""))</f>
        <v/>
      </c>
      <c r="U498" s="4">
        <f>IF(OR($B498="",E498=""),"",IF($B498=0,--(E498=0),""))</f>
        <v/>
      </c>
      <c r="V498" s="4">
        <f>IF(E498="","",--(E498=1))</f>
        <v/>
      </c>
      <c r="W498" s="4">
        <f>IF(OR($B498="",F498=""),"",--(F498=$B498))</f>
        <v/>
      </c>
      <c r="X498" s="4">
        <f>IF(OR($B498="",F498=""),"",IF($B498=1,--(F498=1),""))</f>
        <v/>
      </c>
      <c r="Y498" s="4">
        <f>IF(OR($B498="",F498=""),"",IF($B498=0,--(F498=0),""))</f>
        <v/>
      </c>
      <c r="Z498" s="4">
        <f>IF(F498="","",--(F498=1))</f>
        <v/>
      </c>
      <c r="AA498" s="4">
        <f>IF(OR($B498="",G498=""),"",--(G498=$B498))</f>
        <v/>
      </c>
      <c r="AB498" s="4">
        <f>IF(OR($B498="",G498=""),"",IF($B498=1,--(G498=1),""))</f>
        <v/>
      </c>
      <c r="AC498" s="4">
        <f>IF(OR($B498="",G498=""),"",IF($B498=0,--(G498=0),""))</f>
        <v/>
      </c>
      <c r="AD498" s="4">
        <f>IF(G498="","",--(G498=1))</f>
        <v/>
      </c>
      <c r="AE498" s="4">
        <f>IF(OR($B498="",H498=""),"",--(H498=$B498))</f>
        <v/>
      </c>
      <c r="AF498" s="4">
        <f>IF(OR($B498="",H498=""),"",IF($B498=1,--(H498=1),""))</f>
        <v/>
      </c>
      <c r="AG498" s="4">
        <f>IF(OR($B498="",H498=""),"",IF($B498=0,--(H498=0),""))</f>
        <v/>
      </c>
      <c r="AH498" s="4">
        <f>IF(H498="","",--(H498=1))</f>
        <v/>
      </c>
      <c r="AI498" s="4">
        <f>IF(OR($B498="",I498=""),"",--(I498=$B498))</f>
        <v/>
      </c>
      <c r="AJ498" s="4">
        <f>IF(OR($B498="",I498=""),"",IF($B498=1,--(I498=1),""))</f>
        <v/>
      </c>
      <c r="AK498" s="4">
        <f>IF(OR($B498="",I498=""),"",IF($B498=0,--(I498=0),""))</f>
        <v/>
      </c>
      <c r="AL498" s="4">
        <f>IF(I498="","",--(I498=1))</f>
        <v/>
      </c>
      <c r="AM498" s="4">
        <f>IF(OR($B498="",J498=""),"",--(J498=$B498))</f>
        <v/>
      </c>
      <c r="AN498" s="4">
        <f>IF(OR($B498="",J498=""),"",IF($B498=1,--(J498=1),""))</f>
        <v/>
      </c>
      <c r="AO498" s="4">
        <f>IF(OR($B498="",J498=""),"",IF($B498=0,--(J498=0),""))</f>
        <v/>
      </c>
      <c r="AP498" s="4">
        <f>IF(J498="","",--(J498=1))</f>
        <v/>
      </c>
      <c r="AQ498" s="4">
        <f>IF(OR($B498="",K498=""),"",--(K498=$B498))</f>
        <v/>
      </c>
      <c r="AR498" s="4">
        <f>IF(OR($B498="",K498=""),"",IF($B498=1,--(K498=1),""))</f>
        <v/>
      </c>
      <c r="AS498" s="4">
        <f>IF(OR($B498="",K498=""),"",IF($B498=0,--(K498=0),""))</f>
        <v/>
      </c>
      <c r="AT498" s="4">
        <f>IF(K498="","",--(K498=1))</f>
        <v/>
      </c>
      <c r="AU498" s="4">
        <f>IF(OR($B498="",L498=""),"",--(L498=$B498))</f>
        <v/>
      </c>
      <c r="AV498" s="4">
        <f>IF(OR($B498="",L498=""),"",IF($B498=1,--(L498=1),""))</f>
        <v/>
      </c>
      <c r="AW498" s="4">
        <f>IF(OR($B498="",L498=""),"",IF($B498=0,--(L498=0),""))</f>
        <v/>
      </c>
      <c r="AX498" s="4">
        <f>IF(L498="","",--(L498=1))</f>
        <v/>
      </c>
      <c r="AY498" s="4">
        <f>IF(OR($B498="",M498=""),"",--(M498=$B498))</f>
        <v/>
      </c>
      <c r="AZ498" s="4">
        <f>IF(OR($B498="",M498=""),"",IF($B498=1,--(M498=1),""))</f>
        <v/>
      </c>
      <c r="BA498" s="4">
        <f>IF(OR($B498="",M498=""),"",IF($B498=0,--(M498=0),""))</f>
        <v/>
      </c>
      <c r="BB498" s="4">
        <f>IF(M498="","",--(M498=1))</f>
        <v/>
      </c>
      <c r="BC498" s="4">
        <f>IF(OR($B498="",N498=""),"",--(N498=$B498))</f>
        <v/>
      </c>
      <c r="BD498" s="4">
        <f>IF(OR($B498="",N498=""),"",IF($B498=1,--(N498=1),""))</f>
        <v/>
      </c>
      <c r="BE498" s="4">
        <f>IF(OR($B498="",N498=""),"",IF($B498=0,--(N498=0),""))</f>
        <v/>
      </c>
      <c r="BF498" s="4">
        <f>IF(N498="","",--(N498=1))</f>
        <v/>
      </c>
    </row>
    <row r="499">
      <c r="A499" s="3" t="inlineStr">
        <is>
          <t>20243239</t>
        </is>
      </c>
      <c r="B499" s="3" t="inlineStr">
        <is>
          <t>1</t>
        </is>
      </c>
      <c r="C499" s="3" t="inlineStr">
        <is>
          <t>Direct</t>
        </is>
      </c>
      <c r="D499" s="3" t="inlineStr">
        <is>
          <t>1</t>
        </is>
      </c>
      <c r="E499" s="3" t="inlineStr">
        <is>
          <t>1</t>
        </is>
      </c>
      <c r="F499" s="3" t="inlineStr">
        <is>
          <t>0</t>
        </is>
      </c>
      <c r="G499" s="3" t="inlineStr">
        <is>
          <t>1</t>
        </is>
      </c>
      <c r="H499" s="3" t="inlineStr">
        <is>
          <t>1</t>
        </is>
      </c>
      <c r="I499" s="3" t="inlineStr">
        <is>
          <t>0</t>
        </is>
      </c>
      <c r="J499" s="3" t="inlineStr">
        <is>
          <t>0</t>
        </is>
      </c>
      <c r="K499" s="3" t="inlineStr">
        <is>
          <t>1</t>
        </is>
      </c>
      <c r="L499" s="3" t="inlineStr">
        <is>
          <t>1</t>
        </is>
      </c>
      <c r="M499" s="3" t="inlineStr">
        <is>
          <t>1</t>
        </is>
      </c>
      <c r="N499" s="3" t="inlineStr">
        <is>
          <t>1</t>
        </is>
      </c>
      <c r="O499" s="4">
        <f>IF(OR($B499="",D499=""),"",--(D499=$B499))</f>
        <v/>
      </c>
      <c r="P499" s="4">
        <f>IF(OR($B499="",D499=""),"",IF($B499=1,--(D499=1),""))</f>
        <v/>
      </c>
      <c r="Q499" s="4">
        <f>IF(OR($B499="",D499=""),"",IF($B499=0,--(D499=0),""))</f>
        <v/>
      </c>
      <c r="R499" s="4">
        <f>IF(D499="","",--(D499=1))</f>
        <v/>
      </c>
      <c r="S499" s="4">
        <f>IF(OR($B499="",E499=""),"",--(E499=$B499))</f>
        <v/>
      </c>
      <c r="T499" s="4">
        <f>IF(OR($B499="",E499=""),"",IF($B499=1,--(E499=1),""))</f>
        <v/>
      </c>
      <c r="U499" s="4">
        <f>IF(OR($B499="",E499=""),"",IF($B499=0,--(E499=0),""))</f>
        <v/>
      </c>
      <c r="V499" s="4">
        <f>IF(E499="","",--(E499=1))</f>
        <v/>
      </c>
      <c r="W499" s="4">
        <f>IF(OR($B499="",F499=""),"",--(F499=$B499))</f>
        <v/>
      </c>
      <c r="X499" s="4">
        <f>IF(OR($B499="",F499=""),"",IF($B499=1,--(F499=1),""))</f>
        <v/>
      </c>
      <c r="Y499" s="4">
        <f>IF(OR($B499="",F499=""),"",IF($B499=0,--(F499=0),""))</f>
        <v/>
      </c>
      <c r="Z499" s="4">
        <f>IF(F499="","",--(F499=1))</f>
        <v/>
      </c>
      <c r="AA499" s="4">
        <f>IF(OR($B499="",G499=""),"",--(G499=$B499))</f>
        <v/>
      </c>
      <c r="AB499" s="4">
        <f>IF(OR($B499="",G499=""),"",IF($B499=1,--(G499=1),""))</f>
        <v/>
      </c>
      <c r="AC499" s="4">
        <f>IF(OR($B499="",G499=""),"",IF($B499=0,--(G499=0),""))</f>
        <v/>
      </c>
      <c r="AD499" s="4">
        <f>IF(G499="","",--(G499=1))</f>
        <v/>
      </c>
      <c r="AE499" s="4">
        <f>IF(OR($B499="",H499=""),"",--(H499=$B499))</f>
        <v/>
      </c>
      <c r="AF499" s="4">
        <f>IF(OR($B499="",H499=""),"",IF($B499=1,--(H499=1),""))</f>
        <v/>
      </c>
      <c r="AG499" s="4">
        <f>IF(OR($B499="",H499=""),"",IF($B499=0,--(H499=0),""))</f>
        <v/>
      </c>
      <c r="AH499" s="4">
        <f>IF(H499="","",--(H499=1))</f>
        <v/>
      </c>
      <c r="AI499" s="4">
        <f>IF(OR($B499="",I499=""),"",--(I499=$B499))</f>
        <v/>
      </c>
      <c r="AJ499" s="4">
        <f>IF(OR($B499="",I499=""),"",IF($B499=1,--(I499=1),""))</f>
        <v/>
      </c>
      <c r="AK499" s="4">
        <f>IF(OR($B499="",I499=""),"",IF($B499=0,--(I499=0),""))</f>
        <v/>
      </c>
      <c r="AL499" s="4">
        <f>IF(I499="","",--(I499=1))</f>
        <v/>
      </c>
      <c r="AM499" s="4">
        <f>IF(OR($B499="",J499=""),"",--(J499=$B499))</f>
        <v/>
      </c>
      <c r="AN499" s="4">
        <f>IF(OR($B499="",J499=""),"",IF($B499=1,--(J499=1),""))</f>
        <v/>
      </c>
      <c r="AO499" s="4">
        <f>IF(OR($B499="",J499=""),"",IF($B499=0,--(J499=0),""))</f>
        <v/>
      </c>
      <c r="AP499" s="4">
        <f>IF(J499="","",--(J499=1))</f>
        <v/>
      </c>
      <c r="AQ499" s="4">
        <f>IF(OR($B499="",K499=""),"",--(K499=$B499))</f>
        <v/>
      </c>
      <c r="AR499" s="4">
        <f>IF(OR($B499="",K499=""),"",IF($B499=1,--(K499=1),""))</f>
        <v/>
      </c>
      <c r="AS499" s="4">
        <f>IF(OR($B499="",K499=""),"",IF($B499=0,--(K499=0),""))</f>
        <v/>
      </c>
      <c r="AT499" s="4">
        <f>IF(K499="","",--(K499=1))</f>
        <v/>
      </c>
      <c r="AU499" s="4">
        <f>IF(OR($B499="",L499=""),"",--(L499=$B499))</f>
        <v/>
      </c>
      <c r="AV499" s="4">
        <f>IF(OR($B499="",L499=""),"",IF($B499=1,--(L499=1),""))</f>
        <v/>
      </c>
      <c r="AW499" s="4">
        <f>IF(OR($B499="",L499=""),"",IF($B499=0,--(L499=0),""))</f>
        <v/>
      </c>
      <c r="AX499" s="4">
        <f>IF(L499="","",--(L499=1))</f>
        <v/>
      </c>
      <c r="AY499" s="4">
        <f>IF(OR($B499="",M499=""),"",--(M499=$B499))</f>
        <v/>
      </c>
      <c r="AZ499" s="4">
        <f>IF(OR($B499="",M499=""),"",IF($B499=1,--(M499=1),""))</f>
        <v/>
      </c>
      <c r="BA499" s="4">
        <f>IF(OR($B499="",M499=""),"",IF($B499=0,--(M499=0),""))</f>
        <v/>
      </c>
      <c r="BB499" s="4">
        <f>IF(M499="","",--(M499=1))</f>
        <v/>
      </c>
      <c r="BC499" s="4">
        <f>IF(OR($B499="",N499=""),"",--(N499=$B499))</f>
        <v/>
      </c>
      <c r="BD499" s="4">
        <f>IF(OR($B499="",N499=""),"",IF($B499=1,--(N499=1),""))</f>
        <v/>
      </c>
      <c r="BE499" s="4">
        <f>IF(OR($B499="",N499=""),"",IF($B499=0,--(N499=0),""))</f>
        <v/>
      </c>
      <c r="BF499" s="4">
        <f>IF(N499="","",--(N499=1))</f>
        <v/>
      </c>
    </row>
    <row r="500">
      <c r="A500" s="3" t="inlineStr">
        <is>
          <t>202432881</t>
        </is>
      </c>
      <c r="B500" s="3" t="inlineStr">
        <is>
          <t>1</t>
        </is>
      </c>
      <c r="C500" s="3" t="inlineStr">
        <is>
          <t>Direct</t>
        </is>
      </c>
      <c r="D500" s="3" t="inlineStr">
        <is>
          <t>1</t>
        </is>
      </c>
      <c r="E500" s="3" t="inlineStr">
        <is>
          <t>1</t>
        </is>
      </c>
      <c r="F500" s="3" t="inlineStr">
        <is>
          <t>0</t>
        </is>
      </c>
      <c r="G500" s="3" t="inlineStr">
        <is>
          <t>0</t>
        </is>
      </c>
      <c r="H500" s="3" t="inlineStr">
        <is>
          <t>1</t>
        </is>
      </c>
      <c r="I500" s="3" t="inlineStr">
        <is>
          <t>0</t>
        </is>
      </c>
      <c r="J500" s="3" t="inlineStr">
        <is>
          <t>0</t>
        </is>
      </c>
      <c r="K500" s="3" t="inlineStr">
        <is>
          <t>1</t>
        </is>
      </c>
      <c r="L500" s="3" t="inlineStr">
        <is>
          <t>1</t>
        </is>
      </c>
      <c r="M500" s="3" t="inlineStr">
        <is>
          <t>1</t>
        </is>
      </c>
      <c r="N500" s="3" t="inlineStr">
        <is>
          <t>1</t>
        </is>
      </c>
      <c r="O500" s="4">
        <f>IF(OR($B500="",D500=""),"",--(D500=$B500))</f>
        <v/>
      </c>
      <c r="P500" s="4">
        <f>IF(OR($B500="",D500=""),"",IF($B500=1,--(D500=1),""))</f>
        <v/>
      </c>
      <c r="Q500" s="4">
        <f>IF(OR($B500="",D500=""),"",IF($B500=0,--(D500=0),""))</f>
        <v/>
      </c>
      <c r="R500" s="4">
        <f>IF(D500="","",--(D500=1))</f>
        <v/>
      </c>
      <c r="S500" s="4">
        <f>IF(OR($B500="",E500=""),"",--(E500=$B500))</f>
        <v/>
      </c>
      <c r="T500" s="4">
        <f>IF(OR($B500="",E500=""),"",IF($B500=1,--(E500=1),""))</f>
        <v/>
      </c>
      <c r="U500" s="4">
        <f>IF(OR($B500="",E500=""),"",IF($B500=0,--(E500=0),""))</f>
        <v/>
      </c>
      <c r="V500" s="4">
        <f>IF(E500="","",--(E500=1))</f>
        <v/>
      </c>
      <c r="W500" s="4">
        <f>IF(OR($B500="",F500=""),"",--(F500=$B500))</f>
        <v/>
      </c>
      <c r="X500" s="4">
        <f>IF(OR($B500="",F500=""),"",IF($B500=1,--(F500=1),""))</f>
        <v/>
      </c>
      <c r="Y500" s="4">
        <f>IF(OR($B500="",F500=""),"",IF($B500=0,--(F500=0),""))</f>
        <v/>
      </c>
      <c r="Z500" s="4">
        <f>IF(F500="","",--(F500=1))</f>
        <v/>
      </c>
      <c r="AA500" s="4">
        <f>IF(OR($B500="",G500=""),"",--(G500=$B500))</f>
        <v/>
      </c>
      <c r="AB500" s="4">
        <f>IF(OR($B500="",G500=""),"",IF($B500=1,--(G500=1),""))</f>
        <v/>
      </c>
      <c r="AC500" s="4">
        <f>IF(OR($B500="",G500=""),"",IF($B500=0,--(G500=0),""))</f>
        <v/>
      </c>
      <c r="AD500" s="4">
        <f>IF(G500="","",--(G500=1))</f>
        <v/>
      </c>
      <c r="AE500" s="4">
        <f>IF(OR($B500="",H500=""),"",--(H500=$B500))</f>
        <v/>
      </c>
      <c r="AF500" s="4">
        <f>IF(OR($B500="",H500=""),"",IF($B500=1,--(H500=1),""))</f>
        <v/>
      </c>
      <c r="AG500" s="4">
        <f>IF(OR($B500="",H500=""),"",IF($B500=0,--(H500=0),""))</f>
        <v/>
      </c>
      <c r="AH500" s="4">
        <f>IF(H500="","",--(H500=1))</f>
        <v/>
      </c>
      <c r="AI500" s="4">
        <f>IF(OR($B500="",I500=""),"",--(I500=$B500))</f>
        <v/>
      </c>
      <c r="AJ500" s="4">
        <f>IF(OR($B500="",I500=""),"",IF($B500=1,--(I500=1),""))</f>
        <v/>
      </c>
      <c r="AK500" s="4">
        <f>IF(OR($B500="",I500=""),"",IF($B500=0,--(I500=0),""))</f>
        <v/>
      </c>
      <c r="AL500" s="4">
        <f>IF(I500="","",--(I500=1))</f>
        <v/>
      </c>
      <c r="AM500" s="4">
        <f>IF(OR($B500="",J500=""),"",--(J500=$B500))</f>
        <v/>
      </c>
      <c r="AN500" s="4">
        <f>IF(OR($B500="",J500=""),"",IF($B500=1,--(J500=1),""))</f>
        <v/>
      </c>
      <c r="AO500" s="4">
        <f>IF(OR($B500="",J500=""),"",IF($B500=0,--(J500=0),""))</f>
        <v/>
      </c>
      <c r="AP500" s="4">
        <f>IF(J500="","",--(J500=1))</f>
        <v/>
      </c>
      <c r="AQ500" s="4">
        <f>IF(OR($B500="",K500=""),"",--(K500=$B500))</f>
        <v/>
      </c>
      <c r="AR500" s="4">
        <f>IF(OR($B500="",K500=""),"",IF($B500=1,--(K500=1),""))</f>
        <v/>
      </c>
      <c r="AS500" s="4">
        <f>IF(OR($B500="",K500=""),"",IF($B500=0,--(K500=0),""))</f>
        <v/>
      </c>
      <c r="AT500" s="4">
        <f>IF(K500="","",--(K500=1))</f>
        <v/>
      </c>
      <c r="AU500" s="4">
        <f>IF(OR($B500="",L500=""),"",--(L500=$B500))</f>
        <v/>
      </c>
      <c r="AV500" s="4">
        <f>IF(OR($B500="",L500=""),"",IF($B500=1,--(L500=1),""))</f>
        <v/>
      </c>
      <c r="AW500" s="4">
        <f>IF(OR($B500="",L500=""),"",IF($B500=0,--(L500=0),""))</f>
        <v/>
      </c>
      <c r="AX500" s="4">
        <f>IF(L500="","",--(L500=1))</f>
        <v/>
      </c>
      <c r="AY500" s="4">
        <f>IF(OR($B500="",M500=""),"",--(M500=$B500))</f>
        <v/>
      </c>
      <c r="AZ500" s="4">
        <f>IF(OR($B500="",M500=""),"",IF($B500=1,--(M500=1),""))</f>
        <v/>
      </c>
      <c r="BA500" s="4">
        <f>IF(OR($B500="",M500=""),"",IF($B500=0,--(M500=0),""))</f>
        <v/>
      </c>
      <c r="BB500" s="4">
        <f>IF(M500="","",--(M500=1))</f>
        <v/>
      </c>
      <c r="BC500" s="4">
        <f>IF(OR($B500="",N500=""),"",--(N500=$B500))</f>
        <v/>
      </c>
      <c r="BD500" s="4">
        <f>IF(OR($B500="",N500=""),"",IF($B500=1,--(N500=1),""))</f>
        <v/>
      </c>
      <c r="BE500" s="4">
        <f>IF(OR($B500="",N500=""),"",IF($B500=0,--(N500=0),""))</f>
        <v/>
      </c>
      <c r="BF500" s="4">
        <f>IF(N500="","",--(N500=1))</f>
        <v/>
      </c>
    </row>
    <row r="501">
      <c r="A501" s="3" t="inlineStr">
        <is>
          <t>20246350</t>
        </is>
      </c>
      <c r="B501" s="3" t="inlineStr">
        <is>
          <t>0</t>
        </is>
      </c>
      <c r="C501" s="3" t="inlineStr">
        <is>
          <t>Direct</t>
        </is>
      </c>
      <c r="D501" s="3" t="inlineStr">
        <is>
          <t>1</t>
        </is>
      </c>
      <c r="E501" s="3" t="inlineStr">
        <is>
          <t>0</t>
        </is>
      </c>
      <c r="F501" s="3" t="inlineStr">
        <is>
          <t>0</t>
        </is>
      </c>
      <c r="G501" s="3" t="inlineStr">
        <is>
          <t>0</t>
        </is>
      </c>
      <c r="H501" s="3" t="inlineStr">
        <is>
          <t>0</t>
        </is>
      </c>
      <c r="I501" s="3" t="inlineStr">
        <is>
          <t>0</t>
        </is>
      </c>
      <c r="J501" s="3" t="inlineStr">
        <is>
          <t>0</t>
        </is>
      </c>
      <c r="K501" s="3" t="inlineStr">
        <is>
          <t>0</t>
        </is>
      </c>
      <c r="L501" s="3" t="inlineStr">
        <is>
          <t>0</t>
        </is>
      </c>
      <c r="M501" s="3" t="inlineStr">
        <is>
          <t>0</t>
        </is>
      </c>
      <c r="N501" s="3" t="inlineStr">
        <is>
          <t>0</t>
        </is>
      </c>
      <c r="O501" s="4">
        <f>IF(OR($B501="",D501=""),"",--(D501=$B501))</f>
        <v/>
      </c>
      <c r="P501" s="4">
        <f>IF(OR($B501="",D501=""),"",IF($B501=1,--(D501=1),""))</f>
        <v/>
      </c>
      <c r="Q501" s="4">
        <f>IF(OR($B501="",D501=""),"",IF($B501=0,--(D501=0),""))</f>
        <v/>
      </c>
      <c r="R501" s="4">
        <f>IF(D501="","",--(D501=1))</f>
        <v/>
      </c>
      <c r="S501" s="4">
        <f>IF(OR($B501="",E501=""),"",--(E501=$B501))</f>
        <v/>
      </c>
      <c r="T501" s="4">
        <f>IF(OR($B501="",E501=""),"",IF($B501=1,--(E501=1),""))</f>
        <v/>
      </c>
      <c r="U501" s="4">
        <f>IF(OR($B501="",E501=""),"",IF($B501=0,--(E501=0),""))</f>
        <v/>
      </c>
      <c r="V501" s="4">
        <f>IF(E501="","",--(E501=1))</f>
        <v/>
      </c>
      <c r="W501" s="4">
        <f>IF(OR($B501="",F501=""),"",--(F501=$B501))</f>
        <v/>
      </c>
      <c r="X501" s="4">
        <f>IF(OR($B501="",F501=""),"",IF($B501=1,--(F501=1),""))</f>
        <v/>
      </c>
      <c r="Y501" s="4">
        <f>IF(OR($B501="",F501=""),"",IF($B501=0,--(F501=0),""))</f>
        <v/>
      </c>
      <c r="Z501" s="4">
        <f>IF(F501="","",--(F501=1))</f>
        <v/>
      </c>
      <c r="AA501" s="4">
        <f>IF(OR($B501="",G501=""),"",--(G501=$B501))</f>
        <v/>
      </c>
      <c r="AB501" s="4">
        <f>IF(OR($B501="",G501=""),"",IF($B501=1,--(G501=1),""))</f>
        <v/>
      </c>
      <c r="AC501" s="4">
        <f>IF(OR($B501="",G501=""),"",IF($B501=0,--(G501=0),""))</f>
        <v/>
      </c>
      <c r="AD501" s="4">
        <f>IF(G501="","",--(G501=1))</f>
        <v/>
      </c>
      <c r="AE501" s="4">
        <f>IF(OR($B501="",H501=""),"",--(H501=$B501))</f>
        <v/>
      </c>
      <c r="AF501" s="4">
        <f>IF(OR($B501="",H501=""),"",IF($B501=1,--(H501=1),""))</f>
        <v/>
      </c>
      <c r="AG501" s="4">
        <f>IF(OR($B501="",H501=""),"",IF($B501=0,--(H501=0),""))</f>
        <v/>
      </c>
      <c r="AH501" s="4">
        <f>IF(H501="","",--(H501=1))</f>
        <v/>
      </c>
      <c r="AI501" s="4">
        <f>IF(OR($B501="",I501=""),"",--(I501=$B501))</f>
        <v/>
      </c>
      <c r="AJ501" s="4">
        <f>IF(OR($B501="",I501=""),"",IF($B501=1,--(I501=1),""))</f>
        <v/>
      </c>
      <c r="AK501" s="4">
        <f>IF(OR($B501="",I501=""),"",IF($B501=0,--(I501=0),""))</f>
        <v/>
      </c>
      <c r="AL501" s="4">
        <f>IF(I501="","",--(I501=1))</f>
        <v/>
      </c>
      <c r="AM501" s="4">
        <f>IF(OR($B501="",J501=""),"",--(J501=$B501))</f>
        <v/>
      </c>
      <c r="AN501" s="4">
        <f>IF(OR($B501="",J501=""),"",IF($B501=1,--(J501=1),""))</f>
        <v/>
      </c>
      <c r="AO501" s="4">
        <f>IF(OR($B501="",J501=""),"",IF($B501=0,--(J501=0),""))</f>
        <v/>
      </c>
      <c r="AP501" s="4">
        <f>IF(J501="","",--(J501=1))</f>
        <v/>
      </c>
      <c r="AQ501" s="4">
        <f>IF(OR($B501="",K501=""),"",--(K501=$B501))</f>
        <v/>
      </c>
      <c r="AR501" s="4">
        <f>IF(OR($B501="",K501=""),"",IF($B501=1,--(K501=1),""))</f>
        <v/>
      </c>
      <c r="AS501" s="4">
        <f>IF(OR($B501="",K501=""),"",IF($B501=0,--(K501=0),""))</f>
        <v/>
      </c>
      <c r="AT501" s="4">
        <f>IF(K501="","",--(K501=1))</f>
        <v/>
      </c>
      <c r="AU501" s="4">
        <f>IF(OR($B501="",L501=""),"",--(L501=$B501))</f>
        <v/>
      </c>
      <c r="AV501" s="4">
        <f>IF(OR($B501="",L501=""),"",IF($B501=1,--(L501=1),""))</f>
        <v/>
      </c>
      <c r="AW501" s="4">
        <f>IF(OR($B501="",L501=""),"",IF($B501=0,--(L501=0),""))</f>
        <v/>
      </c>
      <c r="AX501" s="4">
        <f>IF(L501="","",--(L501=1))</f>
        <v/>
      </c>
      <c r="AY501" s="4">
        <f>IF(OR($B501="",M501=""),"",--(M501=$B501))</f>
        <v/>
      </c>
      <c r="AZ501" s="4">
        <f>IF(OR($B501="",M501=""),"",IF($B501=1,--(M501=1),""))</f>
        <v/>
      </c>
      <c r="BA501" s="4">
        <f>IF(OR($B501="",M501=""),"",IF($B501=0,--(M501=0),""))</f>
        <v/>
      </c>
      <c r="BB501" s="4">
        <f>IF(M501="","",--(M501=1))</f>
        <v/>
      </c>
      <c r="BC501" s="4">
        <f>IF(OR($B501="",N501=""),"",--(N501=$B501))</f>
        <v/>
      </c>
      <c r="BD501" s="4">
        <f>IF(OR($B501="",N501=""),"",IF($B501=1,--(N501=1),""))</f>
        <v/>
      </c>
      <c r="BE501" s="4">
        <f>IF(OR($B501="",N501=""),"",IF($B501=0,--(N501=0),""))</f>
        <v/>
      </c>
      <c r="BF501" s="4">
        <f>IF(N501="","",--(N501=1))</f>
        <v/>
      </c>
    </row>
  </sheetData>
  <dataValidations count="2">
    <dataValidation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B419 B420 B421 B422 B423 B424 B425 B426 B427 B428 B429 B430 B431 B432 B433 B434 B435 B436 B437 B438 B439 B440 B441 B442 B443 B444 B445 B446 B447 B448 B449 B450 B451 B452 B453 B454 B455 B456 B457 B458 B459 B460 B461 B462 B463 B464 B465 B466 B467 B468 B469 B470 B471 B472 B473 B474 B475 B476 B477 B478 B479 B480 B481 B482 B483 B484 B485 B486 B487 B488 B489 B490 B491 B492 B493 B494 B495 B496 B497 B498 B499 B500 B501 D2 D3 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D202 D203 D204 D205 D206 D207 D208 D209 D210 D211 D212 D213 D214 D215 D216 D217 D218 D219 D220 D221 D222 D223 D224 D225 D226 D227 D228 D229 D230 D231 D232 D233 D234 D235 D236 D237 D238 D239 D240 D241 D242 D243 D244 D245 D246 D247 D248 D249 D250 D251 D252 D253 D254 D255 D256 D257 D258 D259 D260 D261 D262 D263 D264 D265 D266 D267 D268 D269 D270 D271 D272 D273 D274 D275 D276 D277 D278 D279 D280 D281 D282 D283 D284 D285 D286 D287 D288 D289 D290 D291 D292 D293 D294 D295 D296 D297 D298 D299 D300 D301 D302 D303 D304 D305 D306 D307 D308 D309 D310 D311 D312 D313 D314 D315 D316 D317 D318 D319 D320 D321 D322 D323 D324 D325 D326 D327 D328 D329 D330 D331 D332 D333 D334 D335 D336 D337 D338 D339 D340 D341 D342 D343 D344 D345 D346 D347 D348 D349 D350 D351 D352 D353 D354 D355 D356 D357 D358 D359 D360 D361 D362 D363 D364 D365 D366 D367 D368 D369 D370 D371 D372 D373 D374 D375 D376 D377 D378 D379 D380 D381 D382 D383 D384 D385 D386 D387 D388 D389 D390 D391 D392 D393 D394 D395 D396 D397 D398 D399 D400 D401 D402 D403 D404 D405 D406 D407 D408 D409 D410 D411 D412 D413 D414 D415 D416 D417 D418 D419 D420 D421 D422 D423 D424 D425 D426 D427 D428 D429 D430 D431 D432 D433 D434 D435 D436 D437 D438 D439 D440 D441 D442 D443 D444 D445 D446 D447 D448 D449 D450 D451 D452 D453 D454 D455 D456 D457 D458 D459 D460 D461 D462 D463 D464 D465 D466 D467 D468 D469 D470 D471 D472 D473 D474 D475 D476 D477 D478 D479 D480 D481 D482 D483 D484 D485 D486 D487 D488 D489 D490 D491 D492 D493 D494 D495 D496 D497 D498 D499 D500 D501 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E202 E203 E204 E205 E206 E207 E208 E209 E210 E211 E212 E213 E214 E215 E216 E217 E218 E219 E220 E221 E222 E223 E224 E225 E226 E227 E228 E229 E230 E231 E232 E233 E234 E235 E236 E237 E238 E239 E240 E241 E242 E243 E244 E245 E246 E247 E248 E249 E250 E251 E252 E253 E254 E255 E256 E257 E258 E259 E260 E261 E262 E263 E264 E265 E266 E267 E268 E269 E270 E271 E272 E273 E274 E275 E276 E277 E278 E279 E280 E281 E282 E283 E284 E285 E286 E287 E288 E289 E290 E291 E292 E293 E294 E295 E296 E297 E298 E299 E300 E301 E302 E303 E304 E305 E306 E307 E308 E309 E310 E311 E312 E313 E314 E315 E316 E317 E318 E319 E320 E321 E322 E323 E324 E325 E326 E327 E328 E329 E330 E331 E332 E333 E334 E335 E336 E337 E338 E339 E340 E341 E342 E343 E344 E345 E346 E347 E348 E349 E350 E351 E352 E353 E354 E355 E356 E357 E358 E359 E360 E361 E362 E363 E364 E365 E366 E367 E368 E369 E370 E371 E372 E373 E374 E375 E376 E377 E378 E379 E380 E381 E382 E383 E384 E385 E386 E387 E388 E389 E390 E391 E392 E393 E394 E395 E396 E397 E398 E399 E400 E401 E402 E403 E404 E405 E406 E407 E408 E409 E410 E411 E412 E413 E414 E415 E416 E417 E418 E419 E420 E421 E422 E423 E424 E425 E426 E427 E428 E429 E430 E431 E432 E433 E434 E435 E436 E437 E438 E439 E440 E441 E442 E443 E444 E445 E446 E447 E448 E449 E450 E451 E452 E453 E454 E455 E456 E457 E458 E459 E460 E461 E462 E463 E464 E465 E466 E467 E468 E469 E470 E471 E472 E473 E474 E475 E476 E477 E478 E479 E480 E481 E482 E483 E484 E485 E486 E487 E488 E489 E490 E491 E492 E493 E494 E495 E496 E497 E498 E499 E500 E501 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F202 F203 F204 F205 F206 F207 F208 F209 F210 F211 F212 F213 F214 F215 F216 F217 F218 F219 F220 F221 F222 F223 F224 F225 F226 F227 F228 F229 F230 F231 F232 F233 F234 F235 F236 F237 F238 F239 F240 F241 F242 F243 F244 F245 F246 F247 F248 F249 F250 F251 F252 F253 F254 F255 F256 F257 F258 F259 F260 F261 F262 F263 F264 F265 F266 F267 F268 F269 F270 F271 F272 F273 F274 F275 F276 F277 F278 F279 F280 F281 F282 F283 F284 F285 F286 F287 F288 F289 F290 F291 F292 F293 F294 F295 F296 F297 F298 F299 F300 F301 F302 F303 F304 F305 F306 F307 F308 F309 F310 F311 F312 F313 F314 F315 F316 F317 F318 F319 F320 F321 F322 F323 F324 F325 F326 F327 F328 F329 F330 F331 F332 F333 F334 F335 F336 F337 F338 F339 F340 F341 F342 F343 F344 F345 F346 F347 F348 F349 F350 F351 F352 F353 F354 F355 F356 F357 F358 F359 F360 F361 F362 F363 F364 F365 F366 F367 F368 F369 F370 F371 F372 F373 F374 F375 F376 F377 F378 F379 F380 F381 F382 F383 F384 F385 F386 F387 F388 F389 F390 F391 F392 F393 F394 F395 F396 F397 F398 F399 F400 F401 F402 F403 F404 F405 F406 F407 F408 F409 F410 F411 F412 F413 F414 F415 F416 F417 F418 F419 F420 F421 F422 F423 F424 F425 F426 F427 F428 F429 F430 F431 F432 F433 F434 F435 F436 F437 F438 F439 F440 F441 F442 F443 F444 F445 F446 F447 F448 F449 F450 F451 F452 F453 F454 F455 F456 F457 F458 F459 F460 F461 F462 F463 F464 F465 F466 F467 F468 F469 F470 F471 F472 F473 F474 F475 F476 F477 F478 F479 F480 F481 F482 F483 F484 F485 F486 F487 F488 F489 F490 F491 F492 F493 F494 F495 F496 F497 F498 F499 F500 F501 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G204 G205 G206 G207 G208 G209 G210 G211 G212 G213 G214 G215 G216 G217 G218 G219 G220 G221 G222 G223 G224 G225 G226 G227 G228 G229 G230 G231 G232 G233 G234 G235 G236 G237 G238 G239 G240 G241 G242 G243 G244 G245 G246 G247 G248 G249 G250 G251 G252 G253 G254 G255 G256 G257 G258 G259 G260 G261 G262 G263 G264 G265 G266 G267 G268 G269 G270 G271 G272 G273 G274 G275 G276 G277 G278 G279 G280 G281 G282 G283 G284 G285 G286 G287 G288 G289 G290 G291 G292 G293 G294 G295 G296 G297 G298 G299 G300 G301 G302 G303 G304 G305 G306 G307 G308 G309 G310 G311 G312 G313 G314 G315 G316 G317 G318 G319 G320 G321 G322 G323 G324 G325 G326 G327 G328 G329 G330 G331 G332 G333 G334 G335 G336 G337 G338 G339 G340 G341 G342 G343 G344 G345 G346 G347 G348 G349 G350 G351 G352 G353 G354 G355 G356 G357 G358 G359 G360 G361 G362 G363 G364 G365 G366 G367 G368 G369 G370 G371 G372 G373 G374 G375 G376 G377 G378 G379 G380 G381 G382 G383 G384 G385 G386 G387 G388 G389 G390 G391 G392 G393 G394 G395 G396 G397 G398 G399 G400 G401 G402 G403 G404 G405 G406 G407 G408 G409 G410 G411 G412 G413 G414 G415 G416 G417 G418 G419 G420 G421 G422 G423 G424 G425 G426 G427 G428 G429 G430 G431 G432 G433 G434 G435 G436 G437 G438 G439 G440 G441 G442 G443 G444 G445 G446 G447 G448 G449 G450 G451 G452 G453 G454 G455 G456 G457 G458 G459 G460 G461 G462 G463 G464 G465 G466 G467 G468 G469 G470 G471 G472 G473 G474 G475 G476 G477 G478 G479 G480 G481 G482 G483 G484 G485 G486 G487 G488 G489 G490 G491 G492 G493 G494 G495 G496 G497 G498 G499 G500 G501 H2 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H201 H202 H203 H204 H205 H206 H207 H208 H209 H210 H211 H212 H213 H214 H215 H216 H217 H218 H219 H220 H221 H222 H223 H224 H225 H226 H227 H228 H229 H230 H231 H232 H233 H234 H235 H236 H237 H238 H239 H240 H241 H242 H243 H244 H245 H246 H247 H248 H249 H250 H251 H252 H253 H254 H255 H256 H257 H258 H259 H260 H261 H262 H263 H264 H265 H266 H267 H268 H269 H270 H271 H272 H273 H274 H275 H276 H277 H278 H279 H280 H281 H282 H283 H284 H285 H286 H287 H288 H289 H290 H291 H292 H293 H294 H295 H296 H297 H298 H299 H300 H301 H302 H303 H304 H305 H306 H307 H308 H309 H310 H311 H312 H313 H314 H315 H316 H317 H318 H319 H320 H321 H322 H323 H324 H325 H326 H327 H328 H329 H330 H331 H332 H333 H334 H335 H336 H337 H338 H339 H340 H341 H342 H343 H344 H345 H346 H347 H348 H349 H350 H351 H352 H353 H354 H355 H356 H357 H358 H359 H360 H361 H362 H363 H364 H365 H366 H367 H368 H369 H370 H371 H372 H373 H374 H375 H376 H377 H378 H379 H380 H381 H382 H383 H384 H385 H386 H387 H388 H389 H390 H391 H392 H393 H394 H395 H396 H397 H398 H399 H400 H401 H402 H403 H404 H405 H406 H407 H408 H409 H410 H411 H412 H413 H414 H415 H416 H417 H418 H419 H420 H421 H422 H423 H424 H425 H426 H427 H428 H429 H430 H431 H432 H433 H434 H435 H436 H437 H438 H439 H440 H441 H442 H443 H444 H445 H446 H447 H448 H449 H450 H451 H452 H453 H454 H455 H456 H457 H458 H459 H460 H461 H462 H463 H464 H465 H466 H467 H468 H469 H470 H471 H472 H473 H474 H475 H476 H477 H478 H479 H480 H481 H482 H483 H484 H485 H486 H487 H488 H489 H490 H491 H492 H493 H494 H495 H496 H497 H498 H499 H500 H501 I2 I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I157 I158 I159 I160 I161 I162 I163 I164 I165 I166 I167 I168 I169 I170 I171 I172 I173 I174 I175 I176 I177 I178 I179 I180 I181 I182 I183 I184 I185 I186 I187 I188 I189 I190 I191 I192 I193 I194 I195 I196 I197 I198 I199 I200 I201 I202 I203 I204 I205 I206 I207 I208 I209 I210 I211 I212 I213 I214 I215 I216 I217 I218 I219 I220 I221 I222 I223 I224 I225 I226 I227 I228 I229 I230 I231 I232 I233 I234 I235 I236 I237 I238 I239 I240 I241 I242 I243 I244 I245 I246 I247 I248 I249 I250 I251 I252 I253 I254 I255 I256 I257 I258 I259 I260 I261 I262 I263 I264 I265 I266 I267 I268 I269 I270 I271 I272 I273 I274 I275 I276 I277 I278 I279 I280 I281 I282 I283 I284 I285 I286 I287 I288 I289 I290 I291 I292 I293 I294 I295 I296 I297 I298 I299 I300 I301 I302 I303 I304 I305 I306 I307 I308 I309 I310 I311 I312 I313 I314 I315 I316 I317 I318 I319 I320 I321 I322 I323 I324 I325 I326 I327 I328 I329 I330 I331 I332 I333 I334 I335 I336 I337 I338 I339 I340 I341 I342 I343 I344 I345 I346 I347 I348 I349 I350 I351 I352 I353 I354 I355 I356 I357 I358 I359 I360 I361 I362 I363 I364 I365 I366 I367 I368 I369 I370 I371 I372 I373 I374 I375 I376 I377 I378 I379 I380 I381 I382 I383 I384 I385 I386 I387 I388 I389 I390 I391 I392 I393 I394 I395 I396 I397 I398 I399 I400 I401 I402 I403 I404 I405 I406 I407 I408 I409 I410 I411 I412 I413 I414 I415 I416 I417 I418 I419 I420 I421 I422 I423 I424 I425 I426 I427 I428 I429 I430 I431 I432 I433 I434 I435 I436 I437 I438 I439 I440 I441 I442 I443 I444 I445 I446 I447 I448 I449 I450 I451 I452 I453 I454 I455 I456 I457 I458 I459 I460 I461 I462 I463 I464 I465 I466 I467 I468 I469 I470 I471 I472 I473 I474 I475 I476 I477 I478 I479 I480 I481 I482 I483 I484 I485 I486 I487 I488 I489 I490 I491 I492 I493 I494 I495 I496 I497 I498 I499 I500 I501 J2 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J202 J203 J204 J205 J206 J207 J208 J209 J210 J211 J212 J213 J214 J215 J216 J217 J218 J219 J220 J221 J222 J223 J224 J225 J226 J227 J228 J229 J230 J231 J232 J233 J234 J235 J236 J237 J238 J239 J240 J241 J242 J243 J244 J245 J246 J247 J248 J249 J250 J251 J252 J253 J254 J255 J256 J257 J258 J259 J260 J261 J262 J263 J264 J265 J266 J267 J268 J269 J270 J271 J272 J273 J274 J275 J276 J277 J278 J279 J280 J281 J282 J283 J284 J285 J286 J287 J288 J289 J290 J291 J292 J293 J294 J295 J296 J297 J298 J299 J300 J301 J302 J303 J304 J305 J306 J307 J308 J309 J310 J311 J312 J313 J314 J315 J316 J317 J318 J319 J320 J321 J322 J323 J324 J325 J326 J327 J328 J329 J330 J331 J332 J333 J334 J335 J336 J337 J338 J339 J340 J341 J342 J343 J344 J345 J346 J347 J348 J349 J350 J351 J352 J353 J354 J355 J356 J357 J358 J359 J360 J361 J362 J363 J364 J365 J366 J367 J368 J369 J370 J371 J372 J373 J374 J375 J376 J377 J378 J379 J380 J381 J382 J383 J384 J385 J386 J387 J388 J389 J390 J391 J392 J393 J394 J395 J396 J397 J398 J399 J400 J401 J402 J403 J404 J405 J406 J407 J408 J409 J410 J411 J412 J413 J414 J415 J416 J417 J418 J419 J420 J421 J422 J423 J424 J425 J426 J427 J428 J429 J430 J431 J432 J433 J434 J435 J436 J437 J438 J439 J440 J441 J442 J443 J444 J445 J446 J447 J448 J449 J450 J451 J452 J453 J454 J455 J456 J457 J458 J459 J460 J461 J462 J463 J464 J465 J466 J467 J468 J469 J470 J471 J472 J473 J474 J475 J476 J477 J478 J479 J480 J481 J482 J483 J484 J485 J486 J487 J488 J489 J490 J491 J492 J493 J494 J495 J496 J497 J498 J499 J500 J501 K2 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K200 K201 K202 K203 K204 K205 K206 K207 K208 K209 K210 K211 K212 K213 K214 K215 K216 K217 K218 K219 K220 K221 K222 K223 K224 K225 K226 K227 K228 K229 K230 K231 K232 K233 K234 K235 K236 K237 K238 K239 K240 K241 K242 K243 K244 K245 K246 K247 K248 K249 K250 K251 K252 K253 K254 K255 K256 K257 K258 K259 K260 K261 K262 K263 K264 K265 K266 K267 K268 K269 K270 K271 K272 K273 K274 K275 K276 K277 K278 K279 K280 K281 K282 K283 K284 K285 K286 K287 K288 K289 K290 K291 K292 K293 K294 K295 K296 K297 K298 K299 K300 K301 K302 K303 K304 K305 K306 K307 K308 K309 K310 K311 K312 K313 K314 K315 K316 K317 K318 K319 K320 K321 K322 K323 K324 K325 K326 K327 K328 K329 K330 K331 K332 K333 K334 K335 K336 K337 K338 K339 K340 K341 K342 K343 K344 K345 K346 K347 K348 K349 K350 K351 K352 K353 K354 K355 K356 K357 K358 K359 K360 K361 K362 K363 K364 K365 K366 K367 K368 K369 K370 K371 K372 K373 K374 K375 K376 K377 K378 K379 K380 K381 K382 K383 K384 K385 K386 K387 K388 K389 K390 K391 K392 K393 K394 K395 K396 K397 K398 K399 K400 K401 K402 K403 K404 K405 K406 K407 K408 K409 K410 K411 K412 K413 K414 K415 K416 K417 K418 K419 K420 K421 K422 K423 K424 K425 K426 K427 K428 K429 K430 K431 K432 K433 K434 K435 K436 K437 K438 K439 K440 K441 K442 K443 K444 K445 K446 K447 K448 K449 K450 K451 K452 K453 K454 K455 K456 K457 K458 K459 K460 K461 K462 K463 K464 K465 K466 K467 K468 K469 K470 K471 K472 K473 K474 K475 K476 K477 K478 K479 K480 K481 K482 K483 K484 K485 K486 K487 K488 K489 K490 K491 K492 K493 K494 K495 K496 K497 K498 K499 K500 K501 L2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L143 L144 L145 L146 L147 L148 L149 L150 L151 L152 L153 L154 L155 L156 L157 L158 L159 L160 L161 L162 L163 L164 L165 L166 L167 L168 L169 L170 L171 L172 L173 L174 L175 L176 L177 L178 L179 L180 L181 L182 L183 L184 L185 L186 L187 L188 L189 L190 L191 L192 L193 L194 L195 L196 L197 L198 L199 L200 L201 L202 L203 L204 L205 L206 L207 L208 L209 L210 L211 L212 L213 L214 L215 L216 L217 L218 L219 L220 L221 L222 L223 L224 L225 L226 L227 L228 L229 L230 L231 L232 L233 L234 L235 L236 L237 L238 L239 L240 L241 L242 L243 L244 L245 L246 L247 L248 L249 L250 L251 L252 L253 L254 L255 L256 L257 L258 L259 L260 L261 L262 L263 L264 L265 L266 L267 L268 L269 L270 L271 L272 L273 L274 L275 L276 L277 L278 L279 L280 L281 L282 L283 L284 L285 L286 L287 L288 L289 L290 L291 L292 L293 L294 L295 L296 L297 L298 L299 L300 L301 L302 L303 L304 L305 L306 L307 L308 L309 L310 L311 L312 L313 L314 L315 L316 L317 L318 L319 L320 L321 L322 L323 L324 L325 L326 L327 L328 L329 L330 L331 L332 L333 L334 L335 L336 L337 L338 L339 L340 L341 L342 L343 L344 L345 L346 L347 L348 L349 L350 L351 L352 L353 L354 L355 L356 L357 L358 L359 L360 L361 L362 L363 L364 L365 L366 L367 L368 L369 L370 L371 L372 L373 L374 L375 L376 L377 L378 L379 L380 L381 L382 L383 L384 L385 L386 L387 L388 L389 L390 L391 L392 L393 L394 L395 L396 L397 L398 L399 L400 L401 L402 L403 L404 L405 L406 L407 L408 L409 L410 L411 L412 L413 L414 L415 L416 L417 L418 L419 L420 L421 L422 L423 L424 L425 L426 L427 L428 L429 L430 L431 L432 L433 L434 L435 L436 L437 L438 L439 L440 L441 L442 L443 L444 L445 L446 L447 L448 L449 L450 L451 L452 L453 L454 L455 L456 L457 L458 L459 L460 L461 L462 L463 L464 L465 L466 L467 L468 L469 L470 L471 L472 L473 L474 L475 L476 L477 L478 L479 L480 L481 L482 L483 L484 L485 L486 L487 L488 L489 L490 L491 L492 L493 L494 L495 L496 L497 L498 L499 L500 L501 M2 M3 M4 M5 M6 M7 M8 M9 M10 M11 M12 M13 M14 M15 M16 M17 M18 M19 M20 M21 M22 M23 M24 M25 M26 M27 M28 M29 M30 M31 M32 M33 M34 M35 M36 M37 M38 M39 M40 M41 M42 M43 M44 M45 M46 M47 M48 M49 M50 M51 M52 M53 M54 M55 M56 M57 M58 M59 M60 M61 M62 M63 M64 M65 M66 M67 M68 M69 M70 M71 M72 M73 M74 M75 M76 M77 M78 M79 M80 M81 M82 M83 M84 M85 M86 M87 M88 M89 M90 M91 M92 M93 M94 M95 M96 M97 M98 M99 M100 M101 M102 M103 M104 M105 M106 M107 M108 M109 M110 M111 M112 M113 M114 M115 M116 M117 M118 M119 M120 M121 M122 M123 M124 M125 M126 M127 M128 M129 M130 M131 M132 M133 M134 M135 M136 M137 M138 M139 M140 M141 M142 M143 M144 M145 M146 M147 M148 M149 M150 M151 M152 M153 M154 M155 M156 M157 M158 M159 M160 M161 M162 M163 M164 M165 M166 M167 M168 M169 M170 M171 M172 M173 M174 M175 M176 M177 M178 M179 M180 M181 M182 M183 M184 M185 M186 M187 M188 M189 M190 M191 M192 M193 M194 M195 M196 M197 M198 M199 M200 M201 M202 M203 M204 M205 M206 M207 M208 M209 M210 M211 M212 M213 M214 M215 M216 M217 M218 M219 M220 M221 M222 M223 M224 M225 M226 M227 M228 M229 M230 M231 M232 M233 M234 M235 M236 M237 M238 M239 M240 M241 M242 M243 M244 M245 M246 M247 M248 M249 M250 M251 M252 M253 M254 M255 M256 M257 M258 M259 M260 M261 M262 M263 M264 M265 M266 M267 M268 M269 M270 M271 M272 M273 M274 M275 M276 M277 M278 M279 M280 M281 M282 M283 M284 M285 M286 M287 M288 M289 M290 M291 M292 M293 M294 M295 M296 M297 M298 M299 M300 M301 M302 M303 M304 M305 M306 M307 M308 M309 M310 M311 M312 M313 M314 M315 M316 M317 M318 M319 M320 M321 M322 M323 M324 M325 M326 M327 M328 M329 M330 M331 M332 M333 M334 M335 M336 M337 M338 M339 M340 M341 M342 M343 M344 M345 M346 M347 M348 M349 M350 M351 M352 M353 M354 M355 M356 M357 M358 M359 M360 M361 M362 M363 M364 M365 M366 M367 M368 M369 M370 M371 M372 M373 M374 M375 M376 M377 M378 M379 M380 M381 M382 M383 M384 M385 M386 M387 M388 M389 M390 M391 M392 M393 M394 M395 M396 M397 M398 M399 M400 M401 M402 M403 M404 M405 M406 M407 M408 M409 M410 M411 M412 M413 M414 M415 M416 M417 M418 M419 M420 M421 M422 M423 M424 M425 M426 M427 M428 M429 M430 M431 M432 M433 M434 M435 M436 M437 M438 M439 M440 M441 M442 M443 M444 M445 M446 M447 M448 M449 M450 M451 M452 M453 M454 M455 M456 M457 M458 M459 M460 M461 M462 M463 M464 M465 M466 M467 M468 M469 M470 M471 M472 M473 M474 M475 M476 M477 M478 M479 M480 M481 M482 M483 M484 M485 M486 M487 M488 M489 M490 M491 M492 M493 M494 M495 M496 M497 M498 M499 M500 M501 N2 N3 N4 N5 N6 N7 N8 N9 N10 N11 N12 N13 N14 N15 N16 N17 N18 N19 N20 N21 N22 N23 N24 N25 N26 N27 N28 N29 N30 N31 N32 N33 N34 N35 N36 N37 N38 N39 N40 N41 N42 N43 N44 N45 N46 N47 N48 N49 N50 N51 N52 N53 N54 N55 N56 N57 N58 N59 N60 N61 N62 N63 N64 N65 N66 N67 N68 N69 N70 N71 N72 N73 N74 N75 N76 N77 N78 N79 N80 N81 N82 N83 N84 N85 N86 N87 N88 N89 N90 N91 N92 N93 N94 N95 N96 N97 N98 N99 N100 N101 N102 N103 N104 N105 N106 N107 N108 N109 N110 N111 N112 N113 N114 N115 N116 N117 N118 N119 N120 N121 N122 N123 N124 N125 N126 N127 N128 N129 N130 N131 N132 N133 N134 N135 N136 N137 N138 N139 N140 N141 N142 N143 N144 N145 N146 N147 N148 N149 N150 N151 N152 N153 N154 N155 N156 N157 N158 N159 N160 N161 N162 N163 N164 N165 N166 N167 N168 N169 N170 N171 N172 N173 N174 N175 N176 N177 N178 N179 N180 N181 N182 N183 N184 N185 N186 N187 N188 N189 N190 N191 N192 N193 N194 N195 N196 N197 N198 N199 N200 N201 N202 N203 N204 N205 N206 N207 N208 N209 N210 N211 N212 N213 N214 N215 N216 N217 N218 N219 N220 N221 N222 N223 N224 N225 N226 N227 N228 N229 N230 N231 N232 N233 N234 N235 N236 N237 N238 N239 N240 N241 N242 N243 N244 N245 N246 N247 N248 N249 N250 N251 N252 N253 N254 N255 N256 N257 N258 N259 N260 N261 N262 N263 N264 N265 N266 N267 N268 N269 N270 N271 N272 N273 N274 N275 N276 N277 N278 N279 N280 N281 N282 N283 N284 N285 N286 N287 N288 N289 N290 N291 N292 N293 N294 N295 N296 N297 N298 N299 N300 N301 N302 N303 N304 N305 N306 N307 N308 N309 N310 N311 N312 N313 N314 N315 N316 N317 N318 N319 N320 N321 N322 N323 N324 N325 N326 N327 N328 N329 N330 N331 N332 N333 N334 N335 N336 N337 N338 N339 N340 N341 N342 N343 N344 N345 N346 N347 N348 N349 N350 N351 N352 N353 N354 N355 N356 N357 N358 N359 N360 N361 N362 N363 N364 N365 N366 N367 N368 N369 N370 N371 N372 N373 N374 N375 N376 N377 N378 N379 N380 N381 N382 N383 N384 N385 N386 N387 N388 N389 N390 N391 N392 N393 N394 N395 N396 N397 N398 N399 N400 N401 N402 N403 N404 N405 N406 N407 N408 N409 N410 N411 N412 N413 N414 N415 N416 N417 N418 N419 N420 N421 N422 N423 N424 N425 N426 N427 N428 N429 N430 N431 N432 N433 N434 N435 N436 N437 N438 N439 N440 N441 N442 N443 N444 N445 N446 N447 N448 N449 N450 N451 N452 N453 N454 N455 N456 N457 N458 N459 N460 N461 N462 N463 N464 N465 N466 N467 N468 N469 N470 N471 N472 N473 N474 N475 N476 N477 N478 N479 N480 N481 N482 N483 N484 N485 N486 N487 N488 N489 N490 N491 N492 N493 N494 N495 N496 N497 N498 N499 N500 N501" showDropDown="0" showInputMessage="0" showErrorMessage="0" allowBlank="1" type="whole">
      <formula1>0</formula1>
      <formula2>1</formula2>
    </dataValidation>
    <dataValidation sqref="C2 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C202 C203 C204 C205 C206 C207 C208 C209 C210 C211 C212 C213 C214 C215 C216 C217 C218 C219 C220 C221 C222 C223 C224 C225 C226 C227 C228 C229 C230 C231 C232 C233 C234 C235 C236 C237 C238 C239 C240 C241 C242 C243 C244 C245 C246 C247 C248 C249 C250 C251 C252 C253 C254 C255 C256 C257 C258 C259 C260 C261 C262 C263 C264 C265 C266 C267 C268 C269 C270 C271 C272 C273 C274 C275 C276 C277 C278 C279 C280 C281 C282 C283 C284 C285 C286 C287 C288 C289 C290 C291 C292 C293 C294 C295 C296 C297 C298 C299 C300 C301 C302 C303 C304 C305 C306 C307 C308 C309 C310 C311 C312 C313 C314 C315 C316 C317 C318 C319 C320 C321 C322 C323 C324 C325 C326 C327 C328 C329 C330 C331 C332 C333 C334 C335 C336 C337 C338 C339 C340 C341 C342 C343 C344 C345 C346 C347 C348 C349 C350 C351 C352 C353 C354 C355 C356 C357 C358 C359 C360 C361 C362 C363 C364 C365 C366 C367 C368 C369 C370 C371 C372 C373 C374 C375 C376 C377 C378 C379 C380 C381 C382 C383 C384 C385 C386 C387 C388 C389 C390 C391 C392 C393 C394 C395 C396 C397 C398 C399 C400 C401 C402 C403 C404 C405 C406 C407 C408 C409 C410 C411 C412 C413 C414 C415 C416 C417 C418 C419 C420 C421 C422 C423 C424 C425 C426 C427 C428 C429 C430 C431 C432 C433 C434 C435 C436 C437 C438 C439 C440 C441 C442 C443 C444 C445 C446 C447 C448 C449 C450 C451 C452 C453 C454 C455 C456 C457 C458 C459 C460 C461 C462 C463 C464 C465 C466 C467 C468 C469 C470 C471 C472 C473 C474 C475 C476 C477 C478 C479 C480 C481 C482 C483 C484 C485 C486 C487 C488 C489 C490 C491 C492 C493 C494 C495 C496 C497 C498 C499 C500 C501" showDropDown="0" showInputMessage="0" showErrorMessage="0" allowBlank="1" type="list">
      <formula1>"Direct,RQ"</formula1>
    </dataValidation>
  </dataValidation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M15"/>
  <sheetViews>
    <sheetView showGridLines="0" workbookViewId="0">
      <selection activeCell="A1" sqref="A1"/>
    </sheetView>
  </sheetViews>
  <sheetFormatPr baseColWidth="10" defaultColWidth="8.83203125" defaultRowHeight="15"/>
  <cols>
    <col width="20" customWidth="1" style="13" min="1" max="1"/>
    <col width="18" customWidth="1" style="13" min="2" max="2"/>
    <col width="16" customWidth="1" style="13" min="3" max="3"/>
    <col width="18" customWidth="1" style="13" min="4" max="5"/>
    <col width="14" customWidth="1" style="13" min="6" max="6"/>
    <col width="18" customWidth="1" style="13" min="7" max="7"/>
    <col width="22" customWidth="1" style="13" min="8" max="9"/>
    <col width="18" customWidth="1" style="13" min="10" max="10"/>
    <col width="14" customWidth="1" style="13" min="11" max="11"/>
    <col width="16" customWidth="1" style="13" min="12" max="12"/>
    <col width="18" customWidth="1" style="13" min="13" max="13"/>
  </cols>
  <sheetData>
    <row r="1" ht="32" customHeight="1" s="13">
      <c r="A1" s="1" t="inlineStr">
        <is>
          <t>comparison_id</t>
        </is>
      </c>
      <c r="B1" s="1" t="inlineStr">
        <is>
          <t>family_id</t>
        </is>
      </c>
      <c r="C1" s="1" t="inlineStr">
        <is>
          <t>subset</t>
        </is>
      </c>
      <c r="D1" s="1" t="inlineStr">
        <is>
          <t>system_A</t>
        </is>
      </c>
      <c r="E1" s="1" t="inlineStr">
        <is>
          <t>system_B</t>
        </is>
      </c>
      <c r="F1" s="1" t="inlineStr">
        <is>
          <t>n_paired_cases</t>
        </is>
      </c>
      <c r="G1" s="1" t="inlineStr">
        <is>
          <t>n11_both_correct</t>
        </is>
      </c>
      <c r="H1" s="1" t="inlineStr">
        <is>
          <t>n10_A_correct_B_wrong</t>
        </is>
      </c>
      <c r="I1" s="1" t="inlineStr">
        <is>
          <t>n01_A_wrong_B_correct</t>
        </is>
      </c>
      <c r="J1" s="1" t="inlineStr">
        <is>
          <t>n00_both_wrong</t>
        </is>
      </c>
      <c r="K1" s="1" t="inlineStr">
        <is>
          <t>delta_accuracy</t>
        </is>
      </c>
      <c r="L1" s="1" t="inlineStr">
        <is>
          <t>exact_mcnemar_p_raw</t>
        </is>
      </c>
      <c r="M1" s="1" t="inlineStr">
        <is>
          <t>exact_mcnemar_p_holm</t>
        </is>
      </c>
    </row>
    <row r="2">
      <c r="A2" s="5" t="inlineStr">
        <is>
          <t>LoTT_vs_G20_Std_full500</t>
        </is>
      </c>
      <c r="B2" s="5" t="inlineStr">
        <is>
          <t>A_full500</t>
        </is>
      </c>
      <c r="C2" s="5" t="inlineStr">
        <is>
          <t>full500</t>
        </is>
      </c>
      <c r="D2" s="5" t="inlineStr">
        <is>
          <t>lott_framework</t>
        </is>
      </c>
      <c r="E2" s="5" t="inlineStr">
        <is>
          <t>g20_standard</t>
        </is>
      </c>
      <c r="F2" s="4">
        <f>COUNTIFS(case_predictions_full500!$B$2:$B$501,"&lt;&gt;",case_predictions_full500!$D$2:$D$501,"&lt;&gt;",case_predictions_full500!$F$2:$F$501,"&lt;&gt;")</f>
        <v/>
      </c>
      <c r="G2" s="4">
        <f>COUNTIFS(case_predictions_full500!$O$2:$O$501,1,case_predictions_full500!$W$2:$W$501,1)</f>
        <v/>
      </c>
      <c r="H2" s="4">
        <f>COUNTIFS(case_predictions_full500!$O$2:$O$501,1,case_predictions_full500!$W$2:$W$501,0)</f>
        <v/>
      </c>
      <c r="I2" s="4">
        <f>COUNTIFS(case_predictions_full500!$O$2:$O$501,0,case_predictions_full500!$W$2:$W$501,1)</f>
        <v/>
      </c>
      <c r="J2" s="4">
        <f>IF(F2=0,"",F2-G2-H2-I2)</f>
        <v/>
      </c>
      <c r="K2" s="6">
        <f>IF(F2=0,"",(H2-I2)/F2)</f>
        <v/>
      </c>
      <c r="L2" s="7">
        <f>IF(H2+I2=0,"",MIN(1,2*_xludf.BINOM.DIST(MIN(H2,I2),H2+I2,0.5,TRUE)))</f>
        <v/>
      </c>
      <c r="M2" s="7">
        <f>IF(L2="","",MIN(1,MAX(SMALL($L$2:$L$4,1)*3,IF(_xludf.RANK.EQ(L2,$L$2:$L$4,1)&gt;=2,SMALL($L$2:$L$4,2)*2,0),IF(_xludf.RANK.EQ(L2,$L$2:$L$4,1)&gt;=3,SMALL($L$2:$L$4,3)*1,0))))</f>
        <v/>
      </c>
    </row>
    <row r="3">
      <c r="A3" s="5" t="inlineStr">
        <is>
          <t>LoTT_vs_G20_CoT_full500</t>
        </is>
      </c>
      <c r="B3" s="5" t="inlineStr">
        <is>
          <t>A_full500</t>
        </is>
      </c>
      <c r="C3" s="5" t="inlineStr">
        <is>
          <t>full500</t>
        </is>
      </c>
      <c r="D3" s="5" t="inlineStr">
        <is>
          <t>lott_framework</t>
        </is>
      </c>
      <c r="E3" s="5" t="inlineStr">
        <is>
          <t>g20_cot</t>
        </is>
      </c>
      <c r="F3" s="4">
        <f>COUNTIFS(case_predictions_full500!$B$2:$B$501,"&lt;&gt;",case_predictions_full500!$D$2:$D$501,"&lt;&gt;",case_predictions_full500!$G$2:$G$501,"&lt;&gt;")</f>
        <v/>
      </c>
      <c r="G3" s="4">
        <f>COUNTIFS(case_predictions_full500!$O$2:$O$501,1,case_predictions_full500!$AA$2:$AA$501,1)</f>
        <v/>
      </c>
      <c r="H3" s="4">
        <f>COUNTIFS(case_predictions_full500!$O$2:$O$501,1,case_predictions_full500!$AA$2:$AA$501,0)</f>
        <v/>
      </c>
      <c r="I3" s="4">
        <f>COUNTIFS(case_predictions_full500!$O$2:$O$501,0,case_predictions_full500!$AA$2:$AA$501,1)</f>
        <v/>
      </c>
      <c r="J3" s="4">
        <f>IF(F3=0,"",F3-G3-H3-I3)</f>
        <v/>
      </c>
      <c r="K3" s="6">
        <f>IF(F3=0,"",(H3-I3)/F3)</f>
        <v/>
      </c>
      <c r="L3" s="7">
        <f>IF(H3+I3=0,"",MIN(1,2*_xludf.BINOM.DIST(MIN(H3,I3),H3+I3,0.5,TRUE)))</f>
        <v/>
      </c>
      <c r="M3" s="7">
        <f>IF(L3="","",MIN(1,MAX(SMALL($L$2:$L$4,1)*3,IF(_xludf.RANK.EQ(L3,$L$2:$L$4,1)&gt;=2,SMALL($L$2:$L$4,2)*2,0),IF(_xludf.RANK.EQ(L3,$L$2:$L$4,1)&gt;=3,SMALL($L$2:$L$4,3)*1,0))))</f>
        <v/>
      </c>
    </row>
    <row r="4">
      <c r="A4" s="5" t="inlineStr">
        <is>
          <t>LoTT_vs_G20_LS_full500</t>
        </is>
      </c>
      <c r="B4" s="5" t="inlineStr">
        <is>
          <t>A_full500</t>
        </is>
      </c>
      <c r="C4" s="5" t="inlineStr">
        <is>
          <t>full500</t>
        </is>
      </c>
      <c r="D4" s="5" t="inlineStr">
        <is>
          <t>lott_framework</t>
        </is>
      </c>
      <c r="E4" s="5" t="inlineStr">
        <is>
          <t>g20_ls</t>
        </is>
      </c>
      <c r="F4" s="4">
        <f>COUNTIFS(case_predictions_full500!$B$2:$B$501,"&lt;&gt;",case_predictions_full500!$D$2:$D$501,"&lt;&gt;",case_predictions_full500!$H$2:$H$501,"&lt;&gt;")</f>
        <v/>
      </c>
      <c r="G4" s="4">
        <f>COUNTIFS(case_predictions_full500!$O$2:$O$501,1,case_predictions_full500!$AE$2:$AE$501,1)</f>
        <v/>
      </c>
      <c r="H4" s="4">
        <f>COUNTIFS(case_predictions_full500!$O$2:$O$501,1,case_predictions_full500!$AE$2:$AE$501,0)</f>
        <v/>
      </c>
      <c r="I4" s="4">
        <f>COUNTIFS(case_predictions_full500!$O$2:$O$501,0,case_predictions_full500!$AE$2:$AE$501,1)</f>
        <v/>
      </c>
      <c r="J4" s="4">
        <f>IF(F4=0,"",F4-G4-H4-I4)</f>
        <v/>
      </c>
      <c r="K4" s="6">
        <f>IF(F4=0,"",(H4-I4)/F4)</f>
        <v/>
      </c>
      <c r="L4" s="7">
        <f>IF(H4+I4=0,"",MIN(1,2*_xludf.BINOM.DIST(MIN(H4,I4),H4+I4,0.5,TRUE)))</f>
        <v/>
      </c>
      <c r="M4" s="7">
        <f>IF(L4="","",MIN(1,MAX(SMALL($L$2:$L$4,1)*3,IF(_xludf.RANK.EQ(L4,$L$2:$L$4,1)&gt;=2,SMALL($L$2:$L$4,2)*2,0),IF(_xludf.RANK.EQ(L4,$L$2:$L$4,1)&gt;=3,SMALL($L$2:$L$4,3)*1,0))))</f>
        <v/>
      </c>
    </row>
    <row r="5">
      <c r="A5" s="5" t="inlineStr">
        <is>
          <t>RQ_vs_G20_Std_full500</t>
        </is>
      </c>
      <c r="B5" s="5" t="inlineStr">
        <is>
          <t>B_full500</t>
        </is>
      </c>
      <c r="C5" s="5" t="inlineStr">
        <is>
          <t>full500</t>
        </is>
      </c>
      <c r="D5" s="5" t="inlineStr">
        <is>
          <t>rq_all500</t>
        </is>
      </c>
      <c r="E5" s="5" t="inlineStr">
        <is>
          <t>g20_standard</t>
        </is>
      </c>
      <c r="F5" s="4">
        <f>COUNTIFS(case_predictions_full500!$B$2:$B$501,"&lt;&gt;",case_predictions_full500!$E$2:$E$501,"&lt;&gt;",case_predictions_full500!$F$2:$F$501,"&lt;&gt;")</f>
        <v/>
      </c>
      <c r="G5" s="4">
        <f>COUNTIFS(case_predictions_full500!$S$2:$S$501,1,case_predictions_full500!$W$2:$W$501,1)</f>
        <v/>
      </c>
      <c r="H5" s="4">
        <f>COUNTIFS(case_predictions_full500!$S$2:$S$501,1,case_predictions_full500!$W$2:$W$501,0)</f>
        <v/>
      </c>
      <c r="I5" s="4">
        <f>COUNTIFS(case_predictions_full500!$S$2:$S$501,0,case_predictions_full500!$W$2:$W$501,1)</f>
        <v/>
      </c>
      <c r="J5" s="4">
        <f>IF(F5=0,"",F5-G5-H5-I5)</f>
        <v/>
      </c>
      <c r="K5" s="6">
        <f>IF(F5=0,"",(H5-I5)/F5)</f>
        <v/>
      </c>
      <c r="L5" s="7">
        <f>IF(H5+I5=0,"",MIN(1,2*_xludf.BINOM.DIST(MIN(H5,I5),H5+I5,0.5,TRUE)))</f>
        <v/>
      </c>
      <c r="M5" s="7">
        <f>IF(L5="","",MIN(1,MAX(SMALL($L$5:$L$7,1)*3,IF(_xludf.RANK.EQ(L5,$L$5:$L$7,1)&gt;=2,SMALL($L$5:$L$7,2)*2,0),IF(_xludf.RANK.EQ(L5,$L$5:$L$7,1)&gt;=3,SMALL($L$5:$L$7,3)*1,0))))</f>
        <v/>
      </c>
    </row>
    <row r="6">
      <c r="A6" s="5" t="inlineStr">
        <is>
          <t>RQ_vs_G20_CoT_full500</t>
        </is>
      </c>
      <c r="B6" s="5" t="inlineStr">
        <is>
          <t>B_full500</t>
        </is>
      </c>
      <c r="C6" s="5" t="inlineStr">
        <is>
          <t>full500</t>
        </is>
      </c>
      <c r="D6" s="5" t="inlineStr">
        <is>
          <t>rq_all500</t>
        </is>
      </c>
      <c r="E6" s="5" t="inlineStr">
        <is>
          <t>g20_cot</t>
        </is>
      </c>
      <c r="F6" s="4">
        <f>COUNTIFS(case_predictions_full500!$B$2:$B$501,"&lt;&gt;",case_predictions_full500!$E$2:$E$501,"&lt;&gt;",case_predictions_full500!$G$2:$G$501,"&lt;&gt;")</f>
        <v/>
      </c>
      <c r="G6" s="4">
        <f>COUNTIFS(case_predictions_full500!$S$2:$S$501,1,case_predictions_full500!$AA$2:$AA$501,1)</f>
        <v/>
      </c>
      <c r="H6" s="4">
        <f>COUNTIFS(case_predictions_full500!$S$2:$S$501,1,case_predictions_full500!$AA$2:$AA$501,0)</f>
        <v/>
      </c>
      <c r="I6" s="4">
        <f>COUNTIFS(case_predictions_full500!$S$2:$S$501,0,case_predictions_full500!$AA$2:$AA$501,1)</f>
        <v/>
      </c>
      <c r="J6" s="4">
        <f>IF(F6=0,"",F6-G6-H6-I6)</f>
        <v/>
      </c>
      <c r="K6" s="6">
        <f>IF(F6=0,"",(H6-I6)/F6)</f>
        <v/>
      </c>
      <c r="L6" s="7">
        <f>IF(H6+I6=0,"",MIN(1,2*_xludf.BINOM.DIST(MIN(H6,I6),H6+I6,0.5,TRUE)))</f>
        <v/>
      </c>
      <c r="M6" s="7">
        <f>IF(L6="","",MIN(1,MAX(SMALL($L$5:$L$7,1)*3,IF(_xludf.RANK.EQ(L6,$L$5:$L$7,1)&gt;=2,SMALL($L$5:$L$7,2)*2,0),IF(_xludf.RANK.EQ(L6,$L$5:$L$7,1)&gt;=3,SMALL($L$5:$L$7,3)*1,0))))</f>
        <v/>
      </c>
    </row>
    <row r="7">
      <c r="A7" s="5" t="inlineStr">
        <is>
          <t>RQ_vs_G20_LS_full500</t>
        </is>
      </c>
      <c r="B7" s="5" t="inlineStr">
        <is>
          <t>B_full500</t>
        </is>
      </c>
      <c r="C7" s="5" t="inlineStr">
        <is>
          <t>full500</t>
        </is>
      </c>
      <c r="D7" s="5" t="inlineStr">
        <is>
          <t>rq_all500</t>
        </is>
      </c>
      <c r="E7" s="5" t="inlineStr">
        <is>
          <t>g20_ls</t>
        </is>
      </c>
      <c r="F7" s="4">
        <f>COUNTIFS(case_predictions_full500!$B$2:$B$501,"&lt;&gt;",case_predictions_full500!$E$2:$E$501,"&lt;&gt;",case_predictions_full500!$H$2:$H$501,"&lt;&gt;")</f>
        <v/>
      </c>
      <c r="G7" s="4">
        <f>COUNTIFS(case_predictions_full500!$S$2:$S$501,1,case_predictions_full500!$AE$2:$AE$501,1)</f>
        <v/>
      </c>
      <c r="H7" s="4">
        <f>COUNTIFS(case_predictions_full500!$S$2:$S$501,1,case_predictions_full500!$AE$2:$AE$501,0)</f>
        <v/>
      </c>
      <c r="I7" s="4">
        <f>COUNTIFS(case_predictions_full500!$S$2:$S$501,0,case_predictions_full500!$AE$2:$AE$501,1)</f>
        <v/>
      </c>
      <c r="J7" s="4">
        <f>IF(F7=0,"",F7-G7-H7-I7)</f>
        <v/>
      </c>
      <c r="K7" s="6">
        <f>IF(F7=0,"",(H7-I7)/F7)</f>
        <v/>
      </c>
      <c r="L7" s="7">
        <f>IF(H7+I7=0,"",MIN(1,2*_xludf.BINOM.DIST(MIN(H7,I7),H7+I7,0.5,TRUE)))</f>
        <v/>
      </c>
      <c r="M7" s="7">
        <f>IF(L7="","",MIN(1,MAX(SMALL($L$5:$L$7,1)*3,IF(_xludf.RANK.EQ(L7,$L$5:$L$7,1)&gt;=2,SMALL($L$5:$L$7,2)*2,0),IF(_xludf.RANK.EQ(L7,$L$5:$L$7,1)&gt;=3,SMALL($L$5:$L$7,3)*1,0))))</f>
        <v/>
      </c>
    </row>
    <row r="8">
      <c r="A8" s="5" t="inlineStr">
        <is>
          <t>LoTT_vs_G20_Std_direct477</t>
        </is>
      </c>
      <c r="B8" s="5" t="inlineStr">
        <is>
          <t>C_direct477</t>
        </is>
      </c>
      <c r="C8" s="5" t="inlineStr">
        <is>
          <t>direct477</t>
        </is>
      </c>
      <c r="D8" s="5" t="inlineStr">
        <is>
          <t>lott_framework</t>
        </is>
      </c>
      <c r="E8" s="5" t="inlineStr">
        <is>
          <t>g20_standard</t>
        </is>
      </c>
      <c r="F8" s="4">
        <f>COUNTIFS(case_predictions_full500!$B$2:$B$501,"&lt;&gt;",case_predictions_full500!$D$2:$D$501,"&lt;&gt;",case_predictions_full500!$F$2:$F$501,"&lt;&gt;",case_predictions_full500!$C$2:$C$501,"Direct")</f>
        <v/>
      </c>
      <c r="G8" s="4">
        <f>COUNTIFS(case_predictions_full500!$O$2:$O$501,1,case_predictions_full500!$W$2:$W$501,1,case_predictions_full500!$C$2:$C$501,"Direct")</f>
        <v/>
      </c>
      <c r="H8" s="4">
        <f>COUNTIFS(case_predictions_full500!$O$2:$O$501,1,case_predictions_full500!$W$2:$W$501,0,case_predictions_full500!$C$2:$C$501,"Direct")</f>
        <v/>
      </c>
      <c r="I8" s="4">
        <f>COUNTIFS(case_predictions_full500!$O$2:$O$501,0,case_predictions_full500!$W$2:$W$501,1,case_predictions_full500!$C$2:$C$501,"Direct")</f>
        <v/>
      </c>
      <c r="J8" s="4">
        <f>IF(F8=0,"",F8-G8-H8-I8)</f>
        <v/>
      </c>
      <c r="K8" s="6">
        <f>IF(F8=0,"",(H8-I8)/F8)</f>
        <v/>
      </c>
      <c r="L8" s="7">
        <f>IF(H8+I8=0,"",MIN(1,2*_xludf.BINOM.DIST(MIN(H8,I8),H8+I8,0.5,TRUE)))</f>
        <v/>
      </c>
      <c r="M8" s="7">
        <f>IF(L8="","",MIN(1,MAX(SMALL($L$8:$L$10,1)*3,IF(_xludf.RANK.EQ(L8,$L$8:$L$10,1)&gt;=2,SMALL($L$8:$L$10,2)*2,0),IF(_xludf.RANK.EQ(L8,$L$8:$L$10,1)&gt;=3,SMALL($L$8:$L$10,3)*1,0))))</f>
        <v/>
      </c>
    </row>
    <row r="9">
      <c r="A9" s="5" t="inlineStr">
        <is>
          <t>LoTT_vs_G20_CoT_direct477</t>
        </is>
      </c>
      <c r="B9" s="5" t="inlineStr">
        <is>
          <t>C_direct477</t>
        </is>
      </c>
      <c r="C9" s="5" t="inlineStr">
        <is>
          <t>direct477</t>
        </is>
      </c>
      <c r="D9" s="5" t="inlineStr">
        <is>
          <t>lott_framework</t>
        </is>
      </c>
      <c r="E9" s="5" t="inlineStr">
        <is>
          <t>g20_cot</t>
        </is>
      </c>
      <c r="F9" s="4">
        <f>COUNTIFS(case_predictions_full500!$B$2:$B$501,"&lt;&gt;",case_predictions_full500!$D$2:$D$501,"&lt;&gt;",case_predictions_full500!$G$2:$G$501,"&lt;&gt;",case_predictions_full500!$C$2:$C$501,"Direct")</f>
        <v/>
      </c>
      <c r="G9" s="4">
        <f>COUNTIFS(case_predictions_full500!$O$2:$O$501,1,case_predictions_full500!$AA$2:$AA$501,1,case_predictions_full500!$C$2:$C$501,"Direct")</f>
        <v/>
      </c>
      <c r="H9" s="4">
        <f>COUNTIFS(case_predictions_full500!$O$2:$O$501,1,case_predictions_full500!$AA$2:$AA$501,0,case_predictions_full500!$C$2:$C$501,"Direct")</f>
        <v/>
      </c>
      <c r="I9" s="4">
        <f>COUNTIFS(case_predictions_full500!$O$2:$O$501,0,case_predictions_full500!$AA$2:$AA$501,1,case_predictions_full500!$C$2:$C$501,"Direct")</f>
        <v/>
      </c>
      <c r="J9" s="4">
        <f>IF(F9=0,"",F9-G9-H9-I9)</f>
        <v/>
      </c>
      <c r="K9" s="6">
        <f>IF(F9=0,"",(H9-I9)/F9)</f>
        <v/>
      </c>
      <c r="L9" s="7">
        <f>IF(H9+I9=0,"",MIN(1,2*_xludf.BINOM.DIST(MIN(H9,I9),H9+I9,0.5,TRUE)))</f>
        <v/>
      </c>
      <c r="M9" s="7">
        <f>IF(L9="","",MIN(1,MAX(SMALL($L$8:$L$10,1)*3,IF(_xludf.RANK.EQ(L9,$L$8:$L$10,1)&gt;=2,SMALL($L$8:$L$10,2)*2,0),IF(_xludf.RANK.EQ(L9,$L$8:$L$10,1)&gt;=3,SMALL($L$8:$L$10,3)*1,0))))</f>
        <v/>
      </c>
    </row>
    <row r="10">
      <c r="A10" s="5" t="inlineStr">
        <is>
          <t>LoTT_vs_G20_LS_direct477</t>
        </is>
      </c>
      <c r="B10" s="5" t="inlineStr">
        <is>
          <t>C_direct477</t>
        </is>
      </c>
      <c r="C10" s="5" t="inlineStr">
        <is>
          <t>direct477</t>
        </is>
      </c>
      <c r="D10" s="5" t="inlineStr">
        <is>
          <t>lott_framework</t>
        </is>
      </c>
      <c r="E10" s="5" t="inlineStr">
        <is>
          <t>g20_ls</t>
        </is>
      </c>
      <c r="F10" s="4">
        <f>COUNTIFS(case_predictions_full500!$B$2:$B$501,"&lt;&gt;",case_predictions_full500!$D$2:$D$501,"&lt;&gt;",case_predictions_full500!$H$2:$H$501,"&lt;&gt;",case_predictions_full500!$C$2:$C$501,"Direct")</f>
        <v/>
      </c>
      <c r="G10" s="4">
        <f>COUNTIFS(case_predictions_full500!$O$2:$O$501,1,case_predictions_full500!$AE$2:$AE$501,1,case_predictions_full500!$C$2:$C$501,"Direct")</f>
        <v/>
      </c>
      <c r="H10" s="4">
        <f>COUNTIFS(case_predictions_full500!$O$2:$O$501,1,case_predictions_full500!$AE$2:$AE$501,0,case_predictions_full500!$C$2:$C$501,"Direct")</f>
        <v/>
      </c>
      <c r="I10" s="4">
        <f>COUNTIFS(case_predictions_full500!$O$2:$O$501,0,case_predictions_full500!$AE$2:$AE$501,1,case_predictions_full500!$C$2:$C$501,"Direct")</f>
        <v/>
      </c>
      <c r="J10" s="4">
        <f>IF(F10=0,"",F10-G10-H10-I10)</f>
        <v/>
      </c>
      <c r="K10" s="6">
        <f>IF(F10=0,"",(H10-I10)/F10)</f>
        <v/>
      </c>
      <c r="L10" s="7">
        <f>IF(H10+I10=0,"",MIN(1,2*_xludf.BINOM.DIST(MIN(H10,I10),H10+I10,0.5,TRUE)))</f>
        <v/>
      </c>
      <c r="M10" s="7">
        <f>IF(L10="","",MIN(1,MAX(SMALL($L$8:$L$10,1)*3,IF(_xludf.RANK.EQ(L10,$L$8:$L$10,1)&gt;=2,SMALL($L$8:$L$10,2)*2,0),IF(_xludf.RANK.EQ(L10,$L$8:$L$10,1)&gt;=3,SMALL($L$8:$L$10,3)*1,0))))</f>
        <v/>
      </c>
    </row>
    <row r="11">
      <c r="A11" s="5" t="inlineStr">
        <is>
          <t>LoTT_vs_G20_Std_rq23</t>
        </is>
      </c>
      <c r="B11" s="5" t="inlineStr">
        <is>
          <t>D_rq23</t>
        </is>
      </c>
      <c r="C11" s="5" t="inlineStr">
        <is>
          <t>rq23_exploratory</t>
        </is>
      </c>
      <c r="D11" s="5" t="inlineStr">
        <is>
          <t>lott_framework</t>
        </is>
      </c>
      <c r="E11" s="5" t="inlineStr">
        <is>
          <t>g20_standard</t>
        </is>
      </c>
      <c r="F11" s="4">
        <f>COUNTIFS(case_predictions_full500!$B$2:$B$501,"&lt;&gt;",case_predictions_full500!$D$2:$D$501,"&lt;&gt;",case_predictions_full500!$F$2:$F$501,"&lt;&gt;",case_predictions_full500!$C$2:$C$501,"RQ")</f>
        <v/>
      </c>
      <c r="G11" s="4">
        <f>COUNTIFS(case_predictions_full500!$O$2:$O$501,1,case_predictions_full500!$W$2:$W$501,1,case_predictions_full500!$C$2:$C$501,"RQ")</f>
        <v/>
      </c>
      <c r="H11" s="4">
        <f>COUNTIFS(case_predictions_full500!$O$2:$O$501,1,case_predictions_full500!$W$2:$W$501,0,case_predictions_full500!$C$2:$C$501,"RQ")</f>
        <v/>
      </c>
      <c r="I11" s="4">
        <f>COUNTIFS(case_predictions_full500!$O$2:$O$501,0,case_predictions_full500!$W$2:$W$501,1,case_predictions_full500!$C$2:$C$501,"RQ")</f>
        <v/>
      </c>
      <c r="J11" s="4">
        <f>IF(F11=0,"",F11-G11-H11-I11)</f>
        <v/>
      </c>
      <c r="K11" s="6">
        <f>IF(F11=0,"",(H11-I11)/F11)</f>
        <v/>
      </c>
      <c r="L11" s="7">
        <f>IF(H11+I11=0,"",MIN(1,2*_xludf.BINOM.DIST(MIN(H11,I11),H11+I11,0.5,TRUE)))</f>
        <v/>
      </c>
      <c r="M11" s="7">
        <f>IF(L11="","",MIN(1,MAX(SMALL($L$11:$L$13,1)*3,IF(_xludf.RANK.EQ(L11,$L$11:$L$13,1)&gt;=2,SMALL($L$11:$L$13,2)*2,0),IF(_xludf.RANK.EQ(L11,$L$11:$L$13,1)&gt;=3,SMALL($L$11:$L$13,3)*1,0))))</f>
        <v/>
      </c>
    </row>
    <row r="12">
      <c r="A12" s="5" t="inlineStr">
        <is>
          <t>LoTT_vs_G20_CoT_rq23</t>
        </is>
      </c>
      <c r="B12" s="5" t="inlineStr">
        <is>
          <t>D_rq23</t>
        </is>
      </c>
      <c r="C12" s="5" t="inlineStr">
        <is>
          <t>rq23_exploratory</t>
        </is>
      </c>
      <c r="D12" s="5" t="inlineStr">
        <is>
          <t>lott_framework</t>
        </is>
      </c>
      <c r="E12" s="5" t="inlineStr">
        <is>
          <t>g20_cot</t>
        </is>
      </c>
      <c r="F12" s="4">
        <f>COUNTIFS(case_predictions_full500!$B$2:$B$501,"&lt;&gt;",case_predictions_full500!$D$2:$D$501,"&lt;&gt;",case_predictions_full500!$G$2:$G$501,"&lt;&gt;",case_predictions_full500!$C$2:$C$501,"RQ")</f>
        <v/>
      </c>
      <c r="G12" s="4">
        <f>COUNTIFS(case_predictions_full500!$O$2:$O$501,1,case_predictions_full500!$AA$2:$AA$501,1,case_predictions_full500!$C$2:$C$501,"RQ")</f>
        <v/>
      </c>
      <c r="H12" s="4">
        <f>COUNTIFS(case_predictions_full500!$O$2:$O$501,1,case_predictions_full500!$AA$2:$AA$501,0,case_predictions_full500!$C$2:$C$501,"RQ")</f>
        <v/>
      </c>
      <c r="I12" s="4">
        <f>COUNTIFS(case_predictions_full500!$O$2:$O$501,0,case_predictions_full500!$AA$2:$AA$501,1,case_predictions_full500!$C$2:$C$501,"RQ")</f>
        <v/>
      </c>
      <c r="J12" s="4">
        <f>IF(F12=0,"",F12-G12-H12-I12)</f>
        <v/>
      </c>
      <c r="K12" s="6">
        <f>IF(F12=0,"",(H12-I12)/F12)</f>
        <v/>
      </c>
      <c r="L12" s="7">
        <f>IF(H12+I12=0,"",MIN(1,2*_xludf.BINOM.DIST(MIN(H12,I12),H12+I12,0.5,TRUE)))</f>
        <v/>
      </c>
      <c r="M12" s="7">
        <f>IF(L12="","",MIN(1,MAX(SMALL($L$11:$L$13,1)*3,IF(_xludf.RANK.EQ(L12,$L$11:$L$13,1)&gt;=2,SMALL($L$11:$L$13,2)*2,0),IF(_xludf.RANK.EQ(L12,$L$11:$L$13,1)&gt;=3,SMALL($L$11:$L$13,3)*1,0))))</f>
        <v/>
      </c>
    </row>
    <row r="13">
      <c r="A13" s="5" t="inlineStr">
        <is>
          <t>LoTT_vs_G20_LS_rq23</t>
        </is>
      </c>
      <c r="B13" s="5" t="inlineStr">
        <is>
          <t>D_rq23</t>
        </is>
      </c>
      <c r="C13" s="5" t="inlineStr">
        <is>
          <t>rq23_exploratory</t>
        </is>
      </c>
      <c r="D13" s="5" t="inlineStr">
        <is>
          <t>lott_framework</t>
        </is>
      </c>
      <c r="E13" s="5" t="inlineStr">
        <is>
          <t>g20_ls</t>
        </is>
      </c>
      <c r="F13" s="4">
        <f>COUNTIFS(case_predictions_full500!$B$2:$B$501,"&lt;&gt;",case_predictions_full500!$D$2:$D$501,"&lt;&gt;",case_predictions_full500!$H$2:$H$501,"&lt;&gt;",case_predictions_full500!$C$2:$C$501,"RQ")</f>
        <v/>
      </c>
      <c r="G13" s="4">
        <f>COUNTIFS(case_predictions_full500!$O$2:$O$501,1,case_predictions_full500!$AE$2:$AE$501,1,case_predictions_full500!$C$2:$C$501,"RQ")</f>
        <v/>
      </c>
      <c r="H13" s="4">
        <f>COUNTIFS(case_predictions_full500!$O$2:$O$501,1,case_predictions_full500!$AE$2:$AE$501,0,case_predictions_full500!$C$2:$C$501,"RQ")</f>
        <v/>
      </c>
      <c r="I13" s="4">
        <f>COUNTIFS(case_predictions_full500!$O$2:$O$501,0,case_predictions_full500!$AE$2:$AE$501,1,case_predictions_full500!$C$2:$C$501,"RQ")</f>
        <v/>
      </c>
      <c r="J13" s="4">
        <f>IF(F13=0,"",F13-G13-H13-I13)</f>
        <v/>
      </c>
      <c r="K13" s="6">
        <f>IF(F13=0,"",(H13-I13)/F13)</f>
        <v/>
      </c>
      <c r="L13" s="7">
        <f>IF(H13+I13=0,"",MIN(1,2*_xludf.BINOM.DIST(MIN(H13,I13),H13+I13,0.5,TRUE)))</f>
        <v/>
      </c>
      <c r="M13" s="7">
        <f>IF(L13="","",MIN(1,MAX(SMALL($L$11:$L$13,1)*3,IF(_xludf.RANK.EQ(L13,$L$11:$L$13,1)&gt;=2,SMALL($L$11:$L$13,2)*2,0),IF(_xludf.RANK.EQ(L13,$L$11:$L$13,1)&gt;=3,SMALL($L$11:$L$13,3)*1,0))))</f>
        <v/>
      </c>
    </row>
    <row r="15">
      <c r="A15" s="8" t="inlineStr">
        <is>
          <t>Note</t>
        </is>
      </c>
      <c r="B15" s="12" t="inlineStr">
        <is>
          <t>Exact McNemar p-values are formula-ready. Holm-adjusted p-values are computed within each 3-row family block (full500 LoTT, full500 RQ, direct477, rq23).</t>
        </is>
      </c>
    </row>
  </sheetData>
  <mergeCells count="1">
    <mergeCell ref="B15:F15"/>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M15"/>
  <sheetViews>
    <sheetView showGridLines="0" workbookViewId="0">
      <selection activeCell="A1" sqref="A1"/>
    </sheetView>
  </sheetViews>
  <sheetFormatPr baseColWidth="10" defaultColWidth="8.83203125" defaultRowHeight="15"/>
  <cols>
    <col width="20" customWidth="1" style="13" min="1" max="1"/>
    <col width="18" customWidth="1" style="13" min="2" max="2"/>
    <col width="16" customWidth="1" style="13" min="3" max="3"/>
    <col width="18" customWidth="1" style="13" min="4" max="5"/>
    <col width="14" customWidth="1" style="13" min="6" max="6"/>
    <col width="20" customWidth="1" style="13" min="7" max="7"/>
    <col width="18" customWidth="1" style="13" min="8" max="9"/>
    <col width="16" customWidth="1" style="13" min="10" max="10"/>
    <col width="18" customWidth="1" style="13" min="11" max="11"/>
    <col width="16" customWidth="1" style="13" min="12" max="12"/>
    <col width="18" customWidth="1" style="13" min="13" max="13"/>
  </cols>
  <sheetData>
    <row r="1" ht="32" customHeight="1" s="13">
      <c r="A1" s="1" t="inlineStr">
        <is>
          <t>comparison_id</t>
        </is>
      </c>
      <c r="B1" s="1" t="inlineStr">
        <is>
          <t>family_id</t>
        </is>
      </c>
      <c r="C1" s="1" t="inlineStr">
        <is>
          <t>subset</t>
        </is>
      </c>
      <c r="D1" s="1" t="inlineStr">
        <is>
          <t>system_A</t>
        </is>
      </c>
      <c r="E1" s="1" t="inlineStr">
        <is>
          <t>system_B</t>
        </is>
      </c>
      <c r="F1" s="1" t="inlineStr">
        <is>
          <t>n_positive_cases</t>
        </is>
      </c>
      <c r="G1" s="1" t="inlineStr">
        <is>
          <t>n11_both_hit_violation</t>
        </is>
      </c>
      <c r="H1" s="1" t="inlineStr">
        <is>
          <t>n10_A_hit_B_miss</t>
        </is>
      </c>
      <c r="I1" s="1" t="inlineStr">
        <is>
          <t>n01_A_miss_B_hit</t>
        </is>
      </c>
      <c r="J1" s="1" t="inlineStr">
        <is>
          <t>n00_both_miss</t>
        </is>
      </c>
      <c r="K1" s="1" t="inlineStr">
        <is>
          <t>delta_positive_recall</t>
        </is>
      </c>
      <c r="L1" s="1" t="inlineStr">
        <is>
          <t>exact_mcnemar_p_raw</t>
        </is>
      </c>
      <c r="M1" s="1" t="inlineStr">
        <is>
          <t>exact_mcnemar_p_holm</t>
        </is>
      </c>
    </row>
    <row r="2">
      <c r="A2" s="5" t="inlineStr">
        <is>
          <t>LoTT_vs_G20_Std_full500</t>
        </is>
      </c>
      <c r="B2" s="5" t="inlineStr">
        <is>
          <t>A_full500</t>
        </is>
      </c>
      <c r="C2" s="5" t="inlineStr">
        <is>
          <t>full500</t>
        </is>
      </c>
      <c r="D2" s="5" t="inlineStr">
        <is>
          <t>lott_framework</t>
        </is>
      </c>
      <c r="E2" s="5" t="inlineStr">
        <is>
          <t>g20_standard</t>
        </is>
      </c>
      <c r="F2" s="4">
        <f>COUNTIFS(case_predictions_full500!$B$2:$B$501,1,case_predictions_full500!$D$2:$D$501,"&lt;&gt;",case_predictions_full500!$F$2:$F$501,"&lt;&gt;")</f>
        <v/>
      </c>
      <c r="G2" s="4">
        <f>COUNTIFS(case_predictions_full500!$P$2:$P$501,1,case_predictions_full500!$X$2:$X$501,1)</f>
        <v/>
      </c>
      <c r="H2" s="4">
        <f>COUNTIFS(case_predictions_full500!$P$2:$P$501,1,case_predictions_full500!$X$2:$X$501,0)</f>
        <v/>
      </c>
      <c r="I2" s="4">
        <f>COUNTIFS(case_predictions_full500!$P$2:$P$501,0,case_predictions_full500!$X$2:$X$501,1)</f>
        <v/>
      </c>
      <c r="J2" s="4">
        <f>IF(F2=0,"",F2-G2-H2-I2)</f>
        <v/>
      </c>
      <c r="K2" s="6">
        <f>IF(F2=0,"",(H2-I2)/F2)</f>
        <v/>
      </c>
      <c r="L2" s="7">
        <f>IF(H2+I2=0,"",MIN(1,2*_xludf.BINOM.DIST(MIN(H2,I2),H2+I2,0.5,TRUE)))</f>
        <v/>
      </c>
      <c r="M2" s="7">
        <f>IF(L2="","",MIN(1,MAX(SMALL($L$2:$L$4,1)*3,IF(_xludf.RANK.EQ(L2,$L$2:$L$4,1)&gt;=2,SMALL($L$2:$L$4,2)*2,0),IF(_xludf.RANK.EQ(L2,$L$2:$L$4,1)&gt;=3,SMALL($L$2:$L$4,3)*1,0))))</f>
        <v/>
      </c>
    </row>
    <row r="3">
      <c r="A3" s="5" t="inlineStr">
        <is>
          <t>LoTT_vs_G20_CoT_full500</t>
        </is>
      </c>
      <c r="B3" s="5" t="inlineStr">
        <is>
          <t>A_full500</t>
        </is>
      </c>
      <c r="C3" s="5" t="inlineStr">
        <is>
          <t>full500</t>
        </is>
      </c>
      <c r="D3" s="5" t="inlineStr">
        <is>
          <t>lott_framework</t>
        </is>
      </c>
      <c r="E3" s="5" t="inlineStr">
        <is>
          <t>g20_cot</t>
        </is>
      </c>
      <c r="F3" s="4">
        <f>COUNTIFS(case_predictions_full500!$B$2:$B$501,1,case_predictions_full500!$D$2:$D$501,"&lt;&gt;",case_predictions_full500!$G$2:$G$501,"&lt;&gt;")</f>
        <v/>
      </c>
      <c r="G3" s="4">
        <f>COUNTIFS(case_predictions_full500!$P$2:$P$501,1,case_predictions_full500!$AB$2:$AB$501,1)</f>
        <v/>
      </c>
      <c r="H3" s="4">
        <f>COUNTIFS(case_predictions_full500!$P$2:$P$501,1,case_predictions_full500!$AB$2:$AB$501,0)</f>
        <v/>
      </c>
      <c r="I3" s="4">
        <f>COUNTIFS(case_predictions_full500!$P$2:$P$501,0,case_predictions_full500!$AB$2:$AB$501,1)</f>
        <v/>
      </c>
      <c r="J3" s="4">
        <f>IF(F3=0,"",F3-G3-H3-I3)</f>
        <v/>
      </c>
      <c r="K3" s="6">
        <f>IF(F3=0,"",(H3-I3)/F3)</f>
        <v/>
      </c>
      <c r="L3" s="7">
        <f>IF(H3+I3=0,"",MIN(1,2*_xludf.BINOM.DIST(MIN(H3,I3),H3+I3,0.5,TRUE)))</f>
        <v/>
      </c>
      <c r="M3" s="7">
        <f>IF(L3="","",MIN(1,MAX(SMALL($L$2:$L$4,1)*3,IF(_xludf.RANK.EQ(L3,$L$2:$L$4,1)&gt;=2,SMALL($L$2:$L$4,2)*2,0),IF(_xludf.RANK.EQ(L3,$L$2:$L$4,1)&gt;=3,SMALL($L$2:$L$4,3)*1,0))))</f>
        <v/>
      </c>
    </row>
    <row r="4">
      <c r="A4" s="5" t="inlineStr">
        <is>
          <t>LoTT_vs_G20_LS_full500</t>
        </is>
      </c>
      <c r="B4" s="5" t="inlineStr">
        <is>
          <t>A_full500</t>
        </is>
      </c>
      <c r="C4" s="5" t="inlineStr">
        <is>
          <t>full500</t>
        </is>
      </c>
      <c r="D4" s="5" t="inlineStr">
        <is>
          <t>lott_framework</t>
        </is>
      </c>
      <c r="E4" s="5" t="inlineStr">
        <is>
          <t>g20_ls</t>
        </is>
      </c>
      <c r="F4" s="4">
        <f>COUNTIFS(case_predictions_full500!$B$2:$B$501,1,case_predictions_full500!$D$2:$D$501,"&lt;&gt;",case_predictions_full500!$H$2:$H$501,"&lt;&gt;")</f>
        <v/>
      </c>
      <c r="G4" s="4">
        <f>COUNTIFS(case_predictions_full500!$P$2:$P$501,1,case_predictions_full500!$AF$2:$AF$501,1)</f>
        <v/>
      </c>
      <c r="H4" s="4">
        <f>COUNTIFS(case_predictions_full500!$P$2:$P$501,1,case_predictions_full500!$AF$2:$AF$501,0)</f>
        <v/>
      </c>
      <c r="I4" s="4">
        <f>COUNTIFS(case_predictions_full500!$P$2:$P$501,0,case_predictions_full500!$AF$2:$AF$501,1)</f>
        <v/>
      </c>
      <c r="J4" s="4">
        <f>IF(F4=0,"",F4-G4-H4-I4)</f>
        <v/>
      </c>
      <c r="K4" s="6">
        <f>IF(F4=0,"",(H4-I4)/F4)</f>
        <v/>
      </c>
      <c r="L4" s="7">
        <f>IF(H4+I4=0,"",MIN(1,2*_xludf.BINOM.DIST(MIN(H4,I4),H4+I4,0.5,TRUE)))</f>
        <v/>
      </c>
      <c r="M4" s="7">
        <f>IF(L4="","",MIN(1,MAX(SMALL($L$2:$L$4,1)*3,IF(_xludf.RANK.EQ(L4,$L$2:$L$4,1)&gt;=2,SMALL($L$2:$L$4,2)*2,0),IF(_xludf.RANK.EQ(L4,$L$2:$L$4,1)&gt;=3,SMALL($L$2:$L$4,3)*1,0))))</f>
        <v/>
      </c>
    </row>
    <row r="5">
      <c r="A5" s="5" t="inlineStr">
        <is>
          <t>RQ_vs_G20_Std_full500</t>
        </is>
      </c>
      <c r="B5" s="5" t="inlineStr">
        <is>
          <t>B_full500</t>
        </is>
      </c>
      <c r="C5" s="5" t="inlineStr">
        <is>
          <t>full500</t>
        </is>
      </c>
      <c r="D5" s="5" t="inlineStr">
        <is>
          <t>rq_all500</t>
        </is>
      </c>
      <c r="E5" s="5" t="inlineStr">
        <is>
          <t>g20_standard</t>
        </is>
      </c>
      <c r="F5" s="4">
        <f>COUNTIFS(case_predictions_full500!$B$2:$B$501,1,case_predictions_full500!$E$2:$E$501,"&lt;&gt;",case_predictions_full500!$F$2:$F$501,"&lt;&gt;")</f>
        <v/>
      </c>
      <c r="G5" s="4">
        <f>COUNTIFS(case_predictions_full500!$T$2:$T$501,1,case_predictions_full500!$X$2:$X$501,1)</f>
        <v/>
      </c>
      <c r="H5" s="4">
        <f>COUNTIFS(case_predictions_full500!$T$2:$T$501,1,case_predictions_full500!$X$2:$X$501,0)</f>
        <v/>
      </c>
      <c r="I5" s="4">
        <f>COUNTIFS(case_predictions_full500!$T$2:$T$501,0,case_predictions_full500!$X$2:$X$501,1)</f>
        <v/>
      </c>
      <c r="J5" s="4">
        <f>IF(F5=0,"",F5-G5-H5-I5)</f>
        <v/>
      </c>
      <c r="K5" s="6">
        <f>IF(F5=0,"",(H5-I5)/F5)</f>
        <v/>
      </c>
      <c r="L5" s="7">
        <f>IF(H5+I5=0,"",MIN(1,2*_xludf.BINOM.DIST(MIN(H5,I5),H5+I5,0.5,TRUE)))</f>
        <v/>
      </c>
      <c r="M5" s="7">
        <f>IF(L5="","",MIN(1,MAX(SMALL($L$5:$L$7,1)*3,IF(_xludf.RANK.EQ(L5,$L$5:$L$7,1)&gt;=2,SMALL($L$5:$L$7,2)*2,0),IF(_xludf.RANK.EQ(L5,$L$5:$L$7,1)&gt;=3,SMALL($L$5:$L$7,3)*1,0))))</f>
        <v/>
      </c>
    </row>
    <row r="6">
      <c r="A6" s="5" t="inlineStr">
        <is>
          <t>RQ_vs_G20_CoT_full500</t>
        </is>
      </c>
      <c r="B6" s="5" t="inlineStr">
        <is>
          <t>B_full500</t>
        </is>
      </c>
      <c r="C6" s="5" t="inlineStr">
        <is>
          <t>full500</t>
        </is>
      </c>
      <c r="D6" s="5" t="inlineStr">
        <is>
          <t>rq_all500</t>
        </is>
      </c>
      <c r="E6" s="5" t="inlineStr">
        <is>
          <t>g20_cot</t>
        </is>
      </c>
      <c r="F6" s="4">
        <f>COUNTIFS(case_predictions_full500!$B$2:$B$501,1,case_predictions_full500!$E$2:$E$501,"&lt;&gt;",case_predictions_full500!$G$2:$G$501,"&lt;&gt;")</f>
        <v/>
      </c>
      <c r="G6" s="4">
        <f>COUNTIFS(case_predictions_full500!$T$2:$T$501,1,case_predictions_full500!$AB$2:$AB$501,1)</f>
        <v/>
      </c>
      <c r="H6" s="4">
        <f>COUNTIFS(case_predictions_full500!$T$2:$T$501,1,case_predictions_full500!$AB$2:$AB$501,0)</f>
        <v/>
      </c>
      <c r="I6" s="4">
        <f>COUNTIFS(case_predictions_full500!$T$2:$T$501,0,case_predictions_full500!$AB$2:$AB$501,1)</f>
        <v/>
      </c>
      <c r="J6" s="4">
        <f>IF(F6=0,"",F6-G6-H6-I6)</f>
        <v/>
      </c>
      <c r="K6" s="6">
        <f>IF(F6=0,"",(H6-I6)/F6)</f>
        <v/>
      </c>
      <c r="L6" s="7">
        <f>IF(H6+I6=0,"",MIN(1,2*_xludf.BINOM.DIST(MIN(H6,I6),H6+I6,0.5,TRUE)))</f>
        <v/>
      </c>
      <c r="M6" s="7">
        <f>IF(L6="","",MIN(1,MAX(SMALL($L$5:$L$7,1)*3,IF(_xludf.RANK.EQ(L6,$L$5:$L$7,1)&gt;=2,SMALL($L$5:$L$7,2)*2,0),IF(_xludf.RANK.EQ(L6,$L$5:$L$7,1)&gt;=3,SMALL($L$5:$L$7,3)*1,0))))</f>
        <v/>
      </c>
    </row>
    <row r="7">
      <c r="A7" s="5" t="inlineStr">
        <is>
          <t>RQ_vs_G20_LS_full500</t>
        </is>
      </c>
      <c r="B7" s="5" t="inlineStr">
        <is>
          <t>B_full500</t>
        </is>
      </c>
      <c r="C7" s="5" t="inlineStr">
        <is>
          <t>full500</t>
        </is>
      </c>
      <c r="D7" s="5" t="inlineStr">
        <is>
          <t>rq_all500</t>
        </is>
      </c>
      <c r="E7" s="5" t="inlineStr">
        <is>
          <t>g20_ls</t>
        </is>
      </c>
      <c r="F7" s="4">
        <f>COUNTIFS(case_predictions_full500!$B$2:$B$501,1,case_predictions_full500!$E$2:$E$501,"&lt;&gt;",case_predictions_full500!$H$2:$H$501,"&lt;&gt;")</f>
        <v/>
      </c>
      <c r="G7" s="4">
        <f>COUNTIFS(case_predictions_full500!$T$2:$T$501,1,case_predictions_full500!$AF$2:$AF$501,1)</f>
        <v/>
      </c>
      <c r="H7" s="4">
        <f>COUNTIFS(case_predictions_full500!$T$2:$T$501,1,case_predictions_full500!$AF$2:$AF$501,0)</f>
        <v/>
      </c>
      <c r="I7" s="4">
        <f>COUNTIFS(case_predictions_full500!$T$2:$T$501,0,case_predictions_full500!$AF$2:$AF$501,1)</f>
        <v/>
      </c>
      <c r="J7" s="4">
        <f>IF(F7=0,"",F7-G7-H7-I7)</f>
        <v/>
      </c>
      <c r="K7" s="6">
        <f>IF(F7=0,"",(H7-I7)/F7)</f>
        <v/>
      </c>
      <c r="L7" s="7">
        <f>IF(H7+I7=0,"",MIN(1,2*_xludf.BINOM.DIST(MIN(H7,I7),H7+I7,0.5,TRUE)))</f>
        <v/>
      </c>
      <c r="M7" s="7">
        <f>IF(L7="","",MIN(1,MAX(SMALL($L$5:$L$7,1)*3,IF(_xludf.RANK.EQ(L7,$L$5:$L$7,1)&gt;=2,SMALL($L$5:$L$7,2)*2,0),IF(_xludf.RANK.EQ(L7,$L$5:$L$7,1)&gt;=3,SMALL($L$5:$L$7,3)*1,0))))</f>
        <v/>
      </c>
    </row>
    <row r="8">
      <c r="A8" s="5" t="inlineStr">
        <is>
          <t>LoTT_vs_G20_Std_direct477</t>
        </is>
      </c>
      <c r="B8" s="5" t="inlineStr">
        <is>
          <t>C_direct477</t>
        </is>
      </c>
      <c r="C8" s="5" t="inlineStr">
        <is>
          <t>direct477</t>
        </is>
      </c>
      <c r="D8" s="5" t="inlineStr">
        <is>
          <t>lott_framework</t>
        </is>
      </c>
      <c r="E8" s="5" t="inlineStr">
        <is>
          <t>g20_standard</t>
        </is>
      </c>
      <c r="F8" s="4">
        <f>COUNTIFS(case_predictions_full500!$B$2:$B$501,1,case_predictions_full500!$D$2:$D$501,"&lt;&gt;",case_predictions_full500!$F$2:$F$501,"&lt;&gt;",case_predictions_full500!$C$2:$C$501,"Direct")</f>
        <v/>
      </c>
      <c r="G8" s="4">
        <f>COUNTIFS(case_predictions_full500!$P$2:$P$501,1,case_predictions_full500!$X$2:$X$501,1,case_predictions_full500!$C$2:$C$501,"Direct")</f>
        <v/>
      </c>
      <c r="H8" s="4">
        <f>COUNTIFS(case_predictions_full500!$P$2:$P$501,1,case_predictions_full500!$X$2:$X$501,0,case_predictions_full500!$C$2:$C$501,"Direct")</f>
        <v/>
      </c>
      <c r="I8" s="4">
        <f>COUNTIFS(case_predictions_full500!$P$2:$P$501,0,case_predictions_full500!$X$2:$X$501,1,case_predictions_full500!$C$2:$C$501,"Direct")</f>
        <v/>
      </c>
      <c r="J8" s="4">
        <f>IF(F8=0,"",F8-G8-H8-I8)</f>
        <v/>
      </c>
      <c r="K8" s="6">
        <f>IF(F8=0,"",(H8-I8)/F8)</f>
        <v/>
      </c>
      <c r="L8" s="7">
        <f>IF(H8+I8=0,"",MIN(1,2*_xludf.BINOM.DIST(MIN(H8,I8),H8+I8,0.5,TRUE)))</f>
        <v/>
      </c>
      <c r="M8" s="7">
        <f>IF(L8="","",MIN(1,MAX(SMALL($L$8:$L$10,1)*3,IF(_xludf.RANK.EQ(L8,$L$8:$L$10,1)&gt;=2,SMALL($L$8:$L$10,2)*2,0),IF(_xludf.RANK.EQ(L8,$L$8:$L$10,1)&gt;=3,SMALL($L$8:$L$10,3)*1,0))))</f>
        <v/>
      </c>
    </row>
    <row r="9">
      <c r="A9" s="5" t="inlineStr">
        <is>
          <t>LoTT_vs_G20_CoT_direct477</t>
        </is>
      </c>
      <c r="B9" s="5" t="inlineStr">
        <is>
          <t>C_direct477</t>
        </is>
      </c>
      <c r="C9" s="5" t="inlineStr">
        <is>
          <t>direct477</t>
        </is>
      </c>
      <c r="D9" s="5" t="inlineStr">
        <is>
          <t>lott_framework</t>
        </is>
      </c>
      <c r="E9" s="5" t="inlineStr">
        <is>
          <t>g20_cot</t>
        </is>
      </c>
      <c r="F9" s="4">
        <f>COUNTIFS(case_predictions_full500!$B$2:$B$501,1,case_predictions_full500!$D$2:$D$501,"&lt;&gt;",case_predictions_full500!$G$2:$G$501,"&lt;&gt;",case_predictions_full500!$C$2:$C$501,"Direct")</f>
        <v/>
      </c>
      <c r="G9" s="4">
        <f>COUNTIFS(case_predictions_full500!$P$2:$P$501,1,case_predictions_full500!$AB$2:$AB$501,1,case_predictions_full500!$C$2:$C$501,"Direct")</f>
        <v/>
      </c>
      <c r="H9" s="4">
        <f>COUNTIFS(case_predictions_full500!$P$2:$P$501,1,case_predictions_full500!$AB$2:$AB$501,0,case_predictions_full500!$C$2:$C$501,"Direct")</f>
        <v/>
      </c>
      <c r="I9" s="4">
        <f>COUNTIFS(case_predictions_full500!$P$2:$P$501,0,case_predictions_full500!$AB$2:$AB$501,1,case_predictions_full500!$C$2:$C$501,"Direct")</f>
        <v/>
      </c>
      <c r="J9" s="4">
        <f>IF(F9=0,"",F9-G9-H9-I9)</f>
        <v/>
      </c>
      <c r="K9" s="6">
        <f>IF(F9=0,"",(H9-I9)/F9)</f>
        <v/>
      </c>
      <c r="L9" s="7">
        <f>IF(H9+I9=0,"",MIN(1,2*_xludf.BINOM.DIST(MIN(H9,I9),H9+I9,0.5,TRUE)))</f>
        <v/>
      </c>
      <c r="M9" s="7">
        <f>IF(L9="","",MIN(1,MAX(SMALL($L$8:$L$10,1)*3,IF(_xludf.RANK.EQ(L9,$L$8:$L$10,1)&gt;=2,SMALL($L$8:$L$10,2)*2,0),IF(_xludf.RANK.EQ(L9,$L$8:$L$10,1)&gt;=3,SMALL($L$8:$L$10,3)*1,0))))</f>
        <v/>
      </c>
    </row>
    <row r="10">
      <c r="A10" s="5" t="inlineStr">
        <is>
          <t>LoTT_vs_G20_LS_direct477</t>
        </is>
      </c>
      <c r="B10" s="5" t="inlineStr">
        <is>
          <t>C_direct477</t>
        </is>
      </c>
      <c r="C10" s="5" t="inlineStr">
        <is>
          <t>direct477</t>
        </is>
      </c>
      <c r="D10" s="5" t="inlineStr">
        <is>
          <t>lott_framework</t>
        </is>
      </c>
      <c r="E10" s="5" t="inlineStr">
        <is>
          <t>g20_ls</t>
        </is>
      </c>
      <c r="F10" s="4">
        <f>COUNTIFS(case_predictions_full500!$B$2:$B$501,1,case_predictions_full500!$D$2:$D$501,"&lt;&gt;",case_predictions_full500!$H$2:$H$501,"&lt;&gt;",case_predictions_full500!$C$2:$C$501,"Direct")</f>
        <v/>
      </c>
      <c r="G10" s="4">
        <f>COUNTIFS(case_predictions_full500!$P$2:$P$501,1,case_predictions_full500!$AF$2:$AF$501,1,case_predictions_full500!$C$2:$C$501,"Direct")</f>
        <v/>
      </c>
      <c r="H10" s="4">
        <f>COUNTIFS(case_predictions_full500!$P$2:$P$501,1,case_predictions_full500!$AF$2:$AF$501,0,case_predictions_full500!$C$2:$C$501,"Direct")</f>
        <v/>
      </c>
      <c r="I10" s="4">
        <f>COUNTIFS(case_predictions_full500!$P$2:$P$501,0,case_predictions_full500!$AF$2:$AF$501,1,case_predictions_full500!$C$2:$C$501,"Direct")</f>
        <v/>
      </c>
      <c r="J10" s="4">
        <f>IF(F10=0,"",F10-G10-H10-I10)</f>
        <v/>
      </c>
      <c r="K10" s="6">
        <f>IF(F10=0,"",(H10-I10)/F10)</f>
        <v/>
      </c>
      <c r="L10" s="7">
        <f>IF(H10+I10=0,"",MIN(1,2*_xludf.BINOM.DIST(MIN(H10,I10),H10+I10,0.5,TRUE)))</f>
        <v/>
      </c>
      <c r="M10" s="7">
        <f>IF(L10="","",MIN(1,MAX(SMALL($L$8:$L$10,1)*3,IF(_xludf.RANK.EQ(L10,$L$8:$L$10,1)&gt;=2,SMALL($L$8:$L$10,2)*2,0),IF(_xludf.RANK.EQ(L10,$L$8:$L$10,1)&gt;=3,SMALL($L$8:$L$10,3)*1,0))))</f>
        <v/>
      </c>
    </row>
    <row r="11">
      <c r="A11" s="5" t="inlineStr">
        <is>
          <t>LoTT_vs_G20_Std_rq23</t>
        </is>
      </c>
      <c r="B11" s="5" t="inlineStr">
        <is>
          <t>D_rq23</t>
        </is>
      </c>
      <c r="C11" s="5" t="inlineStr">
        <is>
          <t>rq23_exploratory</t>
        </is>
      </c>
      <c r="D11" s="5" t="inlineStr">
        <is>
          <t>lott_framework</t>
        </is>
      </c>
      <c r="E11" s="5" t="inlineStr">
        <is>
          <t>g20_standard</t>
        </is>
      </c>
      <c r="F11" s="4">
        <f>COUNTIFS(case_predictions_full500!$B$2:$B$501,1,case_predictions_full500!$D$2:$D$501,"&lt;&gt;",case_predictions_full500!$F$2:$F$501,"&lt;&gt;",case_predictions_full500!$C$2:$C$501,"RQ")</f>
        <v/>
      </c>
      <c r="G11" s="4">
        <f>COUNTIFS(case_predictions_full500!$P$2:$P$501,1,case_predictions_full500!$X$2:$X$501,1,case_predictions_full500!$C$2:$C$501,"RQ")</f>
        <v/>
      </c>
      <c r="H11" s="4">
        <f>COUNTIFS(case_predictions_full500!$P$2:$P$501,1,case_predictions_full500!$X$2:$X$501,0,case_predictions_full500!$C$2:$C$501,"RQ")</f>
        <v/>
      </c>
      <c r="I11" s="4">
        <f>COUNTIFS(case_predictions_full500!$P$2:$P$501,0,case_predictions_full500!$X$2:$X$501,1,case_predictions_full500!$C$2:$C$501,"RQ")</f>
        <v/>
      </c>
      <c r="J11" s="4">
        <f>IF(F11=0,"",F11-G11-H11-I11)</f>
        <v/>
      </c>
      <c r="K11" s="6">
        <f>IF(F11=0,"",(H11-I11)/F11)</f>
        <v/>
      </c>
      <c r="L11" s="7">
        <f>IF(H11+I11=0,"",MIN(1,2*_xludf.BINOM.DIST(MIN(H11,I11),H11+I11,0.5,TRUE)))</f>
        <v/>
      </c>
      <c r="M11" s="7">
        <f>IF(L11="","",MIN(1,MAX(SMALL($L$11:$L$13,1)*3,IF(_xludf.RANK.EQ(L11,$L$11:$L$13,1)&gt;=2,SMALL($L$11:$L$13,2)*2,0),IF(_xludf.RANK.EQ(L11,$L$11:$L$13,1)&gt;=3,SMALL($L$11:$L$13,3)*1,0))))</f>
        <v/>
      </c>
    </row>
    <row r="12">
      <c r="A12" s="5" t="inlineStr">
        <is>
          <t>LoTT_vs_G20_CoT_rq23</t>
        </is>
      </c>
      <c r="B12" s="5" t="inlineStr">
        <is>
          <t>D_rq23</t>
        </is>
      </c>
      <c r="C12" s="5" t="inlineStr">
        <is>
          <t>rq23_exploratory</t>
        </is>
      </c>
      <c r="D12" s="5" t="inlineStr">
        <is>
          <t>lott_framework</t>
        </is>
      </c>
      <c r="E12" s="5" t="inlineStr">
        <is>
          <t>g20_cot</t>
        </is>
      </c>
      <c r="F12" s="4">
        <f>COUNTIFS(case_predictions_full500!$B$2:$B$501,1,case_predictions_full500!$D$2:$D$501,"&lt;&gt;",case_predictions_full500!$G$2:$G$501,"&lt;&gt;",case_predictions_full500!$C$2:$C$501,"RQ")</f>
        <v/>
      </c>
      <c r="G12" s="4">
        <f>COUNTIFS(case_predictions_full500!$P$2:$P$501,1,case_predictions_full500!$AB$2:$AB$501,1,case_predictions_full500!$C$2:$C$501,"RQ")</f>
        <v/>
      </c>
      <c r="H12" s="4">
        <f>COUNTIFS(case_predictions_full500!$P$2:$P$501,1,case_predictions_full500!$AB$2:$AB$501,0,case_predictions_full500!$C$2:$C$501,"RQ")</f>
        <v/>
      </c>
      <c r="I12" s="4">
        <f>COUNTIFS(case_predictions_full500!$P$2:$P$501,0,case_predictions_full500!$AB$2:$AB$501,1,case_predictions_full500!$C$2:$C$501,"RQ")</f>
        <v/>
      </c>
      <c r="J12" s="4">
        <f>IF(F12=0,"",F12-G12-H12-I12)</f>
        <v/>
      </c>
      <c r="K12" s="6">
        <f>IF(F12=0,"",(H12-I12)/F12)</f>
        <v/>
      </c>
      <c r="L12" s="7">
        <f>IF(H12+I12=0,"",MIN(1,2*_xludf.BINOM.DIST(MIN(H12,I12),H12+I12,0.5,TRUE)))</f>
        <v/>
      </c>
      <c r="M12" s="7">
        <f>IF(L12="","",MIN(1,MAX(SMALL($L$11:$L$13,1)*3,IF(_xludf.RANK.EQ(L12,$L$11:$L$13,1)&gt;=2,SMALL($L$11:$L$13,2)*2,0),IF(_xludf.RANK.EQ(L12,$L$11:$L$13,1)&gt;=3,SMALL($L$11:$L$13,3)*1,0))))</f>
        <v/>
      </c>
    </row>
    <row r="13">
      <c r="A13" s="5" t="inlineStr">
        <is>
          <t>LoTT_vs_G20_LS_rq23</t>
        </is>
      </c>
      <c r="B13" s="5" t="inlineStr">
        <is>
          <t>D_rq23</t>
        </is>
      </c>
      <c r="C13" s="5" t="inlineStr">
        <is>
          <t>rq23_exploratory</t>
        </is>
      </c>
      <c r="D13" s="5" t="inlineStr">
        <is>
          <t>lott_framework</t>
        </is>
      </c>
      <c r="E13" s="5" t="inlineStr">
        <is>
          <t>g20_ls</t>
        </is>
      </c>
      <c r="F13" s="4">
        <f>COUNTIFS(case_predictions_full500!$B$2:$B$501,1,case_predictions_full500!$D$2:$D$501,"&lt;&gt;",case_predictions_full500!$H$2:$H$501,"&lt;&gt;",case_predictions_full500!$C$2:$C$501,"RQ")</f>
        <v/>
      </c>
      <c r="G13" s="4">
        <f>COUNTIFS(case_predictions_full500!$P$2:$P$501,1,case_predictions_full500!$AF$2:$AF$501,1,case_predictions_full500!$C$2:$C$501,"RQ")</f>
        <v/>
      </c>
      <c r="H13" s="4">
        <f>COUNTIFS(case_predictions_full500!$P$2:$P$501,1,case_predictions_full500!$AF$2:$AF$501,0,case_predictions_full500!$C$2:$C$501,"RQ")</f>
        <v/>
      </c>
      <c r="I13" s="4">
        <f>COUNTIFS(case_predictions_full500!$P$2:$P$501,0,case_predictions_full500!$AF$2:$AF$501,1,case_predictions_full500!$C$2:$C$501,"RQ")</f>
        <v/>
      </c>
      <c r="J13" s="4">
        <f>IF(F13=0,"",F13-G13-H13-I13)</f>
        <v/>
      </c>
      <c r="K13" s="6">
        <f>IF(F13=0,"",(H13-I13)/F13)</f>
        <v/>
      </c>
      <c r="L13" s="7">
        <f>IF(H13+I13=0,"",MIN(1,2*_xludf.BINOM.DIST(MIN(H13,I13),H13+I13,0.5,TRUE)))</f>
        <v/>
      </c>
      <c r="M13" s="7">
        <f>IF(L13="","",MIN(1,MAX(SMALL($L$11:$L$13,1)*3,IF(_xludf.RANK.EQ(L13,$L$11:$L$13,1)&gt;=2,SMALL($L$11:$L$13,2)*2,0),IF(_xludf.RANK.EQ(L13,$L$11:$L$13,1)&gt;=3,SMALL($L$11:$L$13,3)*1,0))))</f>
        <v/>
      </c>
    </row>
    <row r="15">
      <c r="A15" s="8" t="inlineStr">
        <is>
          <t>Note</t>
        </is>
      </c>
      <c r="B15" s="12" t="inlineStr">
        <is>
          <t>Exact McNemar p-values are formula-ready. Holm-adjusted p-values are computed within each 3-row family block (full500 LoTT, full500 RQ, direct477, rq23).</t>
        </is>
      </c>
    </row>
  </sheetData>
  <mergeCells count="1">
    <mergeCell ref="B15:F15"/>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M15"/>
  <sheetViews>
    <sheetView showGridLines="0" workbookViewId="0">
      <selection activeCell="A1" sqref="A1"/>
    </sheetView>
  </sheetViews>
  <sheetFormatPr baseColWidth="10" defaultColWidth="8.83203125" defaultRowHeight="15"/>
  <cols>
    <col width="20" customWidth="1" style="13" min="1" max="1"/>
    <col width="18" customWidth="1" style="13" min="2" max="2"/>
    <col width="16" customWidth="1" style="13" min="3" max="3"/>
    <col width="18" customWidth="1" style="13" min="4" max="5"/>
    <col width="14" customWidth="1" style="13" min="6" max="6"/>
    <col width="24" customWidth="1" style="13" min="7" max="9"/>
    <col width="20" customWidth="1" style="13" min="10" max="10"/>
    <col width="18" customWidth="1" style="13" min="11" max="11"/>
    <col width="16" customWidth="1" style="13" min="12" max="12"/>
    <col width="18" customWidth="1" style="13" min="13" max="13"/>
  </cols>
  <sheetData>
    <row r="1" ht="32" customHeight="1" s="13">
      <c r="A1" s="1" t="inlineStr">
        <is>
          <t>comparison_id</t>
        </is>
      </c>
      <c r="B1" s="1" t="inlineStr">
        <is>
          <t>family_id</t>
        </is>
      </c>
      <c r="C1" s="1" t="inlineStr">
        <is>
          <t>subset</t>
        </is>
      </c>
      <c r="D1" s="1" t="inlineStr">
        <is>
          <t>system_A</t>
        </is>
      </c>
      <c r="E1" s="1" t="inlineStr">
        <is>
          <t>system_B</t>
        </is>
      </c>
      <c r="F1" s="1" t="inlineStr">
        <is>
          <t>n_negative_cases</t>
        </is>
      </c>
      <c r="G1" s="1" t="inlineStr">
        <is>
          <t>n11_both_correct_nonviolation</t>
        </is>
      </c>
      <c r="H1" s="1" t="inlineStr">
        <is>
          <t>n10_A_correct_B_falsepositive</t>
        </is>
      </c>
      <c r="I1" s="1" t="inlineStr">
        <is>
          <t>n01_A_falsepositive_B_correct</t>
        </is>
      </c>
      <c r="J1" s="1" t="inlineStr">
        <is>
          <t>n00_both_falsepositive</t>
        </is>
      </c>
      <c r="K1" s="1" t="inlineStr">
        <is>
          <t>delta_negative_recall</t>
        </is>
      </c>
      <c r="L1" s="1" t="inlineStr">
        <is>
          <t>exact_mcnemar_p_raw</t>
        </is>
      </c>
      <c r="M1" s="1" t="inlineStr">
        <is>
          <t>exact_mcnemar_p_holm</t>
        </is>
      </c>
    </row>
    <row r="2">
      <c r="A2" s="5" t="inlineStr">
        <is>
          <t>LoTT_vs_G20_Std_full500</t>
        </is>
      </c>
      <c r="B2" s="5" t="inlineStr">
        <is>
          <t>A_full500</t>
        </is>
      </c>
      <c r="C2" s="5" t="inlineStr">
        <is>
          <t>full500</t>
        </is>
      </c>
      <c r="D2" s="5" t="inlineStr">
        <is>
          <t>lott_framework</t>
        </is>
      </c>
      <c r="E2" s="5" t="inlineStr">
        <is>
          <t>g20_standard</t>
        </is>
      </c>
      <c r="F2" s="4">
        <f>COUNTIFS(case_predictions_full500!$B$2:$B$501,0,case_predictions_full500!$D$2:$D$501,"&lt;&gt;",case_predictions_full500!$F$2:$F$501,"&lt;&gt;")</f>
        <v/>
      </c>
      <c r="G2" s="4">
        <f>COUNTIFS(case_predictions_full500!$Q$2:$Q$501,1,case_predictions_full500!$Y$2:$Y$501,1)</f>
        <v/>
      </c>
      <c r="H2" s="4">
        <f>COUNTIFS(case_predictions_full500!$Q$2:$Q$501,1,case_predictions_full500!$Y$2:$Y$501,0)</f>
        <v/>
      </c>
      <c r="I2" s="4">
        <f>COUNTIFS(case_predictions_full500!$Q$2:$Q$501,0,case_predictions_full500!$Y$2:$Y$501,1)</f>
        <v/>
      </c>
      <c r="J2" s="4">
        <f>IF(F2=0,"",F2-G2-H2-I2)</f>
        <v/>
      </c>
      <c r="K2" s="6">
        <f>IF(F2=0,"",(H2-I2)/F2)</f>
        <v/>
      </c>
      <c r="L2" s="7">
        <f>IF(H2+I2=0,"",MIN(1,2*_xludf.BINOM.DIST(MIN(H2,I2),H2+I2,0.5,TRUE)))</f>
        <v/>
      </c>
      <c r="M2" s="7">
        <f>IF(L2="","",MIN(1,MAX(SMALL($L$2:$L$4,1)*3,IF(_xludf.RANK.EQ(L2,$L$2:$L$4,1)&gt;=2,SMALL($L$2:$L$4,2)*2,0),IF(_xludf.RANK.EQ(L2,$L$2:$L$4,1)&gt;=3,SMALL($L$2:$L$4,3)*1,0))))</f>
        <v/>
      </c>
    </row>
    <row r="3">
      <c r="A3" s="5" t="inlineStr">
        <is>
          <t>LoTT_vs_G20_CoT_full500</t>
        </is>
      </c>
      <c r="B3" s="5" t="inlineStr">
        <is>
          <t>A_full500</t>
        </is>
      </c>
      <c r="C3" s="5" t="inlineStr">
        <is>
          <t>full500</t>
        </is>
      </c>
      <c r="D3" s="5" t="inlineStr">
        <is>
          <t>lott_framework</t>
        </is>
      </c>
      <c r="E3" s="5" t="inlineStr">
        <is>
          <t>g20_cot</t>
        </is>
      </c>
      <c r="F3" s="4">
        <f>COUNTIFS(case_predictions_full500!$B$2:$B$501,0,case_predictions_full500!$D$2:$D$501,"&lt;&gt;",case_predictions_full500!$G$2:$G$501,"&lt;&gt;")</f>
        <v/>
      </c>
      <c r="G3" s="4">
        <f>COUNTIFS(case_predictions_full500!$Q$2:$Q$501,1,case_predictions_full500!$AC$2:$AC$501,1)</f>
        <v/>
      </c>
      <c r="H3" s="4">
        <f>COUNTIFS(case_predictions_full500!$Q$2:$Q$501,1,case_predictions_full500!$AC$2:$AC$501,0)</f>
        <v/>
      </c>
      <c r="I3" s="4">
        <f>COUNTIFS(case_predictions_full500!$Q$2:$Q$501,0,case_predictions_full500!$AC$2:$AC$501,1)</f>
        <v/>
      </c>
      <c r="J3" s="4">
        <f>IF(F3=0,"",F3-G3-H3-I3)</f>
        <v/>
      </c>
      <c r="K3" s="6">
        <f>IF(F3=0,"",(H3-I3)/F3)</f>
        <v/>
      </c>
      <c r="L3" s="7">
        <f>IF(H3+I3=0,"",MIN(1,2*_xludf.BINOM.DIST(MIN(H3,I3),H3+I3,0.5,TRUE)))</f>
        <v/>
      </c>
      <c r="M3" s="7">
        <f>IF(L3="","",MIN(1,MAX(SMALL($L$2:$L$4,1)*3,IF(_xludf.RANK.EQ(L3,$L$2:$L$4,1)&gt;=2,SMALL($L$2:$L$4,2)*2,0),IF(_xludf.RANK.EQ(L3,$L$2:$L$4,1)&gt;=3,SMALL($L$2:$L$4,3)*1,0))))</f>
        <v/>
      </c>
    </row>
    <row r="4">
      <c r="A4" s="5" t="inlineStr">
        <is>
          <t>LoTT_vs_G20_LS_full500</t>
        </is>
      </c>
      <c r="B4" s="5" t="inlineStr">
        <is>
          <t>A_full500</t>
        </is>
      </c>
      <c r="C4" s="5" t="inlineStr">
        <is>
          <t>full500</t>
        </is>
      </c>
      <c r="D4" s="5" t="inlineStr">
        <is>
          <t>lott_framework</t>
        </is>
      </c>
      <c r="E4" s="5" t="inlineStr">
        <is>
          <t>g20_ls</t>
        </is>
      </c>
      <c r="F4" s="4">
        <f>COUNTIFS(case_predictions_full500!$B$2:$B$501,0,case_predictions_full500!$D$2:$D$501,"&lt;&gt;",case_predictions_full500!$H$2:$H$501,"&lt;&gt;")</f>
        <v/>
      </c>
      <c r="G4" s="4">
        <f>COUNTIFS(case_predictions_full500!$Q$2:$Q$501,1,case_predictions_full500!$AG$2:$AG$501,1)</f>
        <v/>
      </c>
      <c r="H4" s="4">
        <f>COUNTIFS(case_predictions_full500!$Q$2:$Q$501,1,case_predictions_full500!$AG$2:$AG$501,0)</f>
        <v/>
      </c>
      <c r="I4" s="4">
        <f>COUNTIFS(case_predictions_full500!$Q$2:$Q$501,0,case_predictions_full500!$AG$2:$AG$501,1)</f>
        <v/>
      </c>
      <c r="J4" s="4">
        <f>IF(F4=0,"",F4-G4-H4-I4)</f>
        <v/>
      </c>
      <c r="K4" s="6">
        <f>IF(F4=0,"",(H4-I4)/F4)</f>
        <v/>
      </c>
      <c r="L4" s="7">
        <f>IF(H4+I4=0,"",MIN(1,2*_xludf.BINOM.DIST(MIN(H4,I4),H4+I4,0.5,TRUE)))</f>
        <v/>
      </c>
      <c r="M4" s="7">
        <f>IF(L4="","",MIN(1,MAX(SMALL($L$2:$L$4,1)*3,IF(_xludf.RANK.EQ(L4,$L$2:$L$4,1)&gt;=2,SMALL($L$2:$L$4,2)*2,0),IF(_xludf.RANK.EQ(L4,$L$2:$L$4,1)&gt;=3,SMALL($L$2:$L$4,3)*1,0))))</f>
        <v/>
      </c>
    </row>
    <row r="5">
      <c r="A5" s="5" t="inlineStr">
        <is>
          <t>RQ_vs_G20_Std_full500</t>
        </is>
      </c>
      <c r="B5" s="5" t="inlineStr">
        <is>
          <t>B_full500</t>
        </is>
      </c>
      <c r="C5" s="5" t="inlineStr">
        <is>
          <t>full500</t>
        </is>
      </c>
      <c r="D5" s="5" t="inlineStr">
        <is>
          <t>rq_all500</t>
        </is>
      </c>
      <c r="E5" s="5" t="inlineStr">
        <is>
          <t>g20_standard</t>
        </is>
      </c>
      <c r="F5" s="4">
        <f>COUNTIFS(case_predictions_full500!$B$2:$B$501,0,case_predictions_full500!$E$2:$E$501,"&lt;&gt;",case_predictions_full500!$F$2:$F$501,"&lt;&gt;")</f>
        <v/>
      </c>
      <c r="G5" s="4">
        <f>COUNTIFS(case_predictions_full500!$U$2:$U$501,1,case_predictions_full500!$Y$2:$Y$501,1)</f>
        <v/>
      </c>
      <c r="H5" s="4">
        <f>COUNTIFS(case_predictions_full500!$U$2:$U$501,1,case_predictions_full500!$Y$2:$Y$501,0)</f>
        <v/>
      </c>
      <c r="I5" s="4">
        <f>COUNTIFS(case_predictions_full500!$U$2:$U$501,0,case_predictions_full500!$Y$2:$Y$501,1)</f>
        <v/>
      </c>
      <c r="J5" s="4">
        <f>IF(F5=0,"",F5-G5-H5-I5)</f>
        <v/>
      </c>
      <c r="K5" s="6">
        <f>IF(F5=0,"",(H5-I5)/F5)</f>
        <v/>
      </c>
      <c r="L5" s="7">
        <f>IF(H5+I5=0,"",MIN(1,2*_xludf.BINOM.DIST(MIN(H5,I5),H5+I5,0.5,TRUE)))</f>
        <v/>
      </c>
      <c r="M5" s="7">
        <f>IF(L5="","",MIN(1,MAX(SMALL($L$5:$L$7,1)*3,IF(_xludf.RANK.EQ(L5,$L$5:$L$7,1)&gt;=2,SMALL($L$5:$L$7,2)*2,0),IF(_xludf.RANK.EQ(L5,$L$5:$L$7,1)&gt;=3,SMALL($L$5:$L$7,3)*1,0))))</f>
        <v/>
      </c>
    </row>
    <row r="6">
      <c r="A6" s="5" t="inlineStr">
        <is>
          <t>RQ_vs_G20_CoT_full500</t>
        </is>
      </c>
      <c r="B6" s="5" t="inlineStr">
        <is>
          <t>B_full500</t>
        </is>
      </c>
      <c r="C6" s="5" t="inlineStr">
        <is>
          <t>full500</t>
        </is>
      </c>
      <c r="D6" s="5" t="inlineStr">
        <is>
          <t>rq_all500</t>
        </is>
      </c>
      <c r="E6" s="5" t="inlineStr">
        <is>
          <t>g20_cot</t>
        </is>
      </c>
      <c r="F6" s="4">
        <f>COUNTIFS(case_predictions_full500!$B$2:$B$501,0,case_predictions_full500!$E$2:$E$501,"&lt;&gt;",case_predictions_full500!$G$2:$G$501,"&lt;&gt;")</f>
        <v/>
      </c>
      <c r="G6" s="4">
        <f>COUNTIFS(case_predictions_full500!$U$2:$U$501,1,case_predictions_full500!$AC$2:$AC$501,1)</f>
        <v/>
      </c>
      <c r="H6" s="4">
        <f>COUNTIFS(case_predictions_full500!$U$2:$U$501,1,case_predictions_full500!$AC$2:$AC$501,0)</f>
        <v/>
      </c>
      <c r="I6" s="4">
        <f>COUNTIFS(case_predictions_full500!$U$2:$U$501,0,case_predictions_full500!$AC$2:$AC$501,1)</f>
        <v/>
      </c>
      <c r="J6" s="4">
        <f>IF(F6=0,"",F6-G6-H6-I6)</f>
        <v/>
      </c>
      <c r="K6" s="6">
        <f>IF(F6=0,"",(H6-I6)/F6)</f>
        <v/>
      </c>
      <c r="L6" s="7">
        <f>IF(H6+I6=0,"",MIN(1,2*_xludf.BINOM.DIST(MIN(H6,I6),H6+I6,0.5,TRUE)))</f>
        <v/>
      </c>
      <c r="M6" s="7">
        <f>IF(L6="","",MIN(1,MAX(SMALL($L$5:$L$7,1)*3,IF(_xludf.RANK.EQ(L6,$L$5:$L$7,1)&gt;=2,SMALL($L$5:$L$7,2)*2,0),IF(_xludf.RANK.EQ(L6,$L$5:$L$7,1)&gt;=3,SMALL($L$5:$L$7,3)*1,0))))</f>
        <v/>
      </c>
    </row>
    <row r="7">
      <c r="A7" s="5" t="inlineStr">
        <is>
          <t>RQ_vs_G20_LS_full500</t>
        </is>
      </c>
      <c r="B7" s="5" t="inlineStr">
        <is>
          <t>B_full500</t>
        </is>
      </c>
      <c r="C7" s="5" t="inlineStr">
        <is>
          <t>full500</t>
        </is>
      </c>
      <c r="D7" s="5" t="inlineStr">
        <is>
          <t>rq_all500</t>
        </is>
      </c>
      <c r="E7" s="5" t="inlineStr">
        <is>
          <t>g20_ls</t>
        </is>
      </c>
      <c r="F7" s="4">
        <f>COUNTIFS(case_predictions_full500!$B$2:$B$501,0,case_predictions_full500!$E$2:$E$501,"&lt;&gt;",case_predictions_full500!$H$2:$H$501,"&lt;&gt;")</f>
        <v/>
      </c>
      <c r="G7" s="4">
        <f>COUNTIFS(case_predictions_full500!$U$2:$U$501,1,case_predictions_full500!$AG$2:$AG$501,1)</f>
        <v/>
      </c>
      <c r="H7" s="4">
        <f>COUNTIFS(case_predictions_full500!$U$2:$U$501,1,case_predictions_full500!$AG$2:$AG$501,0)</f>
        <v/>
      </c>
      <c r="I7" s="4">
        <f>COUNTIFS(case_predictions_full500!$U$2:$U$501,0,case_predictions_full500!$AG$2:$AG$501,1)</f>
        <v/>
      </c>
      <c r="J7" s="4">
        <f>IF(F7=0,"",F7-G7-H7-I7)</f>
        <v/>
      </c>
      <c r="K7" s="6">
        <f>IF(F7=0,"",(H7-I7)/F7)</f>
        <v/>
      </c>
      <c r="L7" s="7">
        <f>IF(H7+I7=0,"",MIN(1,2*_xludf.BINOM.DIST(MIN(H7,I7),H7+I7,0.5,TRUE)))</f>
        <v/>
      </c>
      <c r="M7" s="7">
        <f>IF(L7="","",MIN(1,MAX(SMALL($L$5:$L$7,1)*3,IF(_xludf.RANK.EQ(L7,$L$5:$L$7,1)&gt;=2,SMALL($L$5:$L$7,2)*2,0),IF(_xludf.RANK.EQ(L7,$L$5:$L$7,1)&gt;=3,SMALL($L$5:$L$7,3)*1,0))))</f>
        <v/>
      </c>
    </row>
    <row r="8">
      <c r="A8" s="5" t="inlineStr">
        <is>
          <t>LoTT_vs_G20_Std_direct477</t>
        </is>
      </c>
      <c r="B8" s="5" t="inlineStr">
        <is>
          <t>C_direct477</t>
        </is>
      </c>
      <c r="C8" s="5" t="inlineStr">
        <is>
          <t>direct477</t>
        </is>
      </c>
      <c r="D8" s="5" t="inlineStr">
        <is>
          <t>lott_framework</t>
        </is>
      </c>
      <c r="E8" s="5" t="inlineStr">
        <is>
          <t>g20_standard</t>
        </is>
      </c>
      <c r="F8" s="4">
        <f>COUNTIFS(case_predictions_full500!$B$2:$B$501,0,case_predictions_full500!$D$2:$D$501,"&lt;&gt;",case_predictions_full500!$F$2:$F$501,"&lt;&gt;",case_predictions_full500!$C$2:$C$501,"Direct")</f>
        <v/>
      </c>
      <c r="G8" s="4">
        <f>COUNTIFS(case_predictions_full500!$Q$2:$Q$501,1,case_predictions_full500!$Y$2:$Y$501,1,case_predictions_full500!$C$2:$C$501,"Direct")</f>
        <v/>
      </c>
      <c r="H8" s="4">
        <f>COUNTIFS(case_predictions_full500!$Q$2:$Q$501,1,case_predictions_full500!$Y$2:$Y$501,0,case_predictions_full500!$C$2:$C$501,"Direct")</f>
        <v/>
      </c>
      <c r="I8" s="4">
        <f>COUNTIFS(case_predictions_full500!$Q$2:$Q$501,0,case_predictions_full500!$Y$2:$Y$501,1,case_predictions_full500!$C$2:$C$501,"Direct")</f>
        <v/>
      </c>
      <c r="J8" s="4">
        <f>IF(F8=0,"",F8-G8-H8-I8)</f>
        <v/>
      </c>
      <c r="K8" s="6">
        <f>IF(F8=0,"",(H8-I8)/F8)</f>
        <v/>
      </c>
      <c r="L8" s="7">
        <f>IF(H8+I8=0,"",MIN(1,2*_xludf.BINOM.DIST(MIN(H8,I8),H8+I8,0.5,TRUE)))</f>
        <v/>
      </c>
      <c r="M8" s="7">
        <f>IF(L8="","",MIN(1,MAX(SMALL($L$8:$L$10,1)*3,IF(_xludf.RANK.EQ(L8,$L$8:$L$10,1)&gt;=2,SMALL($L$8:$L$10,2)*2,0),IF(_xludf.RANK.EQ(L8,$L$8:$L$10,1)&gt;=3,SMALL($L$8:$L$10,3)*1,0))))</f>
        <v/>
      </c>
    </row>
    <row r="9">
      <c r="A9" s="5" t="inlineStr">
        <is>
          <t>LoTT_vs_G20_CoT_direct477</t>
        </is>
      </c>
      <c r="B9" s="5" t="inlineStr">
        <is>
          <t>C_direct477</t>
        </is>
      </c>
      <c r="C9" s="5" t="inlineStr">
        <is>
          <t>direct477</t>
        </is>
      </c>
      <c r="D9" s="5" t="inlineStr">
        <is>
          <t>lott_framework</t>
        </is>
      </c>
      <c r="E9" s="5" t="inlineStr">
        <is>
          <t>g20_cot</t>
        </is>
      </c>
      <c r="F9" s="4">
        <f>COUNTIFS(case_predictions_full500!$B$2:$B$501,0,case_predictions_full500!$D$2:$D$501,"&lt;&gt;",case_predictions_full500!$G$2:$G$501,"&lt;&gt;",case_predictions_full500!$C$2:$C$501,"Direct")</f>
        <v/>
      </c>
      <c r="G9" s="4">
        <f>COUNTIFS(case_predictions_full500!$Q$2:$Q$501,1,case_predictions_full500!$AC$2:$AC$501,1,case_predictions_full500!$C$2:$C$501,"Direct")</f>
        <v/>
      </c>
      <c r="H9" s="4">
        <f>COUNTIFS(case_predictions_full500!$Q$2:$Q$501,1,case_predictions_full500!$AC$2:$AC$501,0,case_predictions_full500!$C$2:$C$501,"Direct")</f>
        <v/>
      </c>
      <c r="I9" s="4">
        <f>COUNTIFS(case_predictions_full500!$Q$2:$Q$501,0,case_predictions_full500!$AC$2:$AC$501,1,case_predictions_full500!$C$2:$C$501,"Direct")</f>
        <v/>
      </c>
      <c r="J9" s="4">
        <f>IF(F9=0,"",F9-G9-H9-I9)</f>
        <v/>
      </c>
      <c r="K9" s="6">
        <f>IF(F9=0,"",(H9-I9)/F9)</f>
        <v/>
      </c>
      <c r="L9" s="7">
        <f>IF(H9+I9=0,"",MIN(1,2*_xludf.BINOM.DIST(MIN(H9,I9),H9+I9,0.5,TRUE)))</f>
        <v/>
      </c>
      <c r="M9" s="7">
        <f>IF(L9="","",MIN(1,MAX(SMALL($L$8:$L$10,1)*3,IF(_xludf.RANK.EQ(L9,$L$8:$L$10,1)&gt;=2,SMALL($L$8:$L$10,2)*2,0),IF(_xludf.RANK.EQ(L9,$L$8:$L$10,1)&gt;=3,SMALL($L$8:$L$10,3)*1,0))))</f>
        <v/>
      </c>
    </row>
    <row r="10">
      <c r="A10" s="5" t="inlineStr">
        <is>
          <t>LoTT_vs_G20_LS_direct477</t>
        </is>
      </c>
      <c r="B10" s="5" t="inlineStr">
        <is>
          <t>C_direct477</t>
        </is>
      </c>
      <c r="C10" s="5" t="inlineStr">
        <is>
          <t>direct477</t>
        </is>
      </c>
      <c r="D10" s="5" t="inlineStr">
        <is>
          <t>lott_framework</t>
        </is>
      </c>
      <c r="E10" s="5" t="inlineStr">
        <is>
          <t>g20_ls</t>
        </is>
      </c>
      <c r="F10" s="4">
        <f>COUNTIFS(case_predictions_full500!$B$2:$B$501,0,case_predictions_full500!$D$2:$D$501,"&lt;&gt;",case_predictions_full500!$H$2:$H$501,"&lt;&gt;",case_predictions_full500!$C$2:$C$501,"Direct")</f>
        <v/>
      </c>
      <c r="G10" s="4">
        <f>COUNTIFS(case_predictions_full500!$Q$2:$Q$501,1,case_predictions_full500!$AG$2:$AG$501,1,case_predictions_full500!$C$2:$C$501,"Direct")</f>
        <v/>
      </c>
      <c r="H10" s="4">
        <f>COUNTIFS(case_predictions_full500!$Q$2:$Q$501,1,case_predictions_full500!$AG$2:$AG$501,0,case_predictions_full500!$C$2:$C$501,"Direct")</f>
        <v/>
      </c>
      <c r="I10" s="4">
        <f>COUNTIFS(case_predictions_full500!$Q$2:$Q$501,0,case_predictions_full500!$AG$2:$AG$501,1,case_predictions_full500!$C$2:$C$501,"Direct")</f>
        <v/>
      </c>
      <c r="J10" s="4">
        <f>IF(F10=0,"",F10-G10-H10-I10)</f>
        <v/>
      </c>
      <c r="K10" s="6">
        <f>IF(F10=0,"",(H10-I10)/F10)</f>
        <v/>
      </c>
      <c r="L10" s="7">
        <f>IF(H10+I10=0,"",MIN(1,2*_xludf.BINOM.DIST(MIN(H10,I10),H10+I10,0.5,TRUE)))</f>
        <v/>
      </c>
      <c r="M10" s="7">
        <f>IF(L10="","",MIN(1,MAX(SMALL($L$8:$L$10,1)*3,IF(_xludf.RANK.EQ(L10,$L$8:$L$10,1)&gt;=2,SMALL($L$8:$L$10,2)*2,0),IF(_xludf.RANK.EQ(L10,$L$8:$L$10,1)&gt;=3,SMALL($L$8:$L$10,3)*1,0))))</f>
        <v/>
      </c>
    </row>
    <row r="11">
      <c r="A11" s="5" t="inlineStr">
        <is>
          <t>LoTT_vs_G20_Std_rq23</t>
        </is>
      </c>
      <c r="B11" s="5" t="inlineStr">
        <is>
          <t>D_rq23</t>
        </is>
      </c>
      <c r="C11" s="5" t="inlineStr">
        <is>
          <t>rq23_exploratory</t>
        </is>
      </c>
      <c r="D11" s="5" t="inlineStr">
        <is>
          <t>lott_framework</t>
        </is>
      </c>
      <c r="E11" s="5" t="inlineStr">
        <is>
          <t>g20_standard</t>
        </is>
      </c>
      <c r="F11" s="4">
        <f>COUNTIFS(case_predictions_full500!$B$2:$B$501,0,case_predictions_full500!$D$2:$D$501,"&lt;&gt;",case_predictions_full500!$F$2:$F$501,"&lt;&gt;",case_predictions_full500!$C$2:$C$501,"RQ")</f>
        <v/>
      </c>
      <c r="G11" s="4">
        <f>COUNTIFS(case_predictions_full500!$Q$2:$Q$501,1,case_predictions_full500!$Y$2:$Y$501,1,case_predictions_full500!$C$2:$C$501,"RQ")</f>
        <v/>
      </c>
      <c r="H11" s="4">
        <f>COUNTIFS(case_predictions_full500!$Q$2:$Q$501,1,case_predictions_full500!$Y$2:$Y$501,0,case_predictions_full500!$C$2:$C$501,"RQ")</f>
        <v/>
      </c>
      <c r="I11" s="4">
        <f>COUNTIFS(case_predictions_full500!$Q$2:$Q$501,0,case_predictions_full500!$Y$2:$Y$501,1,case_predictions_full500!$C$2:$C$501,"RQ")</f>
        <v/>
      </c>
      <c r="J11" s="4">
        <f>IF(F11=0,"",F11-G11-H11-I11)</f>
        <v/>
      </c>
      <c r="K11" s="6">
        <f>IF(F11=0,"",(H11-I11)/F11)</f>
        <v/>
      </c>
      <c r="L11" s="7">
        <f>IF(H11+I11=0,"",MIN(1,2*_xludf.BINOM.DIST(MIN(H11,I11),H11+I11,0.5,TRUE)))</f>
        <v/>
      </c>
      <c r="M11" s="7">
        <f>IF(L11="","",MIN(1,MAX(SMALL($L$11:$L$13,1)*3,IF(_xludf.RANK.EQ(L11,$L$11:$L$13,1)&gt;=2,SMALL($L$11:$L$13,2)*2,0),IF(_xludf.RANK.EQ(L11,$L$11:$L$13,1)&gt;=3,SMALL($L$11:$L$13,3)*1,0))))</f>
        <v/>
      </c>
    </row>
    <row r="12">
      <c r="A12" s="5" t="inlineStr">
        <is>
          <t>LoTT_vs_G20_CoT_rq23</t>
        </is>
      </c>
      <c r="B12" s="5" t="inlineStr">
        <is>
          <t>D_rq23</t>
        </is>
      </c>
      <c r="C12" s="5" t="inlineStr">
        <is>
          <t>rq23_exploratory</t>
        </is>
      </c>
      <c r="D12" s="5" t="inlineStr">
        <is>
          <t>lott_framework</t>
        </is>
      </c>
      <c r="E12" s="5" t="inlineStr">
        <is>
          <t>g20_cot</t>
        </is>
      </c>
      <c r="F12" s="4">
        <f>COUNTIFS(case_predictions_full500!$B$2:$B$501,0,case_predictions_full500!$D$2:$D$501,"&lt;&gt;",case_predictions_full500!$G$2:$G$501,"&lt;&gt;",case_predictions_full500!$C$2:$C$501,"RQ")</f>
        <v/>
      </c>
      <c r="G12" s="4">
        <f>COUNTIFS(case_predictions_full500!$Q$2:$Q$501,1,case_predictions_full500!$AC$2:$AC$501,1,case_predictions_full500!$C$2:$C$501,"RQ")</f>
        <v/>
      </c>
      <c r="H12" s="4">
        <f>COUNTIFS(case_predictions_full500!$Q$2:$Q$501,1,case_predictions_full500!$AC$2:$AC$501,0,case_predictions_full500!$C$2:$C$501,"RQ")</f>
        <v/>
      </c>
      <c r="I12" s="4">
        <f>COUNTIFS(case_predictions_full500!$Q$2:$Q$501,0,case_predictions_full500!$AC$2:$AC$501,1,case_predictions_full500!$C$2:$C$501,"RQ")</f>
        <v/>
      </c>
      <c r="J12" s="4">
        <f>IF(F12=0,"",F12-G12-H12-I12)</f>
        <v/>
      </c>
      <c r="K12" s="6">
        <f>IF(F12=0,"",(H12-I12)/F12)</f>
        <v/>
      </c>
      <c r="L12" s="7">
        <f>IF(H12+I12=0,"",MIN(1,2*_xludf.BINOM.DIST(MIN(H12,I12),H12+I12,0.5,TRUE)))</f>
        <v/>
      </c>
      <c r="M12" s="7">
        <f>IF(L12="","",MIN(1,MAX(SMALL($L$11:$L$13,1)*3,IF(_xludf.RANK.EQ(L12,$L$11:$L$13,1)&gt;=2,SMALL($L$11:$L$13,2)*2,0),IF(_xludf.RANK.EQ(L12,$L$11:$L$13,1)&gt;=3,SMALL($L$11:$L$13,3)*1,0))))</f>
        <v/>
      </c>
    </row>
    <row r="13">
      <c r="A13" s="5" t="inlineStr">
        <is>
          <t>LoTT_vs_G20_LS_rq23</t>
        </is>
      </c>
      <c r="B13" s="5" t="inlineStr">
        <is>
          <t>D_rq23</t>
        </is>
      </c>
      <c r="C13" s="5" t="inlineStr">
        <is>
          <t>rq23_exploratory</t>
        </is>
      </c>
      <c r="D13" s="5" t="inlineStr">
        <is>
          <t>lott_framework</t>
        </is>
      </c>
      <c r="E13" s="5" t="inlineStr">
        <is>
          <t>g20_ls</t>
        </is>
      </c>
      <c r="F13" s="4">
        <f>COUNTIFS(case_predictions_full500!$B$2:$B$501,0,case_predictions_full500!$D$2:$D$501,"&lt;&gt;",case_predictions_full500!$H$2:$H$501,"&lt;&gt;",case_predictions_full500!$C$2:$C$501,"RQ")</f>
        <v/>
      </c>
      <c r="G13" s="4">
        <f>COUNTIFS(case_predictions_full500!$Q$2:$Q$501,1,case_predictions_full500!$AG$2:$AG$501,1,case_predictions_full500!$C$2:$C$501,"RQ")</f>
        <v/>
      </c>
      <c r="H13" s="4">
        <f>COUNTIFS(case_predictions_full500!$Q$2:$Q$501,1,case_predictions_full500!$AG$2:$AG$501,0,case_predictions_full500!$C$2:$C$501,"RQ")</f>
        <v/>
      </c>
      <c r="I13" s="4">
        <f>COUNTIFS(case_predictions_full500!$Q$2:$Q$501,0,case_predictions_full500!$AG$2:$AG$501,1,case_predictions_full500!$C$2:$C$501,"RQ")</f>
        <v/>
      </c>
      <c r="J13" s="4">
        <f>IF(F13=0,"",F13-G13-H13-I13)</f>
        <v/>
      </c>
      <c r="K13" s="6">
        <f>IF(F13=0,"",(H13-I13)/F13)</f>
        <v/>
      </c>
      <c r="L13" s="7">
        <f>IF(H13+I13=0,"",MIN(1,2*_xludf.BINOM.DIST(MIN(H13,I13),H13+I13,0.5,TRUE)))</f>
        <v/>
      </c>
      <c r="M13" s="7">
        <f>IF(L13="","",MIN(1,MAX(SMALL($L$11:$L$13,1)*3,IF(_xludf.RANK.EQ(L13,$L$11:$L$13,1)&gt;=2,SMALL($L$11:$L$13,2)*2,0),IF(_xludf.RANK.EQ(L13,$L$11:$L$13,1)&gt;=3,SMALL($L$11:$L$13,3)*1,0))))</f>
        <v/>
      </c>
    </row>
    <row r="15">
      <c r="A15" s="8" t="inlineStr">
        <is>
          <t>Note</t>
        </is>
      </c>
      <c r="B15" s="12" t="inlineStr">
        <is>
          <t>Exact McNemar p-values are formula-ready. Holm-adjusted p-values are computed within each 3-row family block (full500 LoTT, full500 RQ, direct477, rq23).</t>
        </is>
      </c>
    </row>
  </sheetData>
  <mergeCells count="1">
    <mergeCell ref="B15:F15"/>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N501"/>
  <sheetViews>
    <sheetView showGridLines="0" workbookViewId="0">
      <selection activeCell="C2" sqref="C2"/>
    </sheetView>
  </sheetViews>
  <sheetFormatPr baseColWidth="10" defaultColWidth="8.83203125" defaultRowHeight="15"/>
  <cols>
    <col width="14" customWidth="1" style="13" min="1" max="1"/>
    <col width="16" customWidth="1" style="13" min="2" max="2"/>
    <col width="18" customWidth="1" style="13" min="3" max="14"/>
  </cols>
  <sheetData>
    <row r="1" ht="32" customHeight="1" s="13">
      <c r="A1" s="1" t="inlineStr">
        <is>
          <t>case_id</t>
        </is>
      </c>
      <c r="B1" s="1" t="inlineStr">
        <is>
          <t>num_reason_points</t>
        </is>
      </c>
      <c r="C1" s="1" t="inlineStr">
        <is>
          <t>lott_routed_branch</t>
        </is>
      </c>
      <c r="D1" s="1" t="inlineStr">
        <is>
          <t>lrs_lott_framework</t>
        </is>
      </c>
      <c r="E1" s="1" t="inlineStr">
        <is>
          <t>lrs_rq_all500</t>
        </is>
      </c>
      <c r="F1" s="1" t="inlineStr">
        <is>
          <t>lrs_g20_standard</t>
        </is>
      </c>
      <c r="G1" s="1" t="inlineStr">
        <is>
          <t>lrs_g20_cot</t>
        </is>
      </c>
      <c r="H1" s="1" t="inlineStr">
        <is>
          <t>lrs_g20_ls</t>
        </is>
      </c>
      <c r="I1" s="1" t="inlineStr">
        <is>
          <t>lrs_g25flash_standard</t>
        </is>
      </c>
      <c r="J1" s="1" t="inlineStr">
        <is>
          <t>lrs_g25flash_cot</t>
        </is>
      </c>
      <c r="K1" s="1" t="inlineStr">
        <is>
          <t>lrs_g25flash_ls</t>
        </is>
      </c>
      <c r="L1" s="1" t="inlineStr">
        <is>
          <t>lrs_g25pro_standard</t>
        </is>
      </c>
      <c r="M1" s="1" t="inlineStr">
        <is>
          <t>lrs_g25pro_cot</t>
        </is>
      </c>
      <c r="N1" s="1" t="inlineStr">
        <is>
          <t>lrs_g25pro_ls</t>
        </is>
      </c>
    </row>
    <row r="2">
      <c r="A2" s="3" t="inlineStr">
        <is>
          <t>201611317</t>
        </is>
      </c>
      <c r="B2" s="3" t="n">
        <v>6</v>
      </c>
      <c r="C2" s="3" t="inlineStr">
        <is>
          <t>Direct</t>
        </is>
      </c>
      <c r="D2" s="3" t="n">
        <v>2.333333333333333</v>
      </c>
      <c r="E2" s="3" t="n">
        <v>0</v>
      </c>
      <c r="F2" s="3" t="n">
        <v>6.5</v>
      </c>
      <c r="G2" s="3" t="n">
        <v>4.666666666666667</v>
      </c>
      <c r="H2" s="3" t="n">
        <v>4</v>
      </c>
      <c r="I2" s="3" t="n">
        <v>6</v>
      </c>
      <c r="J2" s="3" t="n">
        <v>6.666666666666667</v>
      </c>
      <c r="K2" s="3" t="n">
        <v>6.166666666666667</v>
      </c>
      <c r="L2" s="3" t="n">
        <v>4.666666666666667</v>
      </c>
      <c r="M2" s="3" t="n">
        <v>5.333333333333333</v>
      </c>
      <c r="N2" s="3" t="n">
        <v>4.5</v>
      </c>
    </row>
    <row r="3">
      <c r="A3" s="3" t="inlineStr">
        <is>
          <t>201611319</t>
        </is>
      </c>
      <c r="B3" s="3" t="n">
        <v>10</v>
      </c>
      <c r="C3" s="3" t="inlineStr">
        <is>
          <t>Direct</t>
        </is>
      </c>
      <c r="D3" s="3" t="n">
        <v>4</v>
      </c>
      <c r="E3" s="3" t="n">
        <v>0</v>
      </c>
      <c r="F3" s="3" t="n">
        <v>5.8</v>
      </c>
      <c r="G3" s="3" t="n">
        <v>5.8</v>
      </c>
      <c r="H3" s="3" t="n">
        <v>6.4</v>
      </c>
      <c r="I3" s="3" t="n">
        <v>8.1</v>
      </c>
      <c r="J3" s="3" t="n">
        <v>4.4</v>
      </c>
      <c r="K3" s="3" t="n">
        <v>8.1</v>
      </c>
      <c r="L3" s="3" t="n">
        <v>8.300000000000001</v>
      </c>
      <c r="M3" s="3" t="n">
        <v>3.8</v>
      </c>
      <c r="N3" s="3" t="n">
        <v>4</v>
      </c>
    </row>
    <row r="4">
      <c r="A4" s="3" t="inlineStr">
        <is>
          <t>201720729</t>
        </is>
      </c>
      <c r="B4" s="3" t="n">
        <v>10</v>
      </c>
      <c r="C4" s="3" t="inlineStr">
        <is>
          <t>Direct</t>
        </is>
      </c>
      <c r="D4" s="3" t="n">
        <v>3.9</v>
      </c>
      <c r="E4" s="3" t="n">
        <v>0</v>
      </c>
      <c r="F4" s="3" t="n">
        <v>3.8</v>
      </c>
      <c r="G4" s="3" t="n">
        <v>4.2</v>
      </c>
      <c r="H4" s="3" t="n">
        <v>4</v>
      </c>
      <c r="I4" s="3" t="n">
        <v>6</v>
      </c>
      <c r="J4" s="3" t="n">
        <v>6.1</v>
      </c>
      <c r="K4" s="3" t="n">
        <v>5.7</v>
      </c>
      <c r="L4" s="3" t="n">
        <v>4.9</v>
      </c>
      <c r="M4" s="3" t="n">
        <v>5.3</v>
      </c>
      <c r="N4" s="3" t="n">
        <v>5</v>
      </c>
    </row>
    <row r="5">
      <c r="A5" s="3" t="inlineStr">
        <is>
          <t>201818910</t>
        </is>
      </c>
      <c r="B5" s="3" t="n">
        <v>6</v>
      </c>
      <c r="C5" s="3" t="inlineStr">
        <is>
          <t>RQ</t>
        </is>
      </c>
      <c r="D5" s="3" t="n">
        <v>2.833333333333333</v>
      </c>
      <c r="E5" s="3" t="n">
        <v>0</v>
      </c>
      <c r="F5" s="3" t="n">
        <v>4.666666666666667</v>
      </c>
      <c r="G5" s="3" t="n">
        <v>4.166666666666667</v>
      </c>
      <c r="H5" s="3" t="n">
        <v>6.166666666666667</v>
      </c>
      <c r="I5" s="3" t="n">
        <v>3</v>
      </c>
      <c r="J5" s="3" t="n">
        <v>6.666666666666667</v>
      </c>
      <c r="K5" s="3" t="n">
        <v>3.166666666666667</v>
      </c>
      <c r="L5" s="3" t="n">
        <v>6.833333333333333</v>
      </c>
      <c r="M5" s="3" t="n">
        <v>6.166666666666667</v>
      </c>
      <c r="N5" s="3" t="n">
        <v>7</v>
      </c>
    </row>
    <row r="6">
      <c r="A6" s="3" t="inlineStr">
        <is>
          <t>201823477</t>
        </is>
      </c>
      <c r="B6" s="3" t="n">
        <v>5</v>
      </c>
      <c r="C6" s="3" t="inlineStr">
        <is>
          <t>Direct</t>
        </is>
      </c>
      <c r="D6" s="3" t="n">
        <v>3.6</v>
      </c>
      <c r="E6" s="3" t="n">
        <v>0</v>
      </c>
      <c r="F6" s="3" t="n">
        <v>3.2</v>
      </c>
      <c r="G6" s="3" t="n">
        <v>1</v>
      </c>
      <c r="H6" s="3" t="n">
        <v>2.6</v>
      </c>
      <c r="I6" s="3" t="n">
        <v>3.8</v>
      </c>
      <c r="J6" s="3" t="n">
        <v>0.4</v>
      </c>
      <c r="K6" s="3" t="n">
        <v>3.4</v>
      </c>
      <c r="L6" s="3" t="n">
        <v>1.8</v>
      </c>
      <c r="M6" s="3" t="n">
        <v>1.6</v>
      </c>
      <c r="N6" s="3" t="n">
        <v>4</v>
      </c>
    </row>
    <row r="7">
      <c r="A7" s="3" t="inlineStr">
        <is>
          <t>201824266</t>
        </is>
      </c>
      <c r="B7" s="3" t="n">
        <v>10</v>
      </c>
      <c r="C7" s="3" t="inlineStr">
        <is>
          <t>Direct</t>
        </is>
      </c>
      <c r="D7" s="3" t="n">
        <v>6.6</v>
      </c>
      <c r="E7" s="3" t="n">
        <v>0</v>
      </c>
      <c r="F7" s="3" t="n">
        <v>4.9</v>
      </c>
      <c r="G7" s="3" t="n">
        <v>5</v>
      </c>
      <c r="H7" s="3" t="n">
        <v>4.4</v>
      </c>
      <c r="I7" s="3" t="n">
        <v>6</v>
      </c>
      <c r="J7" s="3" t="n">
        <v>5.9</v>
      </c>
      <c r="K7" s="3" t="n">
        <v>5.4</v>
      </c>
      <c r="L7" s="3" t="n">
        <v>6.5</v>
      </c>
      <c r="M7" s="3" t="n">
        <v>4.8</v>
      </c>
      <c r="N7" s="3" t="n">
        <v>4.9</v>
      </c>
    </row>
    <row r="8">
      <c r="A8" s="3" t="inlineStr">
        <is>
          <t>201825425</t>
        </is>
      </c>
      <c r="B8" s="3" t="n">
        <v>8</v>
      </c>
      <c r="C8" s="3" t="inlineStr">
        <is>
          <t>Direct</t>
        </is>
      </c>
      <c r="D8" s="3" t="n">
        <v>5.125</v>
      </c>
      <c r="E8" s="3" t="n">
        <v>0</v>
      </c>
      <c r="F8" s="3" t="n">
        <v>3.25</v>
      </c>
      <c r="G8" s="3" t="n">
        <v>6.875</v>
      </c>
      <c r="H8" s="3" t="n">
        <v>4.875</v>
      </c>
      <c r="I8" s="3" t="n">
        <v>7.75</v>
      </c>
      <c r="J8" s="3" t="n">
        <v>7.75</v>
      </c>
      <c r="K8" s="3" t="n">
        <v>6.75</v>
      </c>
      <c r="L8" s="3" t="n">
        <v>8</v>
      </c>
      <c r="M8" s="3" t="n">
        <v>6.75</v>
      </c>
      <c r="N8" s="3" t="n">
        <v>7.25</v>
      </c>
    </row>
    <row r="9">
      <c r="A9" s="3" t="inlineStr">
        <is>
          <t>201827830</t>
        </is>
      </c>
      <c r="B9" s="3" t="n">
        <v>9</v>
      </c>
      <c r="C9" s="3" t="inlineStr">
        <is>
          <t>Direct</t>
        </is>
      </c>
      <c r="D9" s="3" t="n">
        <v>4.222222222222222</v>
      </c>
      <c r="E9" s="3" t="n">
        <v>0</v>
      </c>
      <c r="F9" s="3" t="n">
        <v>2.444444444444445</v>
      </c>
      <c r="G9" s="3" t="n">
        <v>2.333333333333333</v>
      </c>
      <c r="H9" s="3" t="n">
        <v>2.888888888888889</v>
      </c>
      <c r="I9" s="3" t="n">
        <v>1.888888888888889</v>
      </c>
      <c r="J9" s="3" t="n">
        <v>1.333333333333333</v>
      </c>
      <c r="K9" s="3" t="n">
        <v>2.111111111111111</v>
      </c>
      <c r="L9" s="3" t="n">
        <v>1.444444444444444</v>
      </c>
      <c r="M9" s="3" t="n">
        <v>1.888888888888889</v>
      </c>
      <c r="N9" s="3" t="n">
        <v>2</v>
      </c>
    </row>
    <row r="10">
      <c r="A10" s="3" t="inlineStr">
        <is>
          <t>201837949</t>
        </is>
      </c>
      <c r="B10" s="3" t="n">
        <v>6</v>
      </c>
      <c r="C10" s="3" t="inlineStr">
        <is>
          <t>Direct</t>
        </is>
      </c>
      <c r="D10" s="3" t="n">
        <v>4.5</v>
      </c>
      <c r="E10" s="3" t="n">
        <v>0</v>
      </c>
      <c r="F10" s="3" t="n">
        <v>4.333333333333333</v>
      </c>
      <c r="G10" s="3" t="n">
        <v>4.5</v>
      </c>
      <c r="H10" s="3" t="n">
        <v>5.333333333333333</v>
      </c>
      <c r="I10" s="3" t="n">
        <v>7.833333333333333</v>
      </c>
      <c r="J10" s="3" t="n">
        <v>7.166666666666667</v>
      </c>
      <c r="K10" s="3" t="n">
        <v>6.333333333333333</v>
      </c>
      <c r="L10" s="3" t="n">
        <v>7.833333333333333</v>
      </c>
      <c r="M10" s="3" t="n">
        <v>7.666666666666667</v>
      </c>
      <c r="N10" s="3" t="n">
        <v>7.333333333333333</v>
      </c>
    </row>
    <row r="11">
      <c r="A11" s="3" t="inlineStr">
        <is>
          <t>201912951</t>
        </is>
      </c>
      <c r="B11" s="3" t="n">
        <v>10</v>
      </c>
      <c r="C11" s="3" t="inlineStr">
        <is>
          <t>Direct</t>
        </is>
      </c>
      <c r="D11" s="3" t="n">
        <v>6.1</v>
      </c>
      <c r="E11" s="3" t="n">
        <v>0</v>
      </c>
      <c r="F11" s="3" t="n">
        <v>5.3</v>
      </c>
      <c r="G11" s="3" t="n">
        <v>4.4</v>
      </c>
      <c r="H11" s="3" t="n">
        <v>5.3</v>
      </c>
      <c r="I11" s="3" t="n">
        <v>7.8</v>
      </c>
      <c r="J11" s="3" t="n">
        <v>6.8</v>
      </c>
      <c r="K11" s="3" t="n">
        <v>6.8</v>
      </c>
      <c r="L11" s="3" t="n">
        <v>5.5</v>
      </c>
      <c r="M11" s="3" t="n">
        <v>3.8</v>
      </c>
      <c r="N11" s="3" t="n">
        <v>8.6</v>
      </c>
    </row>
    <row r="12">
      <c r="A12" s="3" t="inlineStr">
        <is>
          <t>201913964</t>
        </is>
      </c>
      <c r="B12" s="3" t="n">
        <v>2</v>
      </c>
      <c r="C12" s="3" t="inlineStr">
        <is>
          <t>Direct</t>
        </is>
      </c>
      <c r="D12" s="3" t="n">
        <v>1</v>
      </c>
      <c r="E12" s="3" t="n">
        <v>0</v>
      </c>
      <c r="F12" s="3" t="n">
        <v>4</v>
      </c>
      <c r="G12" s="3" t="n">
        <v>2</v>
      </c>
      <c r="H12" s="3" t="n">
        <v>0.5</v>
      </c>
      <c r="I12" s="3" t="n">
        <v>0</v>
      </c>
      <c r="J12" s="3" t="n">
        <v>1.5</v>
      </c>
      <c r="K12" s="3" t="n">
        <v>0.5</v>
      </c>
      <c r="L12" s="3" t="n">
        <v>4.5</v>
      </c>
      <c r="M12" s="3" t="n">
        <v>5</v>
      </c>
      <c r="N12" s="3" t="n">
        <v>4.5</v>
      </c>
    </row>
    <row r="13">
      <c r="A13" s="3" t="inlineStr">
        <is>
          <t>201914739</t>
        </is>
      </c>
      <c r="B13" s="3" t="n">
        <v>5</v>
      </c>
      <c r="C13" s="3" t="inlineStr">
        <is>
          <t>Direct</t>
        </is>
      </c>
      <c r="D13" s="3" t="n">
        <v>6.4</v>
      </c>
      <c r="E13" s="3" t="n">
        <v>0</v>
      </c>
      <c r="F13" s="3" t="n">
        <v>4.2</v>
      </c>
      <c r="G13" s="3" t="n">
        <v>6</v>
      </c>
      <c r="H13" s="3" t="n">
        <v>5.6</v>
      </c>
      <c r="I13" s="3" t="n">
        <v>5.6</v>
      </c>
      <c r="J13" s="3" t="n">
        <v>2</v>
      </c>
      <c r="K13" s="3" t="n">
        <v>5.4</v>
      </c>
      <c r="L13" s="3" t="n">
        <v>6</v>
      </c>
      <c r="M13" s="3" t="n">
        <v>5</v>
      </c>
      <c r="N13" s="3" t="n">
        <v>6.2</v>
      </c>
    </row>
    <row r="14">
      <c r="A14" s="3" t="inlineStr">
        <is>
          <t>201915394</t>
        </is>
      </c>
      <c r="B14" s="3" t="n">
        <v>3</v>
      </c>
      <c r="C14" s="3" t="inlineStr">
        <is>
          <t>Direct</t>
        </is>
      </c>
      <c r="D14" s="3" t="n">
        <v>1.333333333333333</v>
      </c>
      <c r="E14" s="3" t="n">
        <v>0</v>
      </c>
      <c r="F14" s="3" t="n">
        <v>1.666666666666667</v>
      </c>
      <c r="G14" s="3" t="n">
        <v>0.3333333333333333</v>
      </c>
      <c r="H14" s="3" t="n">
        <v>0</v>
      </c>
      <c r="I14" s="3" t="n">
        <v>0.6666666666666666</v>
      </c>
      <c r="J14" s="3" t="n">
        <v>0</v>
      </c>
      <c r="K14" s="3" t="n">
        <v>0.3333333333333333</v>
      </c>
      <c r="L14" s="3" t="n">
        <v>0.6666666666666666</v>
      </c>
      <c r="M14" s="3" t="n">
        <v>0</v>
      </c>
      <c r="N14" s="3" t="n">
        <v>0</v>
      </c>
    </row>
    <row r="15">
      <c r="A15" s="3" t="inlineStr">
        <is>
          <t>201915444</t>
        </is>
      </c>
      <c r="B15" s="3" t="n">
        <v>6</v>
      </c>
      <c r="C15" s="3" t="inlineStr">
        <is>
          <t>Direct</t>
        </is>
      </c>
      <c r="D15" s="3" t="n">
        <v>7.666666666666667</v>
      </c>
      <c r="E15" s="3" t="n">
        <v>0</v>
      </c>
      <c r="F15" s="3" t="n">
        <v>8.333333333333334</v>
      </c>
      <c r="G15" s="3" t="n">
        <v>9</v>
      </c>
      <c r="H15" s="3" t="n">
        <v>7</v>
      </c>
      <c r="I15" s="3" t="n">
        <v>6.166666666666667</v>
      </c>
      <c r="J15" s="3" t="n">
        <v>7.833333333333333</v>
      </c>
      <c r="K15" s="3" t="n">
        <v>3.333333333333333</v>
      </c>
      <c r="L15" s="3" t="n">
        <v>4.833333333333333</v>
      </c>
      <c r="M15" s="3" t="n">
        <v>3.666666666666667</v>
      </c>
      <c r="N15" s="3" t="n">
        <v>3.666666666666667</v>
      </c>
    </row>
    <row r="16">
      <c r="A16" s="3" t="inlineStr">
        <is>
          <t>20191579</t>
        </is>
      </c>
      <c r="B16" s="3" t="n">
        <v>9</v>
      </c>
      <c r="C16" s="3" t="inlineStr">
        <is>
          <t>Direct</t>
        </is>
      </c>
      <c r="D16" s="3" t="n">
        <v>5.888888888888889</v>
      </c>
      <c r="E16" s="3" t="n">
        <v>0</v>
      </c>
      <c r="F16" s="3" t="n">
        <v>5.222222222222222</v>
      </c>
      <c r="G16" s="3" t="n">
        <v>4.666666666666667</v>
      </c>
      <c r="H16" s="3" t="n">
        <v>5.444444444444445</v>
      </c>
      <c r="I16" s="3" t="n">
        <v>4.444444444444445</v>
      </c>
      <c r="J16" s="3" t="n">
        <v>6.555555555555555</v>
      </c>
      <c r="K16" s="3" t="n">
        <v>7.333333333333333</v>
      </c>
      <c r="L16" s="3" t="n">
        <v>6.777777777777778</v>
      </c>
      <c r="M16" s="3" t="n">
        <v>7.222222222222222</v>
      </c>
      <c r="N16" s="3" t="n">
        <v>6.888888888888889</v>
      </c>
    </row>
    <row r="17">
      <c r="A17" s="3" t="inlineStr">
        <is>
          <t>201916399</t>
        </is>
      </c>
      <c r="B17" s="3" t="n">
        <v>5</v>
      </c>
      <c r="C17" s="3" t="inlineStr">
        <is>
          <t>Direct</t>
        </is>
      </c>
      <c r="D17" s="3" t="n">
        <v>4.2</v>
      </c>
      <c r="E17" s="3" t="n">
        <v>0</v>
      </c>
      <c r="F17" s="3" t="n">
        <v>3</v>
      </c>
      <c r="G17" s="3" t="n">
        <v>3.2</v>
      </c>
      <c r="H17" s="3" t="n">
        <v>2.2</v>
      </c>
      <c r="I17" s="3" t="n">
        <v>2.6</v>
      </c>
      <c r="J17" s="3" t="n">
        <v>1.8</v>
      </c>
      <c r="K17" s="3" t="n">
        <v>2.6</v>
      </c>
      <c r="L17" s="3" t="n">
        <v>3</v>
      </c>
      <c r="M17" s="3" t="n">
        <v>2.8</v>
      </c>
      <c r="N17" s="3" t="n">
        <v>2.6</v>
      </c>
    </row>
    <row r="18">
      <c r="A18" s="3" t="inlineStr">
        <is>
          <t>201918372</t>
        </is>
      </c>
      <c r="B18" s="3" t="n">
        <v>10</v>
      </c>
      <c r="C18" s="3" t="inlineStr">
        <is>
          <t>Direct</t>
        </is>
      </c>
      <c r="D18" s="3" t="n">
        <v>4.3</v>
      </c>
      <c r="E18" s="3" t="n">
        <v>0</v>
      </c>
      <c r="F18" s="3" t="n">
        <v>2.9</v>
      </c>
      <c r="G18" s="3" t="n">
        <v>3.5</v>
      </c>
      <c r="H18" s="3" t="n">
        <v>4.9</v>
      </c>
      <c r="I18" s="3" t="n">
        <v>4.7</v>
      </c>
      <c r="J18" s="3" t="n">
        <v>4.5</v>
      </c>
      <c r="K18" s="3" t="n">
        <v>4.6</v>
      </c>
      <c r="L18" s="3" t="n">
        <v>6.9</v>
      </c>
      <c r="M18" s="3" t="n">
        <v>5.2</v>
      </c>
      <c r="N18" s="3" t="n">
        <v>4.2</v>
      </c>
    </row>
    <row r="19">
      <c r="A19" s="3" t="inlineStr">
        <is>
          <t>201921409</t>
        </is>
      </c>
      <c r="B19" s="3" t="n">
        <v>6</v>
      </c>
      <c r="C19" s="3" t="inlineStr">
        <is>
          <t>Direct</t>
        </is>
      </c>
      <c r="D19" s="3" t="n">
        <v>0.3333333333333333</v>
      </c>
      <c r="E19" s="3" t="n">
        <v>0</v>
      </c>
      <c r="F19" s="3" t="n">
        <v>0.8333333333333334</v>
      </c>
      <c r="G19" s="3" t="n">
        <v>0.1666666666666667</v>
      </c>
      <c r="H19" s="3" t="n">
        <v>0.5</v>
      </c>
      <c r="I19" s="3" t="n">
        <v>0</v>
      </c>
      <c r="J19" s="3" t="n">
        <v>0.6666666666666666</v>
      </c>
      <c r="K19" s="3" t="n">
        <v>0.3333333333333333</v>
      </c>
      <c r="L19" s="3" t="n">
        <v>0</v>
      </c>
      <c r="M19" s="3" t="n">
        <v>1.666666666666667</v>
      </c>
      <c r="N19" s="3" t="n">
        <v>1.5</v>
      </c>
    </row>
    <row r="20">
      <c r="A20" s="3" t="inlineStr">
        <is>
          <t>201922718</t>
        </is>
      </c>
      <c r="B20" s="3" t="n">
        <v>6</v>
      </c>
      <c r="C20" s="3" t="inlineStr">
        <is>
          <t>Direct</t>
        </is>
      </c>
      <c r="D20" s="3" t="n">
        <v>4.333333333333333</v>
      </c>
      <c r="E20" s="3" t="n">
        <v>0</v>
      </c>
      <c r="F20" s="3" t="n">
        <v>2.166666666666667</v>
      </c>
      <c r="G20" s="3" t="n">
        <v>3.166666666666667</v>
      </c>
      <c r="H20" s="3" t="n">
        <v>2.333333333333333</v>
      </c>
      <c r="I20" s="3" t="n">
        <v>2.166666666666667</v>
      </c>
      <c r="J20" s="3" t="n">
        <v>3</v>
      </c>
      <c r="K20" s="3" t="n">
        <v>3.666666666666667</v>
      </c>
      <c r="L20" s="3" t="n">
        <v>2.833333333333333</v>
      </c>
      <c r="M20" s="3" t="n">
        <v>3</v>
      </c>
      <c r="N20" s="3" t="n">
        <v>3</v>
      </c>
    </row>
    <row r="21">
      <c r="A21" s="3" t="inlineStr">
        <is>
          <t>201922729</t>
        </is>
      </c>
      <c r="B21" s="3" t="n">
        <v>3</v>
      </c>
      <c r="C21" s="3" t="inlineStr">
        <is>
          <t>Direct</t>
        </is>
      </c>
      <c r="D21" s="3" t="n">
        <v>2.333333333333333</v>
      </c>
      <c r="E21" s="3" t="n">
        <v>0</v>
      </c>
      <c r="F21" s="3" t="n">
        <v>2</v>
      </c>
      <c r="G21" s="3" t="n">
        <v>2.333333333333333</v>
      </c>
      <c r="H21" s="3" t="n">
        <v>3.333333333333333</v>
      </c>
      <c r="I21" s="3" t="n">
        <v>5.666666666666667</v>
      </c>
      <c r="J21" s="3" t="n">
        <v>6.333333333333333</v>
      </c>
      <c r="K21" s="3" t="n">
        <v>5.333333333333333</v>
      </c>
      <c r="L21" s="3" t="n">
        <v>4</v>
      </c>
      <c r="M21" s="3" t="n">
        <v>3.666666666666667</v>
      </c>
      <c r="N21" s="3" t="n">
        <v>2.666666666666667</v>
      </c>
    </row>
    <row r="22">
      <c r="A22" s="3" t="inlineStr">
        <is>
          <t>201923084</t>
        </is>
      </c>
      <c r="B22" s="3" t="n">
        <v>4</v>
      </c>
      <c r="C22" s="3" t="inlineStr">
        <is>
          <t>Direct</t>
        </is>
      </c>
      <c r="D22" s="3" t="n">
        <v>5.25</v>
      </c>
      <c r="E22" s="3" t="n">
        <v>0</v>
      </c>
      <c r="F22" s="3" t="n">
        <v>4.5</v>
      </c>
      <c r="G22" s="3" t="n">
        <v>3.75</v>
      </c>
      <c r="H22" s="3" t="n">
        <v>3.5</v>
      </c>
      <c r="I22" s="3" t="n">
        <v>4.5</v>
      </c>
      <c r="J22" s="3" t="n">
        <v>4.5</v>
      </c>
      <c r="K22" s="3" t="n">
        <v>4.5</v>
      </c>
      <c r="L22" s="3" t="n">
        <v>4.5</v>
      </c>
      <c r="M22" s="3" t="n">
        <v>4.75</v>
      </c>
      <c r="N22" s="3" t="n">
        <v>4.75</v>
      </c>
    </row>
    <row r="23">
      <c r="A23" s="3" t="inlineStr">
        <is>
          <t>201923814</t>
        </is>
      </c>
      <c r="B23" s="3" t="n">
        <v>4</v>
      </c>
      <c r="C23" s="3" t="inlineStr">
        <is>
          <t>Direct</t>
        </is>
      </c>
      <c r="D23" s="3" t="n">
        <v>2.5</v>
      </c>
      <c r="E23" s="3" t="n">
        <v>0</v>
      </c>
      <c r="F23" s="3" t="n">
        <v>3</v>
      </c>
      <c r="G23" s="3" t="n">
        <v>1.5</v>
      </c>
      <c r="H23" s="3" t="n">
        <v>2</v>
      </c>
      <c r="I23" s="3" t="n">
        <v>2.5</v>
      </c>
      <c r="J23" s="3" t="n">
        <v>3</v>
      </c>
      <c r="K23" s="3" t="n">
        <v>2</v>
      </c>
      <c r="L23" s="3" t="n">
        <v>2.5</v>
      </c>
      <c r="M23" s="3" t="n">
        <v>2.25</v>
      </c>
      <c r="N23" s="3" t="n">
        <v>3</v>
      </c>
    </row>
    <row r="24">
      <c r="A24" s="3" t="inlineStr">
        <is>
          <t>201923998</t>
        </is>
      </c>
      <c r="B24" s="3" t="n">
        <v>6</v>
      </c>
      <c r="C24" s="3" t="inlineStr">
        <is>
          <t>Direct</t>
        </is>
      </c>
      <c r="D24" s="3" t="n">
        <v>5.833333333333333</v>
      </c>
      <c r="E24" s="3" t="n">
        <v>0</v>
      </c>
      <c r="F24" s="3" t="n">
        <v>5.833333333333333</v>
      </c>
      <c r="G24" s="3" t="n">
        <v>4</v>
      </c>
      <c r="H24" s="3" t="n">
        <v>5.166666666666667</v>
      </c>
      <c r="I24" s="3" t="n">
        <v>4.166666666666667</v>
      </c>
      <c r="J24" s="3" t="n">
        <v>4.166666666666667</v>
      </c>
      <c r="K24" s="3" t="n">
        <v>5.5</v>
      </c>
      <c r="L24" s="3" t="n">
        <v>5.333333333333333</v>
      </c>
      <c r="M24" s="3" t="n">
        <v>5</v>
      </c>
      <c r="N24" s="3" t="n">
        <v>5.666666666666667</v>
      </c>
    </row>
    <row r="25">
      <c r="A25" s="3" t="inlineStr">
        <is>
          <t>201924622</t>
        </is>
      </c>
      <c r="B25" s="3" t="n">
        <v>7</v>
      </c>
      <c r="C25" s="3" t="inlineStr">
        <is>
          <t>Direct</t>
        </is>
      </c>
      <c r="D25" s="3" t="n">
        <v>1.714285714285714</v>
      </c>
      <c r="E25" s="3" t="n">
        <v>0</v>
      </c>
      <c r="F25" s="3" t="n">
        <v>2.285714285714286</v>
      </c>
      <c r="G25" s="3" t="n">
        <v>1.142857142857143</v>
      </c>
      <c r="H25" s="3" t="n">
        <v>0</v>
      </c>
      <c r="I25" s="3" t="n">
        <v>1.142857142857143</v>
      </c>
      <c r="J25" s="3" t="n">
        <v>0</v>
      </c>
      <c r="K25" s="3" t="n">
        <v>0.5714285714285714</v>
      </c>
      <c r="L25" s="3" t="n">
        <v>2.571428571428572</v>
      </c>
      <c r="M25" s="3" t="n">
        <v>0</v>
      </c>
      <c r="N25" s="3" t="n">
        <v>0.1428571428571428</v>
      </c>
    </row>
    <row r="26">
      <c r="A26" s="3" t="inlineStr">
        <is>
          <t>201924942</t>
        </is>
      </c>
      <c r="B26" s="3" t="n">
        <v>7</v>
      </c>
      <c r="C26" s="3" t="inlineStr">
        <is>
          <t>Direct</t>
        </is>
      </c>
      <c r="D26" s="3" t="n">
        <v>0.4285714285714285</v>
      </c>
      <c r="E26" s="3" t="n">
        <v>0</v>
      </c>
      <c r="F26" s="3" t="n">
        <v>3</v>
      </c>
      <c r="G26" s="3" t="n">
        <v>3.428571428571428</v>
      </c>
      <c r="H26" s="3" t="n">
        <v>2.571428571428572</v>
      </c>
      <c r="I26" s="3" t="n">
        <v>1</v>
      </c>
      <c r="J26" s="3" t="n">
        <v>1.857142857142857</v>
      </c>
      <c r="K26" s="3" t="n">
        <v>2.714285714285714</v>
      </c>
      <c r="L26" s="3" t="n">
        <v>2.571428571428572</v>
      </c>
      <c r="M26" s="3" t="n">
        <v>0</v>
      </c>
      <c r="N26" s="3" t="n">
        <v>3.285714285714286</v>
      </c>
    </row>
    <row r="27">
      <c r="A27" s="3" t="inlineStr">
        <is>
          <t>201926743</t>
        </is>
      </c>
      <c r="B27" s="3" t="n">
        <v>4</v>
      </c>
      <c r="C27" s="3" t="inlineStr">
        <is>
          <t>Direct</t>
        </is>
      </c>
      <c r="D27" s="3" t="n">
        <v>0.5</v>
      </c>
      <c r="E27" s="3" t="n">
        <v>0</v>
      </c>
      <c r="F27" s="3" t="n">
        <v>0.25</v>
      </c>
      <c r="G27" s="3" t="n">
        <v>0</v>
      </c>
      <c r="H27" s="3" t="n">
        <v>0.75</v>
      </c>
      <c r="I27" s="3" t="n">
        <v>1.5</v>
      </c>
      <c r="J27" s="3" t="n">
        <v>0.25</v>
      </c>
      <c r="K27" s="3" t="n">
        <v>0</v>
      </c>
      <c r="L27" s="3" t="n">
        <v>0</v>
      </c>
      <c r="M27" s="3" t="n">
        <v>0.25</v>
      </c>
      <c r="N27" s="3" t="n">
        <v>0</v>
      </c>
    </row>
    <row r="28">
      <c r="A28" s="3" t="inlineStr">
        <is>
          <t>20192781</t>
        </is>
      </c>
      <c r="B28" s="3" t="n">
        <v>10</v>
      </c>
      <c r="C28" s="3" t="inlineStr">
        <is>
          <t>Direct</t>
        </is>
      </c>
      <c r="D28" s="3" t="n">
        <v>3.7</v>
      </c>
      <c r="E28" s="3" t="n">
        <v>0</v>
      </c>
      <c r="F28" s="3" t="n">
        <v>6.2</v>
      </c>
      <c r="G28" s="3" t="n">
        <v>3.4</v>
      </c>
      <c r="H28" s="3" t="n">
        <v>5.3</v>
      </c>
      <c r="I28" s="3" t="n">
        <v>7.1</v>
      </c>
      <c r="J28" s="3" t="n">
        <v>7.1</v>
      </c>
      <c r="K28" s="3" t="n">
        <v>7.3</v>
      </c>
      <c r="L28" s="3" t="n">
        <v>5.7</v>
      </c>
      <c r="M28" s="3" t="n">
        <v>1.7</v>
      </c>
      <c r="N28" s="3" t="n">
        <v>3.6</v>
      </c>
    </row>
    <row r="29">
      <c r="A29" s="3" t="inlineStr">
        <is>
          <t>201928058</t>
        </is>
      </c>
      <c r="B29" s="3" t="n">
        <v>8</v>
      </c>
      <c r="C29" s="3" t="inlineStr">
        <is>
          <t>Direct</t>
        </is>
      </c>
      <c r="D29" s="3" t="n">
        <v>6.875</v>
      </c>
      <c r="E29" s="3" t="n">
        <v>0</v>
      </c>
      <c r="F29" s="3" t="n">
        <v>5.75</v>
      </c>
      <c r="G29" s="3" t="n">
        <v>6</v>
      </c>
      <c r="H29" s="3" t="n">
        <v>5.375</v>
      </c>
      <c r="I29" s="3" t="n">
        <v>6.25</v>
      </c>
      <c r="J29" s="3" t="n">
        <v>7.375</v>
      </c>
      <c r="K29" s="3" t="n">
        <v>6.625</v>
      </c>
      <c r="L29" s="3" t="n">
        <v>6.375</v>
      </c>
      <c r="M29" s="3" t="n">
        <v>7</v>
      </c>
      <c r="N29" s="3" t="n">
        <v>6.25</v>
      </c>
    </row>
    <row r="30">
      <c r="A30" s="3" t="inlineStr">
        <is>
          <t>201929140</t>
        </is>
      </c>
      <c r="B30" s="3" t="n">
        <v>1</v>
      </c>
      <c r="C30" s="3" t="inlineStr">
        <is>
          <t>Direct</t>
        </is>
      </c>
      <c r="D30" s="3" t="n">
        <v>0</v>
      </c>
      <c r="E30" s="3" t="n">
        <v>0</v>
      </c>
      <c r="F30" s="3" t="n">
        <v>2</v>
      </c>
      <c r="G30" s="3" t="n">
        <v>2</v>
      </c>
      <c r="H30" s="3" t="n">
        <v>0</v>
      </c>
      <c r="I30" s="3" t="n">
        <v>0</v>
      </c>
      <c r="J30" s="3" t="n">
        <v>0</v>
      </c>
      <c r="K30" s="3" t="n">
        <v>1</v>
      </c>
      <c r="L30" s="3" t="n">
        <v>0</v>
      </c>
      <c r="M30" s="3" t="n">
        <v>0</v>
      </c>
      <c r="N30" s="3" t="n">
        <v>0</v>
      </c>
    </row>
    <row r="31">
      <c r="A31" s="3" t="inlineStr">
        <is>
          <t>201929504</t>
        </is>
      </c>
      <c r="B31" s="3" t="n">
        <v>6</v>
      </c>
      <c r="C31" s="3" t="inlineStr">
        <is>
          <t>Direct</t>
        </is>
      </c>
      <c r="D31" s="3" t="n">
        <v>6.333333333333333</v>
      </c>
      <c r="E31" s="3" t="n">
        <v>0</v>
      </c>
      <c r="F31" s="3" t="n">
        <v>4.5</v>
      </c>
      <c r="G31" s="3" t="n">
        <v>6.833333333333333</v>
      </c>
      <c r="H31" s="3" t="n">
        <v>2.666666666666667</v>
      </c>
      <c r="I31" s="3" t="n">
        <v>6.333333333333333</v>
      </c>
      <c r="J31" s="3" t="n">
        <v>6.666666666666667</v>
      </c>
      <c r="K31" s="3" t="n">
        <v>4.333333333333333</v>
      </c>
      <c r="L31" s="3" t="n">
        <v>8</v>
      </c>
      <c r="M31" s="3" t="n">
        <v>8.666666666666666</v>
      </c>
      <c r="N31" s="3" t="n">
        <v>2.5</v>
      </c>
    </row>
    <row r="32">
      <c r="A32" s="3" t="inlineStr">
        <is>
          <t>201930300</t>
        </is>
      </c>
      <c r="B32" s="3" t="n">
        <v>5</v>
      </c>
      <c r="C32" s="3" t="inlineStr">
        <is>
          <t>Direct</t>
        </is>
      </c>
      <c r="D32" s="3" t="n">
        <v>6</v>
      </c>
      <c r="E32" s="3" t="n">
        <v>0</v>
      </c>
      <c r="F32" s="3" t="n">
        <v>5</v>
      </c>
      <c r="G32" s="3" t="n">
        <v>6.6</v>
      </c>
      <c r="H32" s="3" t="n">
        <v>5.6</v>
      </c>
      <c r="I32" s="3" t="n">
        <v>5.6</v>
      </c>
      <c r="J32" s="3" t="n">
        <v>6.2</v>
      </c>
      <c r="K32" s="3" t="n">
        <v>4.8</v>
      </c>
      <c r="L32" s="3" t="n">
        <v>6</v>
      </c>
      <c r="M32" s="3" t="n">
        <v>5.6</v>
      </c>
      <c r="N32" s="3" t="n">
        <v>7.2</v>
      </c>
    </row>
    <row r="33">
      <c r="A33" s="3" t="inlineStr">
        <is>
          <t>201930632</t>
        </is>
      </c>
      <c r="B33" s="3" t="n">
        <v>7</v>
      </c>
      <c r="C33" s="3" t="inlineStr">
        <is>
          <t>Direct</t>
        </is>
      </c>
      <c r="D33" s="3" t="n">
        <v>6.142857142857143</v>
      </c>
      <c r="E33" s="3" t="n">
        <v>0</v>
      </c>
      <c r="F33" s="3" t="n">
        <v>3.285714285714286</v>
      </c>
      <c r="G33" s="3" t="n">
        <v>4.285714285714286</v>
      </c>
      <c r="H33" s="3" t="n">
        <v>5.428571428571429</v>
      </c>
      <c r="I33" s="3" t="n">
        <v>8.285714285714286</v>
      </c>
      <c r="J33" s="3" t="n">
        <v>6.428571428571429</v>
      </c>
      <c r="K33" s="3" t="n">
        <v>8.428571428571429</v>
      </c>
      <c r="L33" s="3" t="n">
        <v>8.142857142857142</v>
      </c>
      <c r="M33" s="3" t="n">
        <v>8.714285714285714</v>
      </c>
      <c r="N33" s="3" t="n">
        <v>7.571428571428571</v>
      </c>
    </row>
    <row r="34">
      <c r="A34" s="3" t="inlineStr">
        <is>
          <t>201931778</t>
        </is>
      </c>
      <c r="B34" s="3" t="n">
        <v>1</v>
      </c>
      <c r="C34" s="3" t="inlineStr">
        <is>
          <t>Direct</t>
        </is>
      </c>
      <c r="D34" s="3" t="n">
        <v>0</v>
      </c>
      <c r="E34" s="3" t="n">
        <v>0</v>
      </c>
      <c r="F34" s="3" t="n">
        <v>2</v>
      </c>
      <c r="G34" s="3" t="n">
        <v>0</v>
      </c>
      <c r="H34" s="3" t="n">
        <v>2</v>
      </c>
      <c r="I34" s="3" t="n">
        <v>1</v>
      </c>
      <c r="J34" s="3" t="n">
        <v>0</v>
      </c>
      <c r="K34" s="3" t="n">
        <v>2</v>
      </c>
      <c r="L34" s="3" t="n">
        <v>0</v>
      </c>
      <c r="M34" s="3" t="n">
        <v>0</v>
      </c>
      <c r="N34" s="3" t="n">
        <v>0</v>
      </c>
    </row>
    <row r="35">
      <c r="A35" s="3" t="inlineStr">
        <is>
          <t>20193226</t>
        </is>
      </c>
      <c r="B35" s="3" t="n">
        <v>3</v>
      </c>
      <c r="C35" s="3" t="inlineStr">
        <is>
          <t>RQ</t>
        </is>
      </c>
      <c r="D35" s="3" t="n">
        <v>4.666666666666667</v>
      </c>
      <c r="E35" s="3" t="n">
        <v>0</v>
      </c>
      <c r="F35" s="3" t="n">
        <v>5</v>
      </c>
      <c r="G35" s="3" t="n">
        <v>4.666666666666667</v>
      </c>
      <c r="H35" s="3" t="n">
        <v>6.333333333333333</v>
      </c>
      <c r="I35" s="3" t="n">
        <v>1.666666666666667</v>
      </c>
      <c r="J35" s="3" t="n">
        <v>9</v>
      </c>
      <c r="K35" s="3" t="n">
        <v>8.333333333333334</v>
      </c>
      <c r="L35" s="3" t="n">
        <v>1</v>
      </c>
      <c r="M35" s="3" t="n">
        <v>0.3333333333333333</v>
      </c>
      <c r="N35" s="3" t="n">
        <v>0</v>
      </c>
    </row>
    <row r="36">
      <c r="A36" s="3" t="inlineStr">
        <is>
          <t>201932755</t>
        </is>
      </c>
      <c r="B36" s="3" t="n">
        <v>3</v>
      </c>
      <c r="C36" s="3" t="inlineStr">
        <is>
          <t>Direct</t>
        </is>
      </c>
      <c r="D36" s="3" t="n">
        <v>1</v>
      </c>
      <c r="E36" s="3" t="n">
        <v>0</v>
      </c>
      <c r="F36" s="3" t="n">
        <v>2.333333333333333</v>
      </c>
      <c r="G36" s="3" t="n">
        <v>0</v>
      </c>
      <c r="H36" s="3" t="n">
        <v>0</v>
      </c>
      <c r="I36" s="3" t="n">
        <v>9</v>
      </c>
      <c r="J36" s="3" t="n">
        <v>9</v>
      </c>
      <c r="K36" s="3" t="n">
        <v>1.666666666666667</v>
      </c>
      <c r="L36" s="3" t="n">
        <v>1.666666666666667</v>
      </c>
      <c r="M36" s="3" t="n">
        <v>4.333333333333333</v>
      </c>
      <c r="N36" s="3" t="n">
        <v>1</v>
      </c>
    </row>
    <row r="37">
      <c r="A37" s="3" t="inlineStr">
        <is>
          <t>201932903</t>
        </is>
      </c>
      <c r="B37" s="3" t="n">
        <v>7</v>
      </c>
      <c r="C37" s="3" t="inlineStr">
        <is>
          <t>RQ</t>
        </is>
      </c>
      <c r="D37" s="3" t="n">
        <v>4.857142857142857</v>
      </c>
      <c r="E37" s="3" t="n">
        <v>0</v>
      </c>
      <c r="F37" s="3" t="n">
        <v>2.714285714285714</v>
      </c>
      <c r="G37" s="3" t="n">
        <v>2.571428571428572</v>
      </c>
      <c r="H37" s="3" t="n">
        <v>3</v>
      </c>
      <c r="I37" s="3" t="n">
        <v>3</v>
      </c>
      <c r="J37" s="3" t="n">
        <v>3.285714285714286</v>
      </c>
      <c r="K37" s="3" t="n">
        <v>3.285714285714286</v>
      </c>
      <c r="L37" s="3" t="n">
        <v>3.428571428571428</v>
      </c>
      <c r="M37" s="3" t="n">
        <v>3.142857142857143</v>
      </c>
      <c r="N37" s="3" t="n">
        <v>4</v>
      </c>
    </row>
    <row r="38">
      <c r="A38" s="3" t="inlineStr">
        <is>
          <t>201932928</t>
        </is>
      </c>
      <c r="B38" s="3" t="n">
        <v>5</v>
      </c>
      <c r="C38" s="3" t="inlineStr">
        <is>
          <t>Direct</t>
        </is>
      </c>
      <c r="D38" s="3" t="n">
        <v>2</v>
      </c>
      <c r="E38" s="3" t="n">
        <v>0</v>
      </c>
      <c r="F38" s="3" t="n">
        <v>2</v>
      </c>
      <c r="G38" s="3" t="n">
        <v>2.2</v>
      </c>
      <c r="H38" s="3" t="n">
        <v>2.2</v>
      </c>
      <c r="I38" s="3" t="n">
        <v>2.4</v>
      </c>
      <c r="J38" s="3" t="n">
        <v>2.4</v>
      </c>
      <c r="K38" s="3" t="n">
        <v>2</v>
      </c>
      <c r="L38" s="3" t="n">
        <v>1.8</v>
      </c>
      <c r="M38" s="3" t="n">
        <v>2</v>
      </c>
      <c r="N38" s="3" t="n">
        <v>2.2</v>
      </c>
    </row>
    <row r="39">
      <c r="A39" s="3" t="inlineStr">
        <is>
          <t>201933061</t>
        </is>
      </c>
      <c r="B39" s="3" t="n">
        <v>6</v>
      </c>
      <c r="C39" s="3" t="inlineStr">
        <is>
          <t>Direct</t>
        </is>
      </c>
      <c r="D39" s="3" t="n">
        <v>2</v>
      </c>
      <c r="E39" s="3" t="n">
        <v>0</v>
      </c>
      <c r="F39" s="3" t="n">
        <v>4.166666666666667</v>
      </c>
      <c r="G39" s="3" t="n">
        <v>3.666666666666667</v>
      </c>
      <c r="H39" s="3" t="n">
        <v>3.5</v>
      </c>
      <c r="I39" s="3" t="n">
        <v>7.166666666666667</v>
      </c>
      <c r="J39" s="3" t="n">
        <v>2.833333333333333</v>
      </c>
      <c r="K39" s="3" t="n">
        <v>3.333333333333333</v>
      </c>
      <c r="L39" s="3" t="n">
        <v>3.666666666666667</v>
      </c>
      <c r="M39" s="3" t="n">
        <v>3.666666666666667</v>
      </c>
      <c r="N39" s="3" t="n">
        <v>2.666666666666667</v>
      </c>
    </row>
    <row r="40">
      <c r="A40" s="3" t="inlineStr">
        <is>
          <t>201933495</t>
        </is>
      </c>
      <c r="B40" s="3" t="n">
        <v>10</v>
      </c>
      <c r="C40" s="3" t="inlineStr">
        <is>
          <t>Direct</t>
        </is>
      </c>
      <c r="D40" s="3" t="n">
        <v>3.3</v>
      </c>
      <c r="E40" s="3" t="n">
        <v>0</v>
      </c>
      <c r="F40" s="3" t="n">
        <v>3.1</v>
      </c>
      <c r="G40" s="3" t="n">
        <v>3.1</v>
      </c>
      <c r="H40" s="3" t="n">
        <v>3.2</v>
      </c>
      <c r="I40" s="3" t="n">
        <v>1.4</v>
      </c>
      <c r="J40" s="3" t="n">
        <v>3.2</v>
      </c>
      <c r="K40" s="3" t="n">
        <v>2.8</v>
      </c>
      <c r="L40" s="3" t="n">
        <v>3.4</v>
      </c>
      <c r="M40" s="3" t="n">
        <v>2.2</v>
      </c>
      <c r="N40" s="3" t="n">
        <v>3.4</v>
      </c>
    </row>
    <row r="41">
      <c r="A41" s="3" t="inlineStr">
        <is>
          <t>201934191</t>
        </is>
      </c>
      <c r="B41" s="3" t="n">
        <v>9</v>
      </c>
      <c r="C41" s="3" t="inlineStr">
        <is>
          <t>Direct</t>
        </is>
      </c>
      <c r="D41" s="3" t="n">
        <v>4.666666666666667</v>
      </c>
      <c r="E41" s="3" t="n">
        <v>0</v>
      </c>
      <c r="F41" s="3" t="n">
        <v>4.444444444444445</v>
      </c>
      <c r="G41" s="3" t="n">
        <v>3.222222222222222</v>
      </c>
      <c r="H41" s="3" t="n">
        <v>5.111111111111111</v>
      </c>
      <c r="I41" s="3" t="n">
        <v>6</v>
      </c>
      <c r="J41" s="3" t="n">
        <v>3.333333333333333</v>
      </c>
      <c r="K41" s="3" t="n">
        <v>6.444444444444445</v>
      </c>
      <c r="L41" s="3" t="n">
        <v>3.666666666666667</v>
      </c>
      <c r="M41" s="3" t="n">
        <v>4.222222222222222</v>
      </c>
      <c r="N41" s="3" t="n">
        <v>6.333333333333333</v>
      </c>
    </row>
    <row r="42">
      <c r="A42" s="3" t="inlineStr">
        <is>
          <t>201935402</t>
        </is>
      </c>
      <c r="B42" s="3" t="n">
        <v>8</v>
      </c>
      <c r="C42" s="3" t="inlineStr">
        <is>
          <t>Direct</t>
        </is>
      </c>
      <c r="D42" s="3" t="n">
        <v>5.875</v>
      </c>
      <c r="E42" s="3" t="n">
        <v>0</v>
      </c>
      <c r="F42" s="3" t="n">
        <v>4.375</v>
      </c>
      <c r="G42" s="3" t="n">
        <v>5.25</v>
      </c>
      <c r="H42" s="3" t="n">
        <v>4.5</v>
      </c>
      <c r="I42" s="3" t="n">
        <v>5.125</v>
      </c>
      <c r="J42" s="3" t="n">
        <v>4.5</v>
      </c>
      <c r="K42" s="3" t="n">
        <v>4.75</v>
      </c>
      <c r="L42" s="3" t="n">
        <v>4.375</v>
      </c>
      <c r="M42" s="3" t="n">
        <v>5.75</v>
      </c>
      <c r="N42" s="3" t="n">
        <v>5.875</v>
      </c>
    </row>
    <row r="43">
      <c r="A43" s="3" t="inlineStr">
        <is>
          <t>201935586</t>
        </is>
      </c>
      <c r="B43" s="3" t="n">
        <v>5</v>
      </c>
      <c r="C43" s="3" t="inlineStr">
        <is>
          <t>Direct</t>
        </is>
      </c>
      <c r="D43" s="3" t="n">
        <v>2</v>
      </c>
      <c r="E43" s="3" t="n">
        <v>0</v>
      </c>
      <c r="F43" s="3" t="n">
        <v>2.4</v>
      </c>
      <c r="G43" s="3" t="n">
        <v>3.4</v>
      </c>
      <c r="H43" s="3" t="n">
        <v>4.2</v>
      </c>
      <c r="I43" s="3" t="n">
        <v>1</v>
      </c>
      <c r="J43" s="3" t="n">
        <v>1</v>
      </c>
      <c r="K43" s="3" t="n">
        <v>1.2</v>
      </c>
      <c r="L43" s="3" t="n">
        <v>0.6</v>
      </c>
      <c r="M43" s="3" t="n">
        <v>1.2</v>
      </c>
      <c r="N43" s="3" t="n">
        <v>0.4</v>
      </c>
    </row>
    <row r="44">
      <c r="A44" s="3" t="inlineStr">
        <is>
          <t>201935817</t>
        </is>
      </c>
      <c r="B44" s="3" t="n">
        <v>9</v>
      </c>
      <c r="C44" s="3" t="inlineStr">
        <is>
          <t>Direct</t>
        </is>
      </c>
      <c r="D44" s="3" t="n">
        <v>5.111111111111111</v>
      </c>
      <c r="E44" s="3" t="n">
        <v>0</v>
      </c>
      <c r="F44" s="3" t="n">
        <v>1.222222222222222</v>
      </c>
      <c r="G44" s="3" t="n">
        <v>1.555555555555556</v>
      </c>
      <c r="H44" s="3" t="n">
        <v>4.222222222222222</v>
      </c>
      <c r="I44" s="3" t="n">
        <v>4.555555555555555</v>
      </c>
      <c r="J44" s="3" t="n">
        <v>3.555555555555555</v>
      </c>
      <c r="K44" s="3" t="n">
        <v>4.111111111111111</v>
      </c>
      <c r="L44" s="3" t="n">
        <v>5.777777777777778</v>
      </c>
      <c r="M44" s="3" t="n">
        <v>3.111111111111111</v>
      </c>
      <c r="N44" s="3" t="n">
        <v>4.666666666666667</v>
      </c>
    </row>
    <row r="45">
      <c r="A45" s="3" t="inlineStr">
        <is>
          <t>201936152</t>
        </is>
      </c>
      <c r="B45" s="3" t="n">
        <v>7</v>
      </c>
      <c r="C45" s="3" t="inlineStr">
        <is>
          <t>Direct</t>
        </is>
      </c>
      <c r="D45" s="3" t="n">
        <v>7</v>
      </c>
      <c r="E45" s="3" t="n">
        <v>0</v>
      </c>
      <c r="F45" s="3" t="n">
        <v>2.857142857142857</v>
      </c>
      <c r="G45" s="3" t="n">
        <v>2.285714285714286</v>
      </c>
      <c r="H45" s="3" t="n">
        <v>2.857142857142857</v>
      </c>
      <c r="I45" s="3" t="n">
        <v>4</v>
      </c>
      <c r="J45" s="3" t="n">
        <v>4.428571428571429</v>
      </c>
      <c r="K45" s="3" t="n">
        <v>3.571428571428572</v>
      </c>
      <c r="L45" s="3" t="n">
        <v>3.857142857142857</v>
      </c>
      <c r="M45" s="3" t="n">
        <v>3.142857142857143</v>
      </c>
      <c r="N45" s="3" t="n">
        <v>2.857142857142857</v>
      </c>
    </row>
    <row r="46">
      <c r="A46" s="3" t="inlineStr">
        <is>
          <t>201936380</t>
        </is>
      </c>
      <c r="B46" s="3" t="n">
        <v>8</v>
      </c>
      <c r="C46" s="3" t="inlineStr">
        <is>
          <t>Direct</t>
        </is>
      </c>
      <c r="D46" s="3" t="n">
        <v>4.75</v>
      </c>
      <c r="E46" s="3" t="n">
        <v>0</v>
      </c>
      <c r="F46" s="3" t="n">
        <v>5.125</v>
      </c>
      <c r="G46" s="3" t="n">
        <v>5.125</v>
      </c>
      <c r="H46" s="3" t="n">
        <v>3.625</v>
      </c>
      <c r="I46" s="3" t="n">
        <v>8.875</v>
      </c>
      <c r="J46" s="3" t="n">
        <v>9.5</v>
      </c>
      <c r="K46" s="3" t="n">
        <v>4.875</v>
      </c>
      <c r="L46" s="3" t="n">
        <v>8.375</v>
      </c>
      <c r="M46" s="3" t="n">
        <v>9.5</v>
      </c>
      <c r="N46" s="3" t="n">
        <v>9</v>
      </c>
    </row>
    <row r="47">
      <c r="A47" s="3" t="inlineStr">
        <is>
          <t>201937198</t>
        </is>
      </c>
      <c r="B47" s="3" t="n">
        <v>10</v>
      </c>
      <c r="C47" s="3" t="inlineStr">
        <is>
          <t>Direct</t>
        </is>
      </c>
      <c r="D47" s="3" t="n">
        <v>6.5</v>
      </c>
      <c r="E47" s="3" t="n">
        <v>0</v>
      </c>
      <c r="F47" s="3" t="n">
        <v>5.9</v>
      </c>
      <c r="G47" s="3" t="n">
        <v>4.8</v>
      </c>
      <c r="H47" s="3" t="n">
        <v>6.1</v>
      </c>
      <c r="I47" s="3" t="n">
        <v>7.3</v>
      </c>
      <c r="J47" s="3" t="n">
        <v>7.5</v>
      </c>
      <c r="K47" s="3" t="n">
        <v>7.6</v>
      </c>
      <c r="L47" s="3" t="n">
        <v>7.3</v>
      </c>
      <c r="M47" s="3" t="n">
        <v>7.5</v>
      </c>
      <c r="N47" s="3" t="n">
        <v>7.7</v>
      </c>
    </row>
    <row r="48">
      <c r="A48" s="3" t="inlineStr">
        <is>
          <t>201938975</t>
        </is>
      </c>
      <c r="B48" s="3" t="n">
        <v>9</v>
      </c>
      <c r="C48" s="3" t="inlineStr">
        <is>
          <t>Direct</t>
        </is>
      </c>
      <c r="D48" s="3" t="n">
        <v>2.222222222222222</v>
      </c>
      <c r="E48" s="3" t="n">
        <v>0</v>
      </c>
      <c r="F48" s="3" t="n">
        <v>4</v>
      </c>
      <c r="G48" s="3" t="n">
        <v>2.666666666666667</v>
      </c>
      <c r="H48" s="3" t="n">
        <v>2.777777777777778</v>
      </c>
      <c r="I48" s="3" t="n">
        <v>3</v>
      </c>
      <c r="J48" s="3" t="n">
        <v>3.666666666666667</v>
      </c>
      <c r="K48" s="3" t="n">
        <v>3.666666666666667</v>
      </c>
      <c r="L48" s="3" t="n">
        <v>3.111111111111111</v>
      </c>
      <c r="M48" s="3" t="n">
        <v>3.111111111111111</v>
      </c>
      <c r="N48" s="3" t="n">
        <v>2.888888888888889</v>
      </c>
    </row>
    <row r="49">
      <c r="A49" s="3" t="inlineStr">
        <is>
          <t>201942221</t>
        </is>
      </c>
      <c r="B49" s="3" t="n">
        <v>9</v>
      </c>
      <c r="C49" s="3" t="inlineStr">
        <is>
          <t>Direct</t>
        </is>
      </c>
      <c r="D49" s="3" t="n">
        <v>3.111111111111111</v>
      </c>
      <c r="E49" s="3" t="n">
        <v>0</v>
      </c>
      <c r="F49" s="3" t="n">
        <v>3.333333333333333</v>
      </c>
      <c r="G49" s="3" t="n">
        <v>2.666666666666667</v>
      </c>
      <c r="H49" s="3" t="n">
        <v>5.222222222222222</v>
      </c>
      <c r="I49" s="3" t="n">
        <v>3.444444444444445</v>
      </c>
      <c r="J49" s="3" t="n">
        <v>4.333333333333333</v>
      </c>
      <c r="K49" s="3" t="n">
        <v>2.777777777777778</v>
      </c>
      <c r="L49" s="3" t="n">
        <v>4.333333333333333</v>
      </c>
      <c r="M49" s="3" t="n">
        <v>3.333333333333333</v>
      </c>
      <c r="N49" s="3" t="n">
        <v>3.777777777777778</v>
      </c>
    </row>
    <row r="50">
      <c r="A50" s="3" t="inlineStr">
        <is>
          <t>201942799</t>
        </is>
      </c>
      <c r="B50" s="3" t="n">
        <v>9</v>
      </c>
      <c r="C50" s="3" t="inlineStr">
        <is>
          <t>Direct</t>
        </is>
      </c>
      <c r="D50" s="3" t="n">
        <v>5.333333333333333</v>
      </c>
      <c r="E50" s="3" t="n">
        <v>0</v>
      </c>
      <c r="F50" s="3" t="n">
        <v>5.777777777777778</v>
      </c>
      <c r="G50" s="3" t="n">
        <v>6.111111111111111</v>
      </c>
      <c r="H50" s="3" t="n">
        <v>2.777777777777778</v>
      </c>
      <c r="I50" s="3" t="n">
        <v>6.222222222222222</v>
      </c>
      <c r="J50" s="3" t="n">
        <v>3.111111111111111</v>
      </c>
      <c r="K50" s="3" t="n">
        <v>3.777777777777778</v>
      </c>
      <c r="L50" s="3" t="n">
        <v>4.666666666666667</v>
      </c>
      <c r="M50" s="3" t="n">
        <v>4.333333333333333</v>
      </c>
      <c r="N50" s="3" t="n">
        <v>2.222222222222222</v>
      </c>
    </row>
    <row r="51">
      <c r="A51" s="3" t="inlineStr">
        <is>
          <t>20197386</t>
        </is>
      </c>
      <c r="B51" s="3" t="n">
        <v>3</v>
      </c>
      <c r="C51" s="3" t="inlineStr">
        <is>
          <t>Direct</t>
        </is>
      </c>
      <c r="D51" s="3" t="n">
        <v>0</v>
      </c>
      <c r="E51" s="3" t="n">
        <v>0</v>
      </c>
      <c r="F51" s="3" t="n">
        <v>0</v>
      </c>
      <c r="G51" s="3" t="n">
        <v>0</v>
      </c>
      <c r="H51" s="3" t="n">
        <v>1</v>
      </c>
      <c r="I51" s="3" t="n">
        <v>0</v>
      </c>
      <c r="J51" s="3" t="n">
        <v>0</v>
      </c>
      <c r="K51" s="3" t="n">
        <v>0</v>
      </c>
      <c r="L51" s="3" t="n">
        <v>0</v>
      </c>
      <c r="M51" s="3" t="n">
        <v>0</v>
      </c>
      <c r="N51" s="3" t="n">
        <v>0</v>
      </c>
    </row>
    <row r="52">
      <c r="A52" s="3" t="inlineStr">
        <is>
          <t>20197448</t>
        </is>
      </c>
      <c r="B52" s="3" t="n">
        <v>5</v>
      </c>
      <c r="C52" s="3" t="inlineStr">
        <is>
          <t>Direct</t>
        </is>
      </c>
      <c r="D52" s="3" t="n">
        <v>1</v>
      </c>
      <c r="E52" s="3" t="n">
        <v>0</v>
      </c>
      <c r="F52" s="3" t="n">
        <v>2.4</v>
      </c>
      <c r="G52" s="3" t="n">
        <v>0.6</v>
      </c>
      <c r="H52" s="3" t="n">
        <v>0</v>
      </c>
      <c r="I52" s="3" t="n">
        <v>0</v>
      </c>
      <c r="J52" s="3" t="n">
        <v>0</v>
      </c>
      <c r="K52" s="3" t="n">
        <v>0.2</v>
      </c>
      <c r="L52" s="3" t="n">
        <v>0</v>
      </c>
      <c r="M52" s="3" t="n">
        <v>0</v>
      </c>
      <c r="N52" s="3" t="n">
        <v>0</v>
      </c>
    </row>
    <row r="53">
      <c r="A53" s="3" t="inlineStr">
        <is>
          <t>20198224</t>
        </is>
      </c>
      <c r="B53" s="3" t="n">
        <v>4</v>
      </c>
      <c r="C53" s="3" t="inlineStr">
        <is>
          <t>Direct</t>
        </is>
      </c>
      <c r="D53" s="3" t="n">
        <v>5</v>
      </c>
      <c r="E53" s="3" t="n">
        <v>0</v>
      </c>
      <c r="F53" s="3" t="n">
        <v>5.25</v>
      </c>
      <c r="G53" s="3" t="n">
        <v>5.5</v>
      </c>
      <c r="H53" s="3" t="n">
        <v>5.5</v>
      </c>
      <c r="I53" s="3" t="n">
        <v>5.75</v>
      </c>
      <c r="J53" s="3" t="n">
        <v>4.5</v>
      </c>
      <c r="K53" s="3" t="n">
        <v>5</v>
      </c>
      <c r="L53" s="3" t="n">
        <v>5.75</v>
      </c>
      <c r="M53" s="3" t="n">
        <v>1.5</v>
      </c>
      <c r="N53" s="3" t="n">
        <v>6</v>
      </c>
    </row>
    <row r="54">
      <c r="A54" s="3" t="inlineStr">
        <is>
          <t>20199803</t>
        </is>
      </c>
      <c r="B54" s="3" t="n">
        <v>5</v>
      </c>
      <c r="C54" s="3" t="inlineStr">
        <is>
          <t>Direct</t>
        </is>
      </c>
      <c r="D54" s="3" t="n">
        <v>0</v>
      </c>
      <c r="E54" s="3" t="n">
        <v>0</v>
      </c>
      <c r="F54" s="3" t="n">
        <v>0</v>
      </c>
      <c r="G54" s="3" t="n">
        <v>0</v>
      </c>
      <c r="H54" s="3" t="n">
        <v>0</v>
      </c>
      <c r="I54" s="3" t="n">
        <v>0</v>
      </c>
      <c r="J54" s="3" t="n">
        <v>0</v>
      </c>
      <c r="K54" s="3" t="n">
        <v>0</v>
      </c>
      <c r="L54" s="3" t="n">
        <v>0</v>
      </c>
      <c r="M54" s="3" t="n">
        <v>0</v>
      </c>
      <c r="N54" s="3" t="n">
        <v>0</v>
      </c>
    </row>
    <row r="55">
      <c r="A55" s="3" t="inlineStr">
        <is>
          <t>202010117</t>
        </is>
      </c>
      <c r="B55" s="3" t="n">
        <v>2</v>
      </c>
      <c r="C55" s="3" t="inlineStr">
        <is>
          <t>Direct</t>
        </is>
      </c>
      <c r="D55" s="3" t="n">
        <v>1</v>
      </c>
      <c r="E55" s="3" t="n">
        <v>0</v>
      </c>
      <c r="F55" s="3" t="n">
        <v>1.5</v>
      </c>
      <c r="G55" s="3" t="n">
        <v>3.5</v>
      </c>
      <c r="H55" s="3" t="n">
        <v>0</v>
      </c>
      <c r="I55" s="3" t="n">
        <v>0</v>
      </c>
      <c r="J55" s="3" t="n">
        <v>0</v>
      </c>
      <c r="K55" s="3" t="n">
        <v>0</v>
      </c>
      <c r="L55" s="3" t="n">
        <v>1.5</v>
      </c>
      <c r="M55" s="3" t="n">
        <v>0</v>
      </c>
      <c r="N55" s="3" t="n">
        <v>0.5</v>
      </c>
    </row>
    <row r="56">
      <c r="A56" s="3" t="inlineStr">
        <is>
          <t>202011909</t>
        </is>
      </c>
      <c r="B56" s="3" t="n">
        <v>4</v>
      </c>
      <c r="C56" s="3" t="inlineStr">
        <is>
          <t>Direct</t>
        </is>
      </c>
      <c r="D56" s="3" t="n">
        <v>2.75</v>
      </c>
      <c r="E56" s="3" t="n">
        <v>0</v>
      </c>
      <c r="F56" s="3" t="n">
        <v>5.5</v>
      </c>
      <c r="G56" s="3" t="n">
        <v>4.75</v>
      </c>
      <c r="H56" s="3" t="n">
        <v>3.75</v>
      </c>
      <c r="I56" s="3" t="n">
        <v>5.25</v>
      </c>
      <c r="J56" s="3" t="n">
        <v>6</v>
      </c>
      <c r="K56" s="3" t="n">
        <v>5.5</v>
      </c>
      <c r="L56" s="3" t="n">
        <v>4.75</v>
      </c>
      <c r="M56" s="3" t="n">
        <v>5</v>
      </c>
      <c r="N56" s="3" t="n">
        <v>5.75</v>
      </c>
    </row>
    <row r="57">
      <c r="A57" s="3" t="inlineStr">
        <is>
          <t>202012395</t>
        </is>
      </c>
      <c r="B57" s="3" t="n">
        <v>7</v>
      </c>
      <c r="C57" s="3" t="inlineStr">
        <is>
          <t>Direct</t>
        </is>
      </c>
      <c r="D57" s="3" t="n">
        <v>2.714285714285714</v>
      </c>
      <c r="E57" s="3" t="n">
        <v>0</v>
      </c>
      <c r="F57" s="3" t="n">
        <v>1.285714285714286</v>
      </c>
      <c r="G57" s="3" t="n">
        <v>2.285714285714286</v>
      </c>
      <c r="H57" s="3" t="n">
        <v>2.428571428571428</v>
      </c>
      <c r="I57" s="3" t="n">
        <v>3.714285714285714</v>
      </c>
      <c r="J57" s="3" t="n">
        <v>4.428571428571429</v>
      </c>
      <c r="K57" s="3" t="n">
        <v>2.714285714285714</v>
      </c>
      <c r="L57" s="3" t="n">
        <v>3.285714285714286</v>
      </c>
      <c r="M57" s="3" t="n">
        <v>3</v>
      </c>
      <c r="N57" s="3" t="n">
        <v>2.285714285714286</v>
      </c>
    </row>
    <row r="58">
      <c r="A58" s="3" t="inlineStr">
        <is>
          <t>202013119</t>
        </is>
      </c>
      <c r="B58" s="3" t="n">
        <v>8</v>
      </c>
      <c r="C58" s="3" t="inlineStr">
        <is>
          <t>Direct</t>
        </is>
      </c>
      <c r="D58" s="3" t="n">
        <v>3.625</v>
      </c>
      <c r="E58" s="3" t="n">
        <v>0</v>
      </c>
      <c r="F58" s="3" t="n">
        <v>5.125</v>
      </c>
      <c r="G58" s="3" t="n">
        <v>3.25</v>
      </c>
      <c r="H58" s="3" t="n">
        <v>3.875</v>
      </c>
      <c r="I58" s="3" t="n">
        <v>4.125</v>
      </c>
      <c r="J58" s="3" t="n">
        <v>5.625</v>
      </c>
      <c r="K58" s="3" t="n">
        <v>4.75</v>
      </c>
      <c r="L58" s="3" t="n">
        <v>5.25</v>
      </c>
      <c r="M58" s="3" t="n">
        <v>5</v>
      </c>
      <c r="N58" s="3" t="n">
        <v>4.75</v>
      </c>
    </row>
    <row r="59">
      <c r="A59" s="3" t="inlineStr">
        <is>
          <t>202013452</t>
        </is>
      </c>
      <c r="B59" s="3" t="n">
        <v>10</v>
      </c>
      <c r="C59" s="3" t="inlineStr">
        <is>
          <t>Direct</t>
        </is>
      </c>
      <c r="D59" s="3" t="n">
        <v>6.3</v>
      </c>
      <c r="E59" s="3" t="n">
        <v>0</v>
      </c>
      <c r="F59" s="3" t="n">
        <v>3.4</v>
      </c>
      <c r="G59" s="3" t="n">
        <v>5.1</v>
      </c>
      <c r="H59" s="3" t="n">
        <v>5</v>
      </c>
      <c r="I59" s="3" t="n">
        <v>5</v>
      </c>
      <c r="J59" s="3" t="n">
        <v>5.8</v>
      </c>
      <c r="K59" s="3" t="n">
        <v>5.6</v>
      </c>
      <c r="L59" s="3" t="n">
        <v>6.1</v>
      </c>
      <c r="M59" s="3" t="n">
        <v>2.5</v>
      </c>
      <c r="N59" s="3" t="n">
        <v>5.6</v>
      </c>
    </row>
    <row r="60">
      <c r="A60" s="3" t="inlineStr">
        <is>
          <t>202014187</t>
        </is>
      </c>
      <c r="B60" s="3" t="n">
        <v>9</v>
      </c>
      <c r="C60" s="3" t="inlineStr">
        <is>
          <t>Direct</t>
        </is>
      </c>
      <c r="D60" s="3" t="n">
        <v>1.555555555555556</v>
      </c>
      <c r="E60" s="3" t="n">
        <v>0</v>
      </c>
      <c r="F60" s="3" t="n">
        <v>2.333333333333333</v>
      </c>
      <c r="G60" s="3" t="n">
        <v>3</v>
      </c>
      <c r="H60" s="3" t="n">
        <v>1.333333333333333</v>
      </c>
      <c r="I60" s="3" t="n">
        <v>0.7777777777777778</v>
      </c>
      <c r="J60" s="3" t="n">
        <v>1.555555555555556</v>
      </c>
      <c r="K60" s="3" t="n">
        <v>1.777777777777778</v>
      </c>
      <c r="L60" s="3" t="n">
        <v>0.6666666666666666</v>
      </c>
      <c r="M60" s="3" t="n">
        <v>1</v>
      </c>
      <c r="N60" s="3" t="n">
        <v>0.6666666666666666</v>
      </c>
    </row>
    <row r="61">
      <c r="A61" s="3" t="inlineStr">
        <is>
          <t>202015366</t>
        </is>
      </c>
      <c r="B61" s="3" t="n">
        <v>10</v>
      </c>
      <c r="C61" s="3" t="inlineStr">
        <is>
          <t>Direct</t>
        </is>
      </c>
      <c r="D61" s="3" t="n">
        <v>3.3</v>
      </c>
      <c r="E61" s="3" t="n">
        <v>0</v>
      </c>
      <c r="F61" s="3" t="n">
        <v>2.2</v>
      </c>
      <c r="G61" s="3" t="n">
        <v>4.4</v>
      </c>
      <c r="H61" s="3" t="n">
        <v>3.1</v>
      </c>
      <c r="I61" s="3" t="n">
        <v>3.6</v>
      </c>
      <c r="J61" s="3" t="n">
        <v>2.9</v>
      </c>
      <c r="K61" s="3" t="n">
        <v>3.3</v>
      </c>
      <c r="L61" s="3" t="n">
        <v>3.7</v>
      </c>
      <c r="M61" s="3" t="n">
        <v>2.8</v>
      </c>
      <c r="N61" s="3" t="n">
        <v>5.6</v>
      </c>
    </row>
    <row r="62">
      <c r="A62" s="3" t="inlineStr">
        <is>
          <t>20201546</t>
        </is>
      </c>
      <c r="B62" s="3" t="n">
        <v>4</v>
      </c>
      <c r="C62" s="3" t="inlineStr">
        <is>
          <t>Direct</t>
        </is>
      </c>
      <c r="D62" s="3" t="n">
        <v>6.25</v>
      </c>
      <c r="E62" s="3" t="n">
        <v>0</v>
      </c>
      <c r="F62" s="3" t="n">
        <v>4.5</v>
      </c>
      <c r="G62" s="3" t="n">
        <v>6</v>
      </c>
      <c r="H62" s="3" t="n">
        <v>5.5</v>
      </c>
      <c r="I62" s="3" t="n">
        <v>2.5</v>
      </c>
      <c r="J62" s="3" t="n">
        <v>4.25</v>
      </c>
      <c r="K62" s="3" t="n">
        <v>5.25</v>
      </c>
      <c r="L62" s="3" t="n">
        <v>7.25</v>
      </c>
      <c r="M62" s="3" t="n">
        <v>8.25</v>
      </c>
      <c r="N62" s="3" t="n">
        <v>9.25</v>
      </c>
    </row>
    <row r="63">
      <c r="A63" s="3" t="inlineStr">
        <is>
          <t>20201562</t>
        </is>
      </c>
      <c r="B63" s="3" t="n">
        <v>7</v>
      </c>
      <c r="C63" s="3" t="inlineStr">
        <is>
          <t>Direct</t>
        </is>
      </c>
      <c r="D63" s="3" t="n">
        <v>2.714285714285714</v>
      </c>
      <c r="E63" s="3" t="n">
        <v>0</v>
      </c>
      <c r="F63" s="3" t="n">
        <v>2</v>
      </c>
      <c r="G63" s="3" t="n">
        <v>3.571428571428572</v>
      </c>
      <c r="H63" s="3" t="n">
        <v>3.142857142857143</v>
      </c>
      <c r="I63" s="3" t="n">
        <v>6.428571428571429</v>
      </c>
      <c r="J63" s="3" t="n">
        <v>5.571428571428571</v>
      </c>
      <c r="K63" s="3" t="n">
        <v>6.857142857142857</v>
      </c>
      <c r="L63" s="3" t="n">
        <v>6.714285714285714</v>
      </c>
      <c r="M63" s="3" t="n">
        <v>6.857142857142857</v>
      </c>
      <c r="N63" s="3" t="n">
        <v>5.714285714285714</v>
      </c>
    </row>
    <row r="64">
      <c r="A64" s="3" t="inlineStr">
        <is>
          <t>202015720</t>
        </is>
      </c>
      <c r="B64" s="3" t="n">
        <v>7</v>
      </c>
      <c r="C64" s="3" t="inlineStr">
        <is>
          <t>Direct</t>
        </is>
      </c>
      <c r="D64" s="3" t="n">
        <v>2.285714285714286</v>
      </c>
      <c r="E64" s="3" t="n">
        <v>0</v>
      </c>
      <c r="F64" s="3" t="n">
        <v>2</v>
      </c>
      <c r="G64" s="3" t="n">
        <v>1.571428571428571</v>
      </c>
      <c r="H64" s="3" t="n">
        <v>0.1428571428571428</v>
      </c>
      <c r="I64" s="3" t="n">
        <v>2.142857142857143</v>
      </c>
      <c r="J64" s="3" t="n">
        <v>0.8571428571428571</v>
      </c>
      <c r="K64" s="3" t="n">
        <v>2.142857142857143</v>
      </c>
      <c r="L64" s="3" t="n">
        <v>2.857142857142857</v>
      </c>
      <c r="M64" s="3" t="n">
        <v>2.142857142857143</v>
      </c>
      <c r="N64" s="3" t="n">
        <v>1.857142857142857</v>
      </c>
    </row>
    <row r="65">
      <c r="A65" s="3" t="inlineStr">
        <is>
          <t>202016404</t>
        </is>
      </c>
      <c r="B65" s="3" t="n">
        <v>7</v>
      </c>
      <c r="C65" s="3" t="inlineStr">
        <is>
          <t>Direct</t>
        </is>
      </c>
      <c r="D65" s="3" t="n">
        <v>4</v>
      </c>
      <c r="E65" s="3" t="n">
        <v>0</v>
      </c>
      <c r="F65" s="3" t="n">
        <v>1.285714285714286</v>
      </c>
      <c r="G65" s="3" t="n">
        <v>4.428571428571429</v>
      </c>
      <c r="H65" s="3" t="n">
        <v>1.714285714285714</v>
      </c>
      <c r="I65" s="3" t="n">
        <v>5.142857142857143</v>
      </c>
      <c r="J65" s="3" t="n">
        <v>5.285714285714286</v>
      </c>
      <c r="K65" s="3" t="n">
        <v>4.428571428571429</v>
      </c>
      <c r="L65" s="3" t="n">
        <v>5.571428571428571</v>
      </c>
      <c r="M65" s="3" t="n">
        <v>5.428571428571429</v>
      </c>
      <c r="N65" s="3" t="n">
        <v>5</v>
      </c>
    </row>
    <row r="66">
      <c r="A66" s="3" t="inlineStr">
        <is>
          <t>202016624</t>
        </is>
      </c>
      <c r="B66" s="3" t="n">
        <v>3</v>
      </c>
      <c r="C66" s="3" t="inlineStr">
        <is>
          <t>Direct</t>
        </is>
      </c>
      <c r="D66" s="3" t="n">
        <v>8.333333333333334</v>
      </c>
      <c r="E66" s="3" t="n">
        <v>0</v>
      </c>
      <c r="F66" s="3" t="n">
        <v>7.333333333333333</v>
      </c>
      <c r="G66" s="3" t="n">
        <v>7.333333333333333</v>
      </c>
      <c r="H66" s="3" t="n">
        <v>9</v>
      </c>
      <c r="I66" s="3" t="n">
        <v>9.666666666666666</v>
      </c>
      <c r="J66" s="3" t="n">
        <v>4</v>
      </c>
      <c r="K66" s="3" t="n">
        <v>9.666666666666666</v>
      </c>
      <c r="L66" s="3" t="n">
        <v>10</v>
      </c>
      <c r="M66" s="3" t="n">
        <v>9.333333333333334</v>
      </c>
      <c r="N66" s="3" t="n">
        <v>9.666666666666666</v>
      </c>
    </row>
    <row r="67">
      <c r="A67" s="3" t="inlineStr">
        <is>
          <t>202016988</t>
        </is>
      </c>
      <c r="B67" s="3" t="n">
        <v>1</v>
      </c>
      <c r="C67" s="3" t="inlineStr">
        <is>
          <t>Direct</t>
        </is>
      </c>
      <c r="D67" s="3" t="n">
        <v>0</v>
      </c>
      <c r="E67" s="3" t="n">
        <v>0</v>
      </c>
      <c r="F67" s="3" t="n">
        <v>0</v>
      </c>
      <c r="G67" s="3" t="n">
        <v>0</v>
      </c>
      <c r="H67" s="3" t="n">
        <v>0</v>
      </c>
      <c r="I67" s="3" t="n">
        <v>0</v>
      </c>
      <c r="J67" s="3" t="n">
        <v>0</v>
      </c>
      <c r="K67" s="3" t="n">
        <v>0</v>
      </c>
      <c r="L67" s="3" t="n">
        <v>0</v>
      </c>
      <c r="M67" s="3" t="n">
        <v>0</v>
      </c>
      <c r="N67" s="3" t="n">
        <v>0</v>
      </c>
    </row>
    <row r="68">
      <c r="A68" s="3" t="inlineStr">
        <is>
          <t>202017577</t>
        </is>
      </c>
      <c r="B68" s="3" t="n">
        <v>6</v>
      </c>
      <c r="C68" s="3" t="inlineStr">
        <is>
          <t>Direct</t>
        </is>
      </c>
      <c r="D68" s="3" t="n">
        <v>1.666666666666667</v>
      </c>
      <c r="E68" s="3" t="n">
        <v>0</v>
      </c>
      <c r="F68" s="3" t="n">
        <v>1.833333333333333</v>
      </c>
      <c r="G68" s="3" t="n">
        <v>1.666666666666667</v>
      </c>
      <c r="H68" s="3" t="n">
        <v>1.666666666666667</v>
      </c>
      <c r="I68" s="3" t="n">
        <v>1.5</v>
      </c>
      <c r="J68" s="3" t="n">
        <v>1.5</v>
      </c>
      <c r="K68" s="3" t="n">
        <v>1.5</v>
      </c>
      <c r="L68" s="3" t="n">
        <v>1.5</v>
      </c>
      <c r="M68" s="3" t="n">
        <v>1.5</v>
      </c>
      <c r="N68" s="3" t="n">
        <v>1.666666666666667</v>
      </c>
    </row>
    <row r="69">
      <c r="A69" s="3" t="inlineStr">
        <is>
          <t>202017667</t>
        </is>
      </c>
      <c r="B69" s="3" t="n">
        <v>2</v>
      </c>
      <c r="C69" s="3" t="inlineStr">
        <is>
          <t>Direct</t>
        </is>
      </c>
      <c r="D69" s="3" t="n">
        <v>1</v>
      </c>
      <c r="E69" s="3" t="n">
        <v>0</v>
      </c>
      <c r="F69" s="3" t="n">
        <v>1.5</v>
      </c>
      <c r="G69" s="3" t="n">
        <v>0.5</v>
      </c>
      <c r="H69" s="3" t="n">
        <v>0.5</v>
      </c>
      <c r="I69" s="3" t="n">
        <v>0</v>
      </c>
      <c r="J69" s="3" t="n">
        <v>0</v>
      </c>
      <c r="K69" s="3" t="n">
        <v>0</v>
      </c>
      <c r="L69" s="3" t="n">
        <v>0</v>
      </c>
      <c r="M69" s="3" t="n">
        <v>0.5</v>
      </c>
      <c r="N69" s="3" t="n">
        <v>0</v>
      </c>
    </row>
    <row r="70">
      <c r="A70" s="3" t="inlineStr">
        <is>
          <t>202017774</t>
        </is>
      </c>
      <c r="B70" s="3" t="n">
        <v>7</v>
      </c>
      <c r="C70" s="3" t="inlineStr">
        <is>
          <t>Direct</t>
        </is>
      </c>
      <c r="D70" s="3" t="n">
        <v>7.571428571428571</v>
      </c>
      <c r="E70" s="3" t="n">
        <v>0</v>
      </c>
      <c r="F70" s="3" t="n">
        <v>7.285714285714286</v>
      </c>
      <c r="G70" s="3" t="n">
        <v>6.571428571428571</v>
      </c>
      <c r="H70" s="3" t="n">
        <v>6</v>
      </c>
      <c r="I70" s="3" t="n">
        <v>8.285714285714286</v>
      </c>
      <c r="J70" s="3" t="n">
        <v>7.714285714285714</v>
      </c>
      <c r="K70" s="3" t="n">
        <v>7.571428571428571</v>
      </c>
      <c r="L70" s="3" t="n">
        <v>7.571428571428571</v>
      </c>
      <c r="M70" s="3" t="n">
        <v>7.285714285714286</v>
      </c>
      <c r="N70" s="3" t="n">
        <v>6.428571428571429</v>
      </c>
    </row>
    <row r="71">
      <c r="A71" s="3" t="inlineStr">
        <is>
          <t>202018122</t>
        </is>
      </c>
      <c r="B71" s="3" t="n">
        <v>4</v>
      </c>
      <c r="C71" s="3" t="inlineStr">
        <is>
          <t>Direct</t>
        </is>
      </c>
      <c r="D71" s="3" t="n">
        <v>1</v>
      </c>
      <c r="E71" s="3" t="n">
        <v>0</v>
      </c>
      <c r="F71" s="3" t="n">
        <v>2</v>
      </c>
      <c r="G71" s="3" t="n">
        <v>4.25</v>
      </c>
      <c r="H71" s="3" t="n">
        <v>4.5</v>
      </c>
      <c r="I71" s="3" t="n">
        <v>2</v>
      </c>
      <c r="J71" s="3" t="n">
        <v>0</v>
      </c>
      <c r="K71" s="3" t="n">
        <v>0.25</v>
      </c>
      <c r="L71" s="3" t="n">
        <v>0</v>
      </c>
      <c r="M71" s="3" t="n">
        <v>0</v>
      </c>
      <c r="N71" s="3" t="n">
        <v>0</v>
      </c>
    </row>
    <row r="72">
      <c r="A72" s="3" t="inlineStr">
        <is>
          <t>202018367</t>
        </is>
      </c>
      <c r="B72" s="3" t="n">
        <v>5</v>
      </c>
      <c r="C72" s="3" t="inlineStr">
        <is>
          <t>Direct</t>
        </is>
      </c>
      <c r="D72" s="3" t="n">
        <v>0.6</v>
      </c>
      <c r="E72" s="3" t="n">
        <v>0</v>
      </c>
      <c r="F72" s="3" t="n">
        <v>2.2</v>
      </c>
      <c r="G72" s="3" t="n">
        <v>1.8</v>
      </c>
      <c r="H72" s="3" t="n">
        <v>2.4</v>
      </c>
      <c r="I72" s="3" t="n">
        <v>0.6</v>
      </c>
      <c r="J72" s="3" t="n">
        <v>0.6</v>
      </c>
      <c r="K72" s="3" t="n">
        <v>0.8</v>
      </c>
      <c r="L72" s="3" t="n">
        <v>0.2</v>
      </c>
      <c r="M72" s="3" t="n">
        <v>6</v>
      </c>
      <c r="N72" s="3" t="n">
        <v>1.8</v>
      </c>
    </row>
    <row r="73">
      <c r="A73" s="3" t="inlineStr">
        <is>
          <t>202018490</t>
        </is>
      </c>
      <c r="B73" s="3" t="n">
        <v>1</v>
      </c>
      <c r="C73" s="3" t="inlineStr">
        <is>
          <t>Direct</t>
        </is>
      </c>
      <c r="D73" s="3" t="n">
        <v>2</v>
      </c>
      <c r="E73" s="3" t="n">
        <v>0</v>
      </c>
      <c r="F73" s="3" t="n">
        <v>5</v>
      </c>
      <c r="G73" s="3" t="n">
        <v>5</v>
      </c>
      <c r="H73" s="3" t="n">
        <v>6</v>
      </c>
      <c r="I73" s="3" t="n">
        <v>6</v>
      </c>
      <c r="J73" s="3" t="n">
        <v>6</v>
      </c>
      <c r="K73" s="3" t="n">
        <v>8</v>
      </c>
      <c r="L73" s="3" t="n">
        <v>5</v>
      </c>
      <c r="M73" s="3" t="n">
        <v>7</v>
      </c>
      <c r="N73" s="3" t="n">
        <v>6</v>
      </c>
    </row>
    <row r="74">
      <c r="A74" s="3" t="inlineStr">
        <is>
          <t>202018871</t>
        </is>
      </c>
      <c r="B74" s="3" t="n">
        <v>10</v>
      </c>
      <c r="C74" s="3" t="inlineStr">
        <is>
          <t>Direct</t>
        </is>
      </c>
      <c r="D74" s="3" t="n">
        <v>3.1</v>
      </c>
      <c r="E74" s="3" t="n">
        <v>0</v>
      </c>
      <c r="F74" s="3" t="n">
        <v>2.8</v>
      </c>
      <c r="G74" s="3" t="n">
        <v>2.7</v>
      </c>
      <c r="H74" s="3" t="n">
        <v>2.2</v>
      </c>
      <c r="I74" s="3" t="n">
        <v>5.4</v>
      </c>
      <c r="J74" s="3" t="n">
        <v>4.7</v>
      </c>
      <c r="K74" s="3" t="n">
        <v>5</v>
      </c>
      <c r="L74" s="3" t="n">
        <v>6.6</v>
      </c>
      <c r="M74" s="3" t="n">
        <v>6.5</v>
      </c>
      <c r="N74" s="3" t="n">
        <v>5.2</v>
      </c>
    </row>
    <row r="75">
      <c r="A75" s="3" t="inlineStr">
        <is>
          <t>202018929</t>
        </is>
      </c>
      <c r="B75" s="3" t="n">
        <v>8</v>
      </c>
      <c r="C75" s="3" t="inlineStr">
        <is>
          <t>Direct</t>
        </is>
      </c>
      <c r="D75" s="3" t="n">
        <v>4.375</v>
      </c>
      <c r="E75" s="3" t="n">
        <v>0</v>
      </c>
      <c r="F75" s="3" t="n">
        <v>3.5</v>
      </c>
      <c r="G75" s="3" t="n">
        <v>4.125</v>
      </c>
      <c r="H75" s="3" t="n">
        <v>3.875</v>
      </c>
      <c r="I75" s="3" t="n">
        <v>5</v>
      </c>
      <c r="J75" s="3" t="n">
        <v>5.375</v>
      </c>
      <c r="K75" s="3" t="n">
        <v>5.125</v>
      </c>
      <c r="L75" s="3" t="n">
        <v>4.25</v>
      </c>
      <c r="M75" s="3" t="n">
        <v>4.625</v>
      </c>
      <c r="N75" s="3" t="n">
        <v>4.75</v>
      </c>
    </row>
    <row r="76">
      <c r="A76" s="3" t="inlineStr">
        <is>
          <t>202019132</t>
        </is>
      </c>
      <c r="B76" s="3" t="n">
        <v>9</v>
      </c>
      <c r="C76" s="3" t="inlineStr">
        <is>
          <t>Direct</t>
        </is>
      </c>
      <c r="D76" s="3" t="n">
        <v>7</v>
      </c>
      <c r="E76" s="3" t="n">
        <v>0</v>
      </c>
      <c r="F76" s="3" t="n">
        <v>5.444444444444445</v>
      </c>
      <c r="G76" s="3" t="n">
        <v>4.666666666666667</v>
      </c>
      <c r="H76" s="3" t="n">
        <v>4.666666666666667</v>
      </c>
      <c r="I76" s="3" t="n">
        <v>5.777777777777778</v>
      </c>
      <c r="J76" s="3" t="n">
        <v>2.666666666666667</v>
      </c>
      <c r="K76" s="3" t="n">
        <v>3.555555555555555</v>
      </c>
      <c r="L76" s="3" t="n">
        <v>5.333333333333333</v>
      </c>
      <c r="M76" s="3" t="n">
        <v>6.555555555555555</v>
      </c>
      <c r="N76" s="3" t="n">
        <v>3.888888888888889</v>
      </c>
    </row>
    <row r="77">
      <c r="A77" s="3" t="inlineStr">
        <is>
          <t>202019315</t>
        </is>
      </c>
      <c r="B77" s="3" t="n">
        <v>10</v>
      </c>
      <c r="C77" s="3" t="inlineStr">
        <is>
          <t>Direct</t>
        </is>
      </c>
      <c r="D77" s="3" t="n">
        <v>2.3</v>
      </c>
      <c r="E77" s="3" t="n">
        <v>0</v>
      </c>
      <c r="F77" s="3" t="n">
        <v>2.4</v>
      </c>
      <c r="G77" s="3" t="n">
        <v>4</v>
      </c>
      <c r="H77" s="3" t="n">
        <v>3</v>
      </c>
      <c r="I77" s="3" t="n">
        <v>3.2</v>
      </c>
      <c r="J77" s="3" t="n">
        <v>4.1</v>
      </c>
      <c r="K77" s="3" t="n">
        <v>3.3</v>
      </c>
      <c r="L77" s="3" t="n">
        <v>3.8</v>
      </c>
      <c r="M77" s="3" t="n">
        <v>3.7</v>
      </c>
      <c r="N77" s="3" t="n">
        <v>3.6</v>
      </c>
    </row>
    <row r="78">
      <c r="A78" s="3" t="inlineStr">
        <is>
          <t>202019316</t>
        </is>
      </c>
      <c r="B78" s="3" t="n">
        <v>6</v>
      </c>
      <c r="C78" s="3" t="inlineStr">
        <is>
          <t>RQ</t>
        </is>
      </c>
      <c r="D78" s="3" t="n">
        <v>6.833333333333333</v>
      </c>
      <c r="E78" s="3" t="n">
        <v>0</v>
      </c>
      <c r="F78" s="3" t="n">
        <v>4</v>
      </c>
      <c r="G78" s="3" t="n">
        <v>1</v>
      </c>
      <c r="H78" s="3" t="n">
        <v>1</v>
      </c>
      <c r="I78" s="3" t="n">
        <v>5.166666666666667</v>
      </c>
      <c r="J78" s="3" t="n">
        <v>4.666666666666667</v>
      </c>
      <c r="K78" s="3" t="n">
        <v>5.333333333333333</v>
      </c>
      <c r="L78" s="3" t="n">
        <v>5.666666666666667</v>
      </c>
      <c r="M78" s="3" t="n">
        <v>6.166666666666667</v>
      </c>
      <c r="N78" s="3" t="n">
        <v>5.666666666666667</v>
      </c>
    </row>
    <row r="79">
      <c r="A79" s="3" t="inlineStr">
        <is>
          <t>202019601</t>
        </is>
      </c>
      <c r="B79" s="3" t="n">
        <v>7</v>
      </c>
      <c r="C79" s="3" t="inlineStr">
        <is>
          <t>Direct</t>
        </is>
      </c>
      <c r="D79" s="3" t="n">
        <v>4.142857142857143</v>
      </c>
      <c r="E79" s="3" t="n">
        <v>0</v>
      </c>
      <c r="F79" s="3" t="n">
        <v>4.285714285714286</v>
      </c>
      <c r="G79" s="3" t="n">
        <v>5.142857142857143</v>
      </c>
      <c r="H79" s="3" t="n">
        <v>6</v>
      </c>
      <c r="I79" s="3" t="n">
        <v>5.857142857142857</v>
      </c>
      <c r="J79" s="3" t="n">
        <v>4.714285714285714</v>
      </c>
      <c r="K79" s="3" t="n">
        <v>3.714285714285714</v>
      </c>
      <c r="L79" s="3" t="n">
        <v>6.714285714285714</v>
      </c>
      <c r="M79" s="3" t="n">
        <v>6.428571428571429</v>
      </c>
      <c r="N79" s="3" t="n">
        <v>5.571428571428571</v>
      </c>
    </row>
    <row r="80">
      <c r="A80" s="3" t="inlineStr">
        <is>
          <t>202019914</t>
        </is>
      </c>
      <c r="B80" s="3" t="n">
        <v>7</v>
      </c>
      <c r="C80" s="3" t="inlineStr">
        <is>
          <t>Direct</t>
        </is>
      </c>
      <c r="D80" s="3" t="n">
        <v>5.428571428571429</v>
      </c>
      <c r="E80" s="3" t="n">
        <v>0</v>
      </c>
      <c r="F80" s="3" t="n">
        <v>3.428571428571428</v>
      </c>
      <c r="G80" s="3" t="n">
        <v>5.857142857142857</v>
      </c>
      <c r="H80" s="3" t="n">
        <v>5.714285714285714</v>
      </c>
      <c r="I80" s="3" t="n">
        <v>4.714285714285714</v>
      </c>
      <c r="J80" s="3" t="n">
        <v>3.714285714285714</v>
      </c>
      <c r="K80" s="3" t="n">
        <v>3.571428571428572</v>
      </c>
      <c r="L80" s="3" t="n">
        <v>4</v>
      </c>
      <c r="M80" s="3" t="n">
        <v>4.142857142857143</v>
      </c>
      <c r="N80" s="3" t="n">
        <v>3.714285714285714</v>
      </c>
    </row>
    <row r="81">
      <c r="A81" s="3" t="inlineStr">
        <is>
          <t>20202019</t>
        </is>
      </c>
      <c r="B81" s="3" t="n">
        <v>4</v>
      </c>
      <c r="C81" s="3" t="inlineStr">
        <is>
          <t>Direct</t>
        </is>
      </c>
      <c r="D81" s="3" t="n">
        <v>4.25</v>
      </c>
      <c r="E81" s="3" t="n">
        <v>0</v>
      </c>
      <c r="F81" s="3" t="n">
        <v>3.75</v>
      </c>
      <c r="G81" s="3" t="n">
        <v>4.25</v>
      </c>
      <c r="H81" s="3" t="n">
        <v>2</v>
      </c>
      <c r="I81" s="3" t="n">
        <v>3.75</v>
      </c>
      <c r="J81" s="3" t="n">
        <v>6.25</v>
      </c>
      <c r="K81" s="3" t="n">
        <v>3</v>
      </c>
      <c r="L81" s="3" t="n">
        <v>7</v>
      </c>
      <c r="M81" s="3" t="n">
        <v>5</v>
      </c>
      <c r="N81" s="3" t="n">
        <v>8.25</v>
      </c>
    </row>
    <row r="82">
      <c r="A82" s="3" t="inlineStr">
        <is>
          <t>202020568</t>
        </is>
      </c>
      <c r="B82" s="3" t="n">
        <v>6</v>
      </c>
      <c r="C82" s="3" t="inlineStr">
        <is>
          <t>RQ</t>
        </is>
      </c>
      <c r="D82" s="3" t="n">
        <v>3.5</v>
      </c>
      <c r="E82" s="3" t="n">
        <v>0</v>
      </c>
      <c r="F82" s="3" t="n">
        <v>4</v>
      </c>
      <c r="G82" s="3" t="n">
        <v>4.666666666666667</v>
      </c>
      <c r="H82" s="3" t="n">
        <v>3.666666666666667</v>
      </c>
      <c r="I82" s="3" t="n">
        <v>3</v>
      </c>
      <c r="J82" s="3" t="n">
        <v>4.5</v>
      </c>
      <c r="K82" s="3" t="n">
        <v>5.166666666666667</v>
      </c>
      <c r="L82" s="3" t="n">
        <v>5.666666666666667</v>
      </c>
      <c r="M82" s="3" t="n">
        <v>6.5</v>
      </c>
      <c r="N82" s="3" t="n">
        <v>4.5</v>
      </c>
    </row>
    <row r="83">
      <c r="A83" s="3" t="inlineStr">
        <is>
          <t>202020885</t>
        </is>
      </c>
      <c r="B83" s="3" t="n">
        <v>4</v>
      </c>
      <c r="C83" s="3" t="inlineStr">
        <is>
          <t>Direct</t>
        </is>
      </c>
      <c r="D83" s="3" t="n">
        <v>4</v>
      </c>
      <c r="E83" s="3" t="n">
        <v>0</v>
      </c>
      <c r="F83" s="3" t="n">
        <v>0</v>
      </c>
      <c r="G83" s="3" t="n">
        <v>1.75</v>
      </c>
      <c r="H83" s="3" t="n">
        <v>0.5</v>
      </c>
      <c r="I83" s="3" t="n">
        <v>3.25</v>
      </c>
      <c r="J83" s="3" t="n">
        <v>2.5</v>
      </c>
      <c r="K83" s="3" t="n">
        <v>2.5</v>
      </c>
      <c r="L83" s="3" t="n">
        <v>2.75</v>
      </c>
      <c r="M83" s="3" t="n">
        <v>2.5</v>
      </c>
      <c r="N83" s="3" t="n">
        <v>2.5</v>
      </c>
    </row>
    <row r="84">
      <c r="A84" s="3" t="inlineStr">
        <is>
          <t>202021354</t>
        </is>
      </c>
      <c r="B84" s="3" t="n">
        <v>3</v>
      </c>
      <c r="C84" s="3" t="inlineStr">
        <is>
          <t>Direct</t>
        </is>
      </c>
      <c r="D84" s="3" t="n">
        <v>4.333333333333333</v>
      </c>
      <c r="E84" s="3" t="n">
        <v>0</v>
      </c>
      <c r="F84" s="3" t="n">
        <v>2</v>
      </c>
      <c r="G84" s="3" t="n">
        <v>3</v>
      </c>
      <c r="H84" s="3" t="n">
        <v>3</v>
      </c>
      <c r="I84" s="3" t="n">
        <v>0</v>
      </c>
      <c r="J84" s="3" t="n">
        <v>0</v>
      </c>
      <c r="K84" s="3" t="n">
        <v>2.333333333333333</v>
      </c>
      <c r="L84" s="3" t="n">
        <v>3.666666666666667</v>
      </c>
      <c r="M84" s="3" t="n">
        <v>4.333333333333333</v>
      </c>
      <c r="N84" s="3" t="n">
        <v>1.666666666666667</v>
      </c>
    </row>
    <row r="85">
      <c r="A85" s="3" t="inlineStr">
        <is>
          <t>202021439</t>
        </is>
      </c>
      <c r="B85" s="3" t="n">
        <v>3</v>
      </c>
      <c r="C85" s="3" t="inlineStr">
        <is>
          <t>Direct</t>
        </is>
      </c>
      <c r="D85" s="3" t="n">
        <v>1.333333333333333</v>
      </c>
      <c r="E85" s="3" t="n">
        <v>0</v>
      </c>
      <c r="F85" s="3" t="n">
        <v>1.333333333333333</v>
      </c>
      <c r="G85" s="3" t="n">
        <v>0.3333333333333333</v>
      </c>
      <c r="H85" s="3" t="n">
        <v>2</v>
      </c>
      <c r="I85" s="3" t="n">
        <v>0.3333333333333333</v>
      </c>
      <c r="J85" s="3" t="n">
        <v>1</v>
      </c>
      <c r="K85" s="3" t="n">
        <v>0.3333333333333333</v>
      </c>
      <c r="L85" s="3" t="n">
        <v>3</v>
      </c>
      <c r="M85" s="3" t="n">
        <v>1.333333333333333</v>
      </c>
      <c r="N85" s="3" t="n">
        <v>3</v>
      </c>
    </row>
    <row r="86">
      <c r="A86" s="3" t="inlineStr">
        <is>
          <t>202021658</t>
        </is>
      </c>
      <c r="B86" s="3" t="n">
        <v>2</v>
      </c>
      <c r="C86" s="3" t="inlineStr">
        <is>
          <t>Direct</t>
        </is>
      </c>
      <c r="D86" s="3" t="n">
        <v>7</v>
      </c>
      <c r="E86" s="3" t="n">
        <v>0</v>
      </c>
      <c r="F86" s="3" t="n">
        <v>3</v>
      </c>
      <c r="G86" s="3" t="n">
        <v>4.5</v>
      </c>
      <c r="H86" s="3" t="n">
        <v>3.5</v>
      </c>
      <c r="I86" s="3" t="n">
        <v>0</v>
      </c>
      <c r="J86" s="3" t="n">
        <v>3</v>
      </c>
      <c r="K86" s="3" t="n">
        <v>4</v>
      </c>
      <c r="L86" s="3" t="n">
        <v>8.5</v>
      </c>
      <c r="M86" s="3" t="n">
        <v>7</v>
      </c>
      <c r="N86" s="3" t="n">
        <v>5</v>
      </c>
    </row>
    <row r="87">
      <c r="A87" s="3" t="inlineStr">
        <is>
          <t>202021825</t>
        </is>
      </c>
      <c r="B87" s="3" t="n">
        <v>6</v>
      </c>
      <c r="C87" s="3" t="inlineStr">
        <is>
          <t>Direct</t>
        </is>
      </c>
      <c r="D87" s="3" t="n">
        <v>4</v>
      </c>
      <c r="E87" s="3" t="n">
        <v>0</v>
      </c>
      <c r="F87" s="3" t="n">
        <v>1.833333333333333</v>
      </c>
      <c r="G87" s="3" t="n">
        <v>2.333333333333333</v>
      </c>
      <c r="H87" s="3" t="n">
        <v>1.666666666666667</v>
      </c>
      <c r="I87" s="3" t="n">
        <v>3.833333333333333</v>
      </c>
      <c r="J87" s="3" t="n">
        <v>3.333333333333333</v>
      </c>
      <c r="K87" s="3" t="n">
        <v>3.666666666666667</v>
      </c>
      <c r="L87" s="3" t="n">
        <v>3.333333333333333</v>
      </c>
      <c r="M87" s="3" t="n">
        <v>3.166666666666667</v>
      </c>
      <c r="N87" s="3" t="n">
        <v>2.833333333333333</v>
      </c>
    </row>
    <row r="88">
      <c r="A88" s="3" t="inlineStr">
        <is>
          <t>202022028</t>
        </is>
      </c>
      <c r="B88" s="3" t="n">
        <v>10</v>
      </c>
      <c r="C88" s="3" t="inlineStr">
        <is>
          <t>RQ</t>
        </is>
      </c>
      <c r="D88" s="3" t="n">
        <v>4.2</v>
      </c>
      <c r="E88" s="3" t="n">
        <v>0</v>
      </c>
      <c r="F88" s="3" t="n">
        <v>3.1</v>
      </c>
      <c r="G88" s="3" t="n">
        <v>2.5</v>
      </c>
      <c r="H88" s="3" t="n">
        <v>2.4</v>
      </c>
      <c r="I88" s="3" t="n">
        <v>2.5</v>
      </c>
      <c r="J88" s="3" t="n">
        <v>3.3</v>
      </c>
      <c r="K88" s="3" t="n">
        <v>3.2</v>
      </c>
      <c r="L88" s="3" t="n">
        <v>5.8</v>
      </c>
      <c r="M88" s="3" t="n">
        <v>2.4</v>
      </c>
      <c r="N88" s="3" t="n">
        <v>3.2</v>
      </c>
    </row>
    <row r="89">
      <c r="A89" s="3" t="inlineStr">
        <is>
          <t>202022055</t>
        </is>
      </c>
      <c r="B89" s="3" t="n">
        <v>10</v>
      </c>
      <c r="C89" s="3" t="inlineStr">
        <is>
          <t>Direct</t>
        </is>
      </c>
      <c r="D89" s="3" t="n">
        <v>3.1</v>
      </c>
      <c r="E89" s="3" t="n">
        <v>0</v>
      </c>
      <c r="F89" s="3" t="n">
        <v>1</v>
      </c>
      <c r="G89" s="3" t="n">
        <v>0.8</v>
      </c>
      <c r="H89" s="3" t="n">
        <v>1</v>
      </c>
      <c r="I89" s="3" t="n">
        <v>0.5</v>
      </c>
      <c r="J89" s="3" t="n">
        <v>1.3</v>
      </c>
      <c r="K89" s="3" t="n">
        <v>0.6</v>
      </c>
      <c r="L89" s="3" t="n">
        <v>0.7</v>
      </c>
      <c r="M89" s="3" t="n">
        <v>4.5</v>
      </c>
      <c r="N89" s="3" t="n">
        <v>0</v>
      </c>
    </row>
    <row r="90">
      <c r="A90" s="3" t="inlineStr">
        <is>
          <t>202022228</t>
        </is>
      </c>
      <c r="B90" s="3" t="n">
        <v>7</v>
      </c>
      <c r="C90" s="3" t="inlineStr">
        <is>
          <t>Direct</t>
        </is>
      </c>
      <c r="D90" s="3" t="n">
        <v>6.428571428571429</v>
      </c>
      <c r="E90" s="3" t="n">
        <v>0</v>
      </c>
      <c r="F90" s="3" t="n">
        <v>3.142857142857143</v>
      </c>
      <c r="G90" s="3" t="n">
        <v>4.142857142857143</v>
      </c>
      <c r="H90" s="3" t="n">
        <v>4.571428571428571</v>
      </c>
      <c r="I90" s="3" t="n">
        <v>5.285714285714286</v>
      </c>
      <c r="J90" s="3" t="n">
        <v>5.714285714285714</v>
      </c>
      <c r="K90" s="3" t="n">
        <v>4.428571428571429</v>
      </c>
      <c r="L90" s="3" t="n">
        <v>7.142857142857143</v>
      </c>
      <c r="M90" s="3" t="n">
        <v>6.714285714285714</v>
      </c>
      <c r="N90" s="3" t="n">
        <v>5.714285714285714</v>
      </c>
    </row>
    <row r="91">
      <c r="A91" s="3" t="inlineStr">
        <is>
          <t>202022401</t>
        </is>
      </c>
      <c r="B91" s="3" t="n">
        <v>3</v>
      </c>
      <c r="C91" s="3" t="inlineStr">
        <is>
          <t>Direct</t>
        </is>
      </c>
      <c r="D91" s="3" t="n">
        <v>1.333333333333333</v>
      </c>
      <c r="E91" s="3" t="n">
        <v>0</v>
      </c>
      <c r="F91" s="3" t="n">
        <v>3</v>
      </c>
      <c r="G91" s="3" t="n">
        <v>3</v>
      </c>
      <c r="H91" s="3" t="n">
        <v>1</v>
      </c>
      <c r="I91" s="3" t="n">
        <v>1.666666666666667</v>
      </c>
      <c r="J91" s="3" t="n">
        <v>2.333333333333333</v>
      </c>
      <c r="K91" s="3" t="n">
        <v>1</v>
      </c>
      <c r="L91" s="3" t="n">
        <v>3</v>
      </c>
      <c r="M91" s="3" t="n">
        <v>3</v>
      </c>
      <c r="N91" s="3" t="n">
        <v>3</v>
      </c>
    </row>
    <row r="92">
      <c r="A92" s="3" t="inlineStr">
        <is>
          <t>202022587</t>
        </is>
      </c>
      <c r="B92" s="3" t="n">
        <v>9</v>
      </c>
      <c r="C92" s="3" t="inlineStr">
        <is>
          <t>Direct</t>
        </is>
      </c>
      <c r="D92" s="3" t="n">
        <v>5.222222222222222</v>
      </c>
      <c r="E92" s="3" t="n">
        <v>0</v>
      </c>
      <c r="F92" s="3" t="n">
        <v>3.666666666666667</v>
      </c>
      <c r="G92" s="3" t="n">
        <v>4.222222222222222</v>
      </c>
      <c r="H92" s="3" t="n">
        <v>4.555555555555555</v>
      </c>
      <c r="I92" s="3" t="n">
        <v>6.333333333333333</v>
      </c>
      <c r="J92" s="3" t="n">
        <v>6.444444444444445</v>
      </c>
      <c r="K92" s="3" t="n">
        <v>7</v>
      </c>
      <c r="L92" s="3" t="n">
        <v>5.777777777777778</v>
      </c>
      <c r="M92" s="3" t="n">
        <v>6.333333333333333</v>
      </c>
      <c r="N92" s="3" t="n">
        <v>6</v>
      </c>
    </row>
    <row r="93">
      <c r="A93" s="3" t="inlineStr">
        <is>
          <t>202022712</t>
        </is>
      </c>
      <c r="B93" s="3" t="n">
        <v>6</v>
      </c>
      <c r="C93" s="3" t="inlineStr">
        <is>
          <t>Direct</t>
        </is>
      </c>
      <c r="D93" s="3" t="n">
        <v>4.833333333333333</v>
      </c>
      <c r="E93" s="3" t="n">
        <v>0</v>
      </c>
      <c r="F93" s="3" t="n">
        <v>2.833333333333333</v>
      </c>
      <c r="G93" s="3" t="n">
        <v>5.5</v>
      </c>
      <c r="H93" s="3" t="n">
        <v>2.666666666666667</v>
      </c>
      <c r="I93" s="3" t="n">
        <v>1.166666666666667</v>
      </c>
      <c r="J93" s="3" t="n">
        <v>0.6666666666666666</v>
      </c>
      <c r="K93" s="3" t="n">
        <v>7</v>
      </c>
      <c r="L93" s="3" t="n">
        <v>6.5</v>
      </c>
      <c r="M93" s="3" t="n">
        <v>8</v>
      </c>
      <c r="N93" s="3" t="n">
        <v>2.666666666666667</v>
      </c>
    </row>
    <row r="94">
      <c r="A94" s="3" t="inlineStr">
        <is>
          <t>202022944</t>
        </is>
      </c>
      <c r="B94" s="3" t="n">
        <v>4</v>
      </c>
      <c r="C94" s="3" t="inlineStr">
        <is>
          <t>Direct</t>
        </is>
      </c>
      <c r="D94" s="3" t="n">
        <v>2.75</v>
      </c>
      <c r="E94" s="3" t="n">
        <v>0</v>
      </c>
      <c r="F94" s="3" t="n">
        <v>2.25</v>
      </c>
      <c r="G94" s="3" t="n">
        <v>2.25</v>
      </c>
      <c r="H94" s="3" t="n">
        <v>1.5</v>
      </c>
      <c r="I94" s="3" t="n">
        <v>2.5</v>
      </c>
      <c r="J94" s="3" t="n">
        <v>1.5</v>
      </c>
      <c r="K94" s="3" t="n">
        <v>2.5</v>
      </c>
      <c r="L94" s="3" t="n">
        <v>2.75</v>
      </c>
      <c r="M94" s="3" t="n">
        <v>2.5</v>
      </c>
      <c r="N94" s="3" t="n">
        <v>3.5</v>
      </c>
    </row>
    <row r="95">
      <c r="A95" s="3" t="inlineStr">
        <is>
          <t>202022950</t>
        </is>
      </c>
      <c r="B95" s="3" t="n">
        <v>9</v>
      </c>
      <c r="C95" s="3" t="inlineStr">
        <is>
          <t>Direct</t>
        </is>
      </c>
      <c r="D95" s="3" t="n">
        <v>5.777777777777778</v>
      </c>
      <c r="E95" s="3" t="n">
        <v>0</v>
      </c>
      <c r="F95" s="3" t="n">
        <v>2.444444444444445</v>
      </c>
      <c r="G95" s="3" t="n">
        <v>4.888888888888889</v>
      </c>
      <c r="H95" s="3" t="n">
        <v>3</v>
      </c>
      <c r="I95" s="3" t="n">
        <v>3.111111111111111</v>
      </c>
      <c r="J95" s="3" t="n">
        <v>4.666666666666667</v>
      </c>
      <c r="K95" s="3" t="n">
        <v>4</v>
      </c>
      <c r="L95" s="3" t="n">
        <v>6</v>
      </c>
      <c r="M95" s="3" t="n">
        <v>2.444444444444445</v>
      </c>
      <c r="N95" s="3" t="n">
        <v>6.666666666666667</v>
      </c>
    </row>
    <row r="96">
      <c r="A96" s="3" t="inlineStr">
        <is>
          <t>202023046</t>
        </is>
      </c>
      <c r="B96" s="3" t="n">
        <v>6</v>
      </c>
      <c r="C96" s="3" t="inlineStr">
        <is>
          <t>Direct</t>
        </is>
      </c>
      <c r="D96" s="3" t="n">
        <v>4.166666666666667</v>
      </c>
      <c r="E96" s="3" t="n">
        <v>0</v>
      </c>
      <c r="F96" s="3" t="n">
        <v>2.333333333333333</v>
      </c>
      <c r="G96" s="3" t="n">
        <v>2.5</v>
      </c>
      <c r="H96" s="3" t="n">
        <v>0.8333333333333334</v>
      </c>
      <c r="I96" s="3" t="n">
        <v>0.3333333333333333</v>
      </c>
      <c r="J96" s="3" t="n">
        <v>7.166666666666667</v>
      </c>
      <c r="K96" s="3" t="n">
        <v>8</v>
      </c>
      <c r="L96" s="3" t="n">
        <v>8.166666666666666</v>
      </c>
      <c r="M96" s="3" t="n">
        <v>8.166666666666666</v>
      </c>
      <c r="N96" s="3" t="n">
        <v>9</v>
      </c>
    </row>
    <row r="97">
      <c r="A97" s="3" t="inlineStr">
        <is>
          <t>202023408</t>
        </is>
      </c>
      <c r="B97" s="3" t="n">
        <v>8</v>
      </c>
      <c r="C97" s="3" t="inlineStr">
        <is>
          <t>Direct</t>
        </is>
      </c>
      <c r="D97" s="3" t="n">
        <v>3.375</v>
      </c>
      <c r="E97" s="3" t="n">
        <v>0</v>
      </c>
      <c r="F97" s="3" t="n">
        <v>1.5</v>
      </c>
      <c r="G97" s="3" t="n">
        <v>3.375</v>
      </c>
      <c r="H97" s="3" t="n">
        <v>2.75</v>
      </c>
      <c r="I97" s="3" t="n">
        <v>1.25</v>
      </c>
      <c r="J97" s="3" t="n">
        <v>1.25</v>
      </c>
      <c r="K97" s="3" t="n">
        <v>2</v>
      </c>
      <c r="L97" s="3" t="n">
        <v>2.125</v>
      </c>
      <c r="M97" s="3" t="n">
        <v>0.75</v>
      </c>
      <c r="N97" s="3" t="n">
        <v>1.625</v>
      </c>
    </row>
    <row r="98">
      <c r="A98" s="3" t="inlineStr">
        <is>
          <t>202023790</t>
        </is>
      </c>
      <c r="B98" s="3" t="n">
        <v>7</v>
      </c>
      <c r="C98" s="3" t="inlineStr">
        <is>
          <t>RQ</t>
        </is>
      </c>
      <c r="D98" s="3" t="n">
        <v>2.285714285714286</v>
      </c>
      <c r="E98" s="3" t="n">
        <v>0</v>
      </c>
      <c r="F98" s="3" t="n">
        <v>2.428571428571428</v>
      </c>
      <c r="G98" s="3" t="n">
        <v>0.7142857142857143</v>
      </c>
      <c r="H98" s="3" t="n">
        <v>1.285714285714286</v>
      </c>
      <c r="I98" s="3" t="n">
        <v>0.8571428571428571</v>
      </c>
      <c r="J98" s="3" t="n">
        <v>1</v>
      </c>
      <c r="K98" s="3" t="n">
        <v>0.8571428571428571</v>
      </c>
      <c r="L98" s="3" t="n">
        <v>1.714285714285714</v>
      </c>
      <c r="M98" s="3" t="n">
        <v>1.714285714285714</v>
      </c>
      <c r="N98" s="3" t="n">
        <v>1.142857142857143</v>
      </c>
    </row>
    <row r="99">
      <c r="A99" s="3" t="inlineStr">
        <is>
          <t>202023928</t>
        </is>
      </c>
      <c r="B99" s="3" t="n">
        <v>4</v>
      </c>
      <c r="C99" s="3" t="inlineStr">
        <is>
          <t>Direct</t>
        </is>
      </c>
      <c r="D99" s="3" t="n">
        <v>3</v>
      </c>
      <c r="E99" s="3" t="n">
        <v>0</v>
      </c>
      <c r="F99" s="3" t="n">
        <v>2</v>
      </c>
      <c r="G99" s="3" t="n">
        <v>3.25</v>
      </c>
      <c r="H99" s="3" t="n">
        <v>3</v>
      </c>
      <c r="I99" s="3" t="n">
        <v>1</v>
      </c>
      <c r="J99" s="3" t="n">
        <v>1</v>
      </c>
      <c r="K99" s="3" t="n">
        <v>0.25</v>
      </c>
      <c r="L99" s="3" t="n">
        <v>2.5</v>
      </c>
      <c r="M99" s="3" t="n">
        <v>5</v>
      </c>
      <c r="N99" s="3" t="n">
        <v>3.25</v>
      </c>
    </row>
    <row r="100">
      <c r="A100" s="3" t="inlineStr">
        <is>
          <t>202023944</t>
        </is>
      </c>
      <c r="B100" s="3" t="n">
        <v>7</v>
      </c>
      <c r="C100" s="3" t="inlineStr">
        <is>
          <t>Direct</t>
        </is>
      </c>
      <c r="D100" s="3" t="n">
        <v>5.857142857142857</v>
      </c>
      <c r="E100" s="3" t="n">
        <v>0</v>
      </c>
      <c r="F100" s="3" t="n">
        <v>5.571428571428571</v>
      </c>
      <c r="G100" s="3" t="n">
        <v>6.142857142857143</v>
      </c>
      <c r="H100" s="3" t="n">
        <v>4.857142857142857</v>
      </c>
      <c r="I100" s="3" t="n">
        <v>6.714285714285714</v>
      </c>
      <c r="J100" s="3" t="n">
        <v>7.285714285714286</v>
      </c>
      <c r="K100" s="3" t="n">
        <v>7.142857142857143</v>
      </c>
      <c r="L100" s="3" t="n">
        <v>7.285714285714286</v>
      </c>
      <c r="M100" s="3" t="n">
        <v>6.857142857142857</v>
      </c>
      <c r="N100" s="3" t="n">
        <v>6.857142857142857</v>
      </c>
    </row>
    <row r="101">
      <c r="A101" s="3" t="inlineStr">
        <is>
          <t>202023972</t>
        </is>
      </c>
      <c r="B101" s="3" t="n">
        <v>9</v>
      </c>
      <c r="C101" s="3" t="inlineStr">
        <is>
          <t>Direct</t>
        </is>
      </c>
      <c r="D101" s="3" t="n">
        <v>6.777777777777778</v>
      </c>
      <c r="E101" s="3" t="n">
        <v>0</v>
      </c>
      <c r="F101" s="3" t="n">
        <v>4.333333333333333</v>
      </c>
      <c r="G101" s="3" t="n">
        <v>6.111111111111111</v>
      </c>
      <c r="H101" s="3" t="n">
        <v>4.777777777777778</v>
      </c>
      <c r="I101" s="3" t="n">
        <v>6.888888888888889</v>
      </c>
      <c r="J101" s="3" t="n">
        <v>6.666666666666667</v>
      </c>
      <c r="K101" s="3" t="n">
        <v>6.666666666666667</v>
      </c>
      <c r="L101" s="3" t="n">
        <v>6.111111111111111</v>
      </c>
      <c r="M101" s="3" t="n">
        <v>6.333333333333333</v>
      </c>
      <c r="N101" s="3" t="n">
        <v>6.222222222222222</v>
      </c>
    </row>
    <row r="102">
      <c r="A102" s="3" t="inlineStr">
        <is>
          <t>202024134</t>
        </is>
      </c>
      <c r="B102" s="3" t="n">
        <v>6</v>
      </c>
      <c r="C102" s="3" t="inlineStr">
        <is>
          <t>Direct</t>
        </is>
      </c>
      <c r="D102" s="3" t="n">
        <v>4.333333333333333</v>
      </c>
      <c r="E102" s="3" t="n">
        <v>0</v>
      </c>
      <c r="F102" s="3" t="n">
        <v>5.5</v>
      </c>
      <c r="G102" s="3" t="n">
        <v>2.666666666666667</v>
      </c>
      <c r="H102" s="3" t="n">
        <v>5.333333333333333</v>
      </c>
      <c r="I102" s="3" t="n">
        <v>4.833333333333333</v>
      </c>
      <c r="J102" s="3" t="n">
        <v>4.666666666666667</v>
      </c>
      <c r="K102" s="3" t="n">
        <v>5.166666666666667</v>
      </c>
      <c r="L102" s="3" t="n">
        <v>3.666666666666667</v>
      </c>
      <c r="M102" s="3" t="n">
        <v>4.166666666666667</v>
      </c>
      <c r="N102" s="3" t="n">
        <v>5.333333333333333</v>
      </c>
    </row>
    <row r="103">
      <c r="A103" s="3" t="inlineStr">
        <is>
          <t>202024408</t>
        </is>
      </c>
      <c r="B103" s="3" t="n">
        <v>7</v>
      </c>
      <c r="C103" s="3" t="inlineStr">
        <is>
          <t>Direct</t>
        </is>
      </c>
      <c r="D103" s="3" t="n">
        <v>2.714285714285714</v>
      </c>
      <c r="E103" s="3" t="n">
        <v>0</v>
      </c>
      <c r="F103" s="3" t="n">
        <v>3</v>
      </c>
      <c r="G103" s="3" t="n">
        <v>2.571428571428572</v>
      </c>
      <c r="H103" s="3" t="n">
        <v>2.428571428571428</v>
      </c>
      <c r="I103" s="3" t="n">
        <v>2.714285714285714</v>
      </c>
      <c r="J103" s="3" t="n">
        <v>4</v>
      </c>
      <c r="K103" s="3" t="n">
        <v>4.428571428571429</v>
      </c>
      <c r="L103" s="3" t="n">
        <v>3.714285714285714</v>
      </c>
      <c r="M103" s="3" t="n">
        <v>3</v>
      </c>
      <c r="N103" s="3" t="n">
        <v>2.571428571428572</v>
      </c>
    </row>
    <row r="104">
      <c r="A104" s="3" t="inlineStr">
        <is>
          <t>202024411</t>
        </is>
      </c>
      <c r="B104" s="3" t="n">
        <v>9</v>
      </c>
      <c r="C104" s="3" t="inlineStr">
        <is>
          <t>Direct</t>
        </is>
      </c>
      <c r="D104" s="3" t="n">
        <v>4.888888888888889</v>
      </c>
      <c r="E104" s="3" t="n">
        <v>0</v>
      </c>
      <c r="F104" s="3" t="n">
        <v>5.444444444444445</v>
      </c>
      <c r="G104" s="3" t="n">
        <v>6.111111111111111</v>
      </c>
      <c r="H104" s="3" t="n">
        <v>4.888888888888889</v>
      </c>
      <c r="I104" s="3" t="n">
        <v>4.444444444444445</v>
      </c>
      <c r="J104" s="3" t="n">
        <v>4.777777777777778</v>
      </c>
      <c r="K104" s="3" t="n">
        <v>4.222222222222222</v>
      </c>
      <c r="L104" s="3" t="n">
        <v>5</v>
      </c>
      <c r="M104" s="3" t="n">
        <v>3.666666666666667</v>
      </c>
      <c r="N104" s="3" t="n">
        <v>3.666666666666667</v>
      </c>
    </row>
    <row r="105">
      <c r="A105" s="3" t="inlineStr">
        <is>
          <t>202025141</t>
        </is>
      </c>
      <c r="B105" s="3" t="n">
        <v>5</v>
      </c>
      <c r="C105" s="3" t="inlineStr">
        <is>
          <t>Direct</t>
        </is>
      </c>
      <c r="D105" s="3" t="n">
        <v>1.2</v>
      </c>
      <c r="E105" s="3" t="n">
        <v>0</v>
      </c>
      <c r="F105" s="3" t="n">
        <v>1.2</v>
      </c>
      <c r="G105" s="3" t="n">
        <v>1.2</v>
      </c>
      <c r="H105" s="3" t="n">
        <v>1.4</v>
      </c>
      <c r="I105" s="3" t="n">
        <v>0</v>
      </c>
      <c r="J105" s="3" t="n">
        <v>0.4</v>
      </c>
      <c r="K105" s="3" t="n">
        <v>0</v>
      </c>
      <c r="L105" s="3" t="n">
        <v>0.8</v>
      </c>
      <c r="M105" s="3" t="n">
        <v>0</v>
      </c>
      <c r="N105" s="3" t="n">
        <v>0.4</v>
      </c>
    </row>
    <row r="106">
      <c r="A106" s="3" t="inlineStr">
        <is>
          <t>202025268</t>
        </is>
      </c>
      <c r="B106" s="3" t="n">
        <v>7</v>
      </c>
      <c r="C106" s="3" t="inlineStr">
        <is>
          <t>Direct</t>
        </is>
      </c>
      <c r="D106" s="3" t="n">
        <v>5.285714285714286</v>
      </c>
      <c r="E106" s="3" t="n">
        <v>0</v>
      </c>
      <c r="F106" s="3" t="n">
        <v>2.285714285714286</v>
      </c>
      <c r="G106" s="3" t="n">
        <v>3.285714285714286</v>
      </c>
      <c r="H106" s="3" t="n">
        <v>5</v>
      </c>
      <c r="I106" s="3" t="n">
        <v>6.285714285714286</v>
      </c>
      <c r="J106" s="3" t="n">
        <v>6</v>
      </c>
      <c r="K106" s="3" t="n">
        <v>6.571428571428571</v>
      </c>
      <c r="L106" s="3" t="n">
        <v>6.571428571428571</v>
      </c>
      <c r="M106" s="3" t="n">
        <v>6.428571428571429</v>
      </c>
      <c r="N106" s="3" t="n">
        <v>6.285714285714286</v>
      </c>
    </row>
    <row r="107">
      <c r="A107" s="3" t="inlineStr">
        <is>
          <t>202025277</t>
        </is>
      </c>
      <c r="B107" s="3" t="n">
        <v>10</v>
      </c>
      <c r="C107" s="3" t="inlineStr">
        <is>
          <t>Direct</t>
        </is>
      </c>
      <c r="D107" s="3" t="n">
        <v>7.3</v>
      </c>
      <c r="E107" s="3" t="n">
        <v>0</v>
      </c>
      <c r="F107" s="3" t="n">
        <v>4.2</v>
      </c>
      <c r="G107" s="3" t="n">
        <v>3.2</v>
      </c>
      <c r="H107" s="3" t="n">
        <v>5</v>
      </c>
      <c r="I107" s="3" t="n">
        <v>6.5</v>
      </c>
      <c r="J107" s="3" t="n">
        <v>7.4</v>
      </c>
      <c r="K107" s="3" t="n">
        <v>5.7</v>
      </c>
      <c r="L107" s="3" t="n">
        <v>6.8</v>
      </c>
      <c r="M107" s="3" t="n">
        <v>5.9</v>
      </c>
      <c r="N107" s="3" t="n">
        <v>6.1</v>
      </c>
    </row>
    <row r="108">
      <c r="A108" s="3" t="inlineStr">
        <is>
          <t>202025514</t>
        </is>
      </c>
      <c r="B108" s="3" t="n">
        <v>8</v>
      </c>
      <c r="C108" s="3" t="inlineStr">
        <is>
          <t>Direct</t>
        </is>
      </c>
      <c r="D108" s="3" t="n">
        <v>1.875</v>
      </c>
      <c r="E108" s="3" t="n">
        <v>0</v>
      </c>
      <c r="F108" s="3" t="n">
        <v>3.25</v>
      </c>
      <c r="G108" s="3" t="n">
        <v>3.25</v>
      </c>
      <c r="H108" s="3" t="n">
        <v>1.625</v>
      </c>
      <c r="I108" s="3" t="n">
        <v>1.375</v>
      </c>
      <c r="J108" s="3" t="n">
        <v>3.625</v>
      </c>
      <c r="K108" s="3" t="n">
        <v>3</v>
      </c>
      <c r="L108" s="3" t="n">
        <v>2.75</v>
      </c>
      <c r="M108" s="3" t="n">
        <v>2.875</v>
      </c>
      <c r="N108" s="3" t="n">
        <v>1.625</v>
      </c>
    </row>
    <row r="109">
      <c r="A109" s="3" t="inlineStr">
        <is>
          <t>202025941</t>
        </is>
      </c>
      <c r="B109" s="3" t="n">
        <v>8</v>
      </c>
      <c r="C109" s="3" t="inlineStr">
        <is>
          <t>RQ</t>
        </is>
      </c>
      <c r="D109" s="3" t="n">
        <v>3.875</v>
      </c>
      <c r="E109" s="3" t="n">
        <v>0</v>
      </c>
      <c r="F109" s="3" t="n">
        <v>3</v>
      </c>
      <c r="G109" s="3" t="n">
        <v>3.625</v>
      </c>
      <c r="H109" s="3" t="n">
        <v>2.75</v>
      </c>
      <c r="I109" s="3" t="n">
        <v>1.5</v>
      </c>
      <c r="J109" s="3" t="n">
        <v>5.25</v>
      </c>
      <c r="K109" s="3" t="n">
        <v>2.375</v>
      </c>
      <c r="L109" s="3" t="n">
        <v>2.25</v>
      </c>
      <c r="M109" s="3" t="n">
        <v>2.5</v>
      </c>
      <c r="N109" s="3" t="n">
        <v>1.5</v>
      </c>
    </row>
    <row r="110">
      <c r="A110" s="3" t="inlineStr">
        <is>
          <t>202026346</t>
        </is>
      </c>
      <c r="B110" s="3" t="n">
        <v>3</v>
      </c>
      <c r="C110" s="3" t="inlineStr">
        <is>
          <t>Direct</t>
        </is>
      </c>
      <c r="D110" s="3" t="n">
        <v>0.6666666666666666</v>
      </c>
      <c r="E110" s="3" t="n">
        <v>0</v>
      </c>
      <c r="F110" s="3" t="n">
        <v>0</v>
      </c>
      <c r="G110" s="3" t="n">
        <v>0</v>
      </c>
      <c r="H110" s="3" t="n">
        <v>0</v>
      </c>
      <c r="I110" s="3" t="n">
        <v>0</v>
      </c>
      <c r="J110" s="3" t="n">
        <v>1</v>
      </c>
      <c r="K110" s="3" t="n">
        <v>0.3333333333333333</v>
      </c>
      <c r="L110" s="3" t="n">
        <v>0</v>
      </c>
      <c r="M110" s="3" t="n">
        <v>2</v>
      </c>
      <c r="N110" s="3" t="n">
        <v>2</v>
      </c>
    </row>
    <row r="111">
      <c r="A111" s="3" t="inlineStr">
        <is>
          <t>202026803</t>
        </is>
      </c>
      <c r="B111" s="3" t="n">
        <v>2</v>
      </c>
      <c r="C111" s="3" t="inlineStr">
        <is>
          <t>Direct</t>
        </is>
      </c>
      <c r="D111" s="3" t="n">
        <v>0</v>
      </c>
      <c r="E111" s="3" t="n">
        <v>0</v>
      </c>
      <c r="F111" s="3" t="n">
        <v>0</v>
      </c>
      <c r="G111" s="3" t="n">
        <v>0</v>
      </c>
      <c r="H111" s="3" t="n">
        <v>0</v>
      </c>
      <c r="I111" s="3" t="n">
        <v>0.5</v>
      </c>
      <c r="J111" s="3" t="n">
        <v>0</v>
      </c>
      <c r="K111" s="3" t="n">
        <v>0</v>
      </c>
      <c r="L111" s="3" t="n">
        <v>0</v>
      </c>
      <c r="M111" s="3" t="n">
        <v>0</v>
      </c>
      <c r="N111" s="3" t="n">
        <v>0</v>
      </c>
    </row>
    <row r="112">
      <c r="A112" s="3" t="inlineStr">
        <is>
          <t>202027380</t>
        </is>
      </c>
      <c r="B112" s="3" t="n">
        <v>9</v>
      </c>
      <c r="C112" s="3" t="inlineStr">
        <is>
          <t>Direct</t>
        </is>
      </c>
      <c r="D112" s="3" t="n">
        <v>5.555555555555555</v>
      </c>
      <c r="E112" s="3" t="n">
        <v>0</v>
      </c>
      <c r="F112" s="3" t="n">
        <v>4</v>
      </c>
      <c r="G112" s="3" t="n">
        <v>2.555555555555555</v>
      </c>
      <c r="H112" s="3" t="n">
        <v>2.444444444444445</v>
      </c>
      <c r="I112" s="3" t="n">
        <v>4.888888888888889</v>
      </c>
      <c r="J112" s="3" t="n">
        <v>4.444444444444445</v>
      </c>
      <c r="K112" s="3" t="n">
        <v>4</v>
      </c>
      <c r="L112" s="3" t="n">
        <v>3.111111111111111</v>
      </c>
      <c r="M112" s="3" t="n">
        <v>5</v>
      </c>
      <c r="N112" s="3" t="n">
        <v>4.333333333333333</v>
      </c>
    </row>
    <row r="113">
      <c r="A113" s="3" t="inlineStr">
        <is>
          <t>202027662</t>
        </is>
      </c>
      <c r="B113" s="3" t="n">
        <v>2</v>
      </c>
      <c r="C113" s="3" t="inlineStr">
        <is>
          <t>Direct</t>
        </is>
      </c>
      <c r="D113" s="3" t="n">
        <v>0</v>
      </c>
      <c r="E113" s="3" t="n">
        <v>0</v>
      </c>
      <c r="F113" s="3" t="n">
        <v>0.5</v>
      </c>
      <c r="G113" s="3" t="n">
        <v>1</v>
      </c>
      <c r="H113" s="3" t="n">
        <v>4</v>
      </c>
      <c r="I113" s="3" t="n">
        <v>0.5</v>
      </c>
      <c r="J113" s="3" t="n">
        <v>0.5</v>
      </c>
      <c r="K113" s="3" t="n">
        <v>0</v>
      </c>
      <c r="L113" s="3" t="n">
        <v>0</v>
      </c>
      <c r="M113" s="3" t="n">
        <v>0</v>
      </c>
      <c r="N113" s="3" t="n">
        <v>0</v>
      </c>
    </row>
    <row r="114">
      <c r="A114" s="3" t="inlineStr">
        <is>
          <t>202027697</t>
        </is>
      </c>
      <c r="B114" s="3" t="n">
        <v>5</v>
      </c>
      <c r="C114" s="3" t="inlineStr">
        <is>
          <t>Direct</t>
        </is>
      </c>
      <c r="D114" s="3" t="n">
        <v>7.2</v>
      </c>
      <c r="E114" s="3" t="n">
        <v>0</v>
      </c>
      <c r="F114" s="3" t="n">
        <v>5.8</v>
      </c>
      <c r="G114" s="3" t="n">
        <v>6.4</v>
      </c>
      <c r="H114" s="3" t="n">
        <v>6.4</v>
      </c>
      <c r="I114" s="3" t="n">
        <v>7</v>
      </c>
      <c r="J114" s="3" t="n">
        <v>7.8</v>
      </c>
      <c r="K114" s="3" t="n">
        <v>7.6</v>
      </c>
      <c r="L114" s="3" t="n">
        <v>7.4</v>
      </c>
      <c r="M114" s="3" t="n">
        <v>7.2</v>
      </c>
      <c r="N114" s="3" t="n">
        <v>7</v>
      </c>
    </row>
    <row r="115">
      <c r="A115" s="3" t="inlineStr">
        <is>
          <t>202027995</t>
        </is>
      </c>
      <c r="B115" s="3" t="n">
        <v>7</v>
      </c>
      <c r="C115" s="3" t="inlineStr">
        <is>
          <t>Direct</t>
        </is>
      </c>
      <c r="D115" s="3" t="n">
        <v>0</v>
      </c>
      <c r="E115" s="3" t="n">
        <v>0</v>
      </c>
      <c r="F115" s="3" t="n">
        <v>0</v>
      </c>
      <c r="G115" s="3" t="n">
        <v>0</v>
      </c>
      <c r="H115" s="3" t="n">
        <v>0</v>
      </c>
      <c r="I115" s="3" t="n">
        <v>0</v>
      </c>
      <c r="J115" s="3" t="n">
        <v>0</v>
      </c>
      <c r="K115" s="3" t="n">
        <v>0</v>
      </c>
      <c r="L115" s="3" t="n">
        <v>0</v>
      </c>
      <c r="M115" s="3" t="n">
        <v>0</v>
      </c>
      <c r="N115" s="3" t="n">
        <v>0</v>
      </c>
    </row>
    <row r="116">
      <c r="A116" s="3" t="inlineStr">
        <is>
          <t>202028090</t>
        </is>
      </c>
      <c r="B116" s="3" t="n">
        <v>3</v>
      </c>
      <c r="C116" s="3" t="inlineStr">
        <is>
          <t>Direct</t>
        </is>
      </c>
      <c r="D116" s="3" t="n">
        <v>0</v>
      </c>
      <c r="E116" s="3" t="n">
        <v>0</v>
      </c>
      <c r="F116" s="3" t="n">
        <v>1</v>
      </c>
      <c r="G116" s="3" t="n">
        <v>0</v>
      </c>
      <c r="H116" s="3" t="n">
        <v>0</v>
      </c>
      <c r="I116" s="3" t="n">
        <v>0.6666666666666666</v>
      </c>
      <c r="J116" s="3" t="n">
        <v>0.6666666666666666</v>
      </c>
      <c r="K116" s="3" t="n">
        <v>0</v>
      </c>
      <c r="L116" s="3" t="n">
        <v>2.666666666666667</v>
      </c>
      <c r="M116" s="3" t="n">
        <v>0.3333333333333333</v>
      </c>
      <c r="N116" s="3" t="n">
        <v>1</v>
      </c>
    </row>
    <row r="117">
      <c r="A117" s="3" t="inlineStr">
        <is>
          <t>202028313</t>
        </is>
      </c>
      <c r="B117" s="3" t="n">
        <v>3</v>
      </c>
      <c r="C117" s="3" t="inlineStr">
        <is>
          <t>Direct</t>
        </is>
      </c>
      <c r="D117" s="3" t="n">
        <v>0.3333333333333333</v>
      </c>
      <c r="E117" s="3" t="n">
        <v>0</v>
      </c>
      <c r="F117" s="3" t="n">
        <v>4.333333333333333</v>
      </c>
      <c r="G117" s="3" t="n">
        <v>3</v>
      </c>
      <c r="H117" s="3" t="n">
        <v>0.6666666666666666</v>
      </c>
      <c r="I117" s="3" t="n">
        <v>8.666666666666666</v>
      </c>
      <c r="J117" s="3" t="n">
        <v>3.666666666666667</v>
      </c>
      <c r="K117" s="3" t="n">
        <v>1</v>
      </c>
      <c r="L117" s="3" t="n">
        <v>10</v>
      </c>
      <c r="M117" s="3" t="n">
        <v>2.666666666666667</v>
      </c>
      <c r="N117" s="3" t="n">
        <v>0</v>
      </c>
    </row>
    <row r="118">
      <c r="A118" s="3" t="inlineStr">
        <is>
          <t>20202855</t>
        </is>
      </c>
      <c r="B118" s="3" t="n">
        <v>9</v>
      </c>
      <c r="C118" s="3" t="inlineStr">
        <is>
          <t>Direct</t>
        </is>
      </c>
      <c r="D118" s="3" t="n">
        <v>3.555555555555555</v>
      </c>
      <c r="E118" s="3" t="n">
        <v>0</v>
      </c>
      <c r="F118" s="3" t="n">
        <v>6.111111111111111</v>
      </c>
      <c r="G118" s="3" t="n">
        <v>1.555555555555556</v>
      </c>
      <c r="H118" s="3" t="n">
        <v>2.222222222222222</v>
      </c>
      <c r="I118" s="3" t="n">
        <v>3.333333333333333</v>
      </c>
      <c r="J118" s="3" t="n">
        <v>6.111111111111111</v>
      </c>
      <c r="K118" s="3" t="n">
        <v>5.444444444444445</v>
      </c>
      <c r="L118" s="3" t="n">
        <v>6.222222222222222</v>
      </c>
      <c r="M118" s="3" t="n">
        <v>5.666666666666667</v>
      </c>
      <c r="N118" s="3" t="n">
        <v>1.444444444444444</v>
      </c>
    </row>
    <row r="119">
      <c r="A119" s="3" t="inlineStr">
        <is>
          <t>202028613</t>
        </is>
      </c>
      <c r="B119" s="3" t="n">
        <v>4</v>
      </c>
      <c r="C119" s="3" t="inlineStr">
        <is>
          <t>Direct</t>
        </is>
      </c>
      <c r="D119" s="3" t="n">
        <v>5.25</v>
      </c>
      <c r="E119" s="3" t="n">
        <v>0</v>
      </c>
      <c r="F119" s="3" t="n">
        <v>4.75</v>
      </c>
      <c r="G119" s="3" t="n">
        <v>6.25</v>
      </c>
      <c r="H119" s="3" t="n">
        <v>3.25</v>
      </c>
      <c r="I119" s="3" t="n">
        <v>6.5</v>
      </c>
      <c r="J119" s="3" t="n">
        <v>0.25</v>
      </c>
      <c r="K119" s="3" t="n">
        <v>6.5</v>
      </c>
      <c r="L119" s="3" t="n">
        <v>5.25</v>
      </c>
      <c r="M119" s="3" t="n">
        <v>6.5</v>
      </c>
      <c r="N119" s="3" t="n">
        <v>7</v>
      </c>
    </row>
    <row r="120">
      <c r="A120" s="3" t="inlineStr">
        <is>
          <t>202029044</t>
        </is>
      </c>
      <c r="B120" s="3" t="n">
        <v>9</v>
      </c>
      <c r="C120" s="3" t="inlineStr">
        <is>
          <t>Direct</t>
        </is>
      </c>
      <c r="D120" s="3" t="n">
        <v>4</v>
      </c>
      <c r="E120" s="3" t="n">
        <v>0</v>
      </c>
      <c r="F120" s="3" t="n">
        <v>2.666666666666667</v>
      </c>
      <c r="G120" s="3" t="n">
        <v>3</v>
      </c>
      <c r="H120" s="3" t="n">
        <v>3.666666666666667</v>
      </c>
      <c r="I120" s="3" t="n">
        <v>4</v>
      </c>
      <c r="J120" s="3" t="n">
        <v>4.555555555555555</v>
      </c>
      <c r="K120" s="3" t="n">
        <v>4.888888888888889</v>
      </c>
      <c r="L120" s="3" t="n">
        <v>4.444444444444445</v>
      </c>
      <c r="M120" s="3" t="n">
        <v>4</v>
      </c>
      <c r="N120" s="3" t="n">
        <v>5</v>
      </c>
    </row>
    <row r="121">
      <c r="A121" s="3" t="inlineStr">
        <is>
          <t>202029209</t>
        </is>
      </c>
      <c r="B121" s="3" t="n">
        <v>4</v>
      </c>
      <c r="C121" s="3" t="inlineStr">
        <is>
          <t>Direct</t>
        </is>
      </c>
      <c r="D121" s="3" t="n">
        <v>0.25</v>
      </c>
      <c r="E121" s="3" t="n">
        <v>0</v>
      </c>
      <c r="F121" s="3" t="n">
        <v>0.25</v>
      </c>
      <c r="G121" s="3" t="n">
        <v>0</v>
      </c>
      <c r="H121" s="3" t="n">
        <v>0</v>
      </c>
      <c r="I121" s="3" t="n">
        <v>0.5</v>
      </c>
      <c r="J121" s="3" t="n">
        <v>0.5</v>
      </c>
      <c r="K121" s="3" t="n">
        <v>0.5</v>
      </c>
      <c r="L121" s="3" t="n">
        <v>0</v>
      </c>
      <c r="M121" s="3" t="n">
        <v>0</v>
      </c>
      <c r="N121" s="3" t="n">
        <v>0</v>
      </c>
    </row>
    <row r="122">
      <c r="A122" s="3" t="inlineStr">
        <is>
          <t>202029376</t>
        </is>
      </c>
      <c r="B122" s="3" t="n">
        <v>6</v>
      </c>
      <c r="C122" s="3" t="inlineStr">
        <is>
          <t>Direct</t>
        </is>
      </c>
      <c r="D122" s="3" t="n">
        <v>4.5</v>
      </c>
      <c r="E122" s="3" t="n">
        <v>0</v>
      </c>
      <c r="F122" s="3" t="n">
        <v>2.166666666666667</v>
      </c>
      <c r="G122" s="3" t="n">
        <v>1.833333333333333</v>
      </c>
      <c r="H122" s="3" t="n">
        <v>1</v>
      </c>
      <c r="I122" s="3" t="n">
        <v>4.333333333333333</v>
      </c>
      <c r="J122" s="3" t="n">
        <v>4.5</v>
      </c>
      <c r="K122" s="3" t="n">
        <v>4.666666666666667</v>
      </c>
      <c r="L122" s="3" t="n">
        <v>4.166666666666667</v>
      </c>
      <c r="M122" s="3" t="n">
        <v>4.166666666666667</v>
      </c>
      <c r="N122" s="3" t="n">
        <v>4.166666666666667</v>
      </c>
    </row>
    <row r="123">
      <c r="A123" s="3" t="inlineStr">
        <is>
          <t>202029410</t>
        </is>
      </c>
      <c r="B123" s="3" t="n">
        <v>4</v>
      </c>
      <c r="C123" s="3" t="inlineStr">
        <is>
          <t>Direct</t>
        </is>
      </c>
      <c r="D123" s="3" t="n">
        <v>5.75</v>
      </c>
      <c r="E123" s="3" t="n">
        <v>0</v>
      </c>
      <c r="F123" s="3" t="n">
        <v>2.5</v>
      </c>
      <c r="G123" s="3" t="n">
        <v>4.25</v>
      </c>
      <c r="H123" s="3" t="n">
        <v>4.25</v>
      </c>
      <c r="I123" s="3" t="n">
        <v>3.75</v>
      </c>
      <c r="J123" s="3" t="n">
        <v>3.75</v>
      </c>
      <c r="K123" s="3" t="n">
        <v>4.5</v>
      </c>
      <c r="L123" s="3" t="n">
        <v>2</v>
      </c>
      <c r="M123" s="3" t="n">
        <v>3</v>
      </c>
      <c r="N123" s="3" t="n">
        <v>3.25</v>
      </c>
    </row>
    <row r="124">
      <c r="A124" s="3" t="inlineStr">
        <is>
          <t>202029511</t>
        </is>
      </c>
      <c r="B124" s="3" t="n">
        <v>10</v>
      </c>
      <c r="C124" s="3" t="inlineStr">
        <is>
          <t>Direct</t>
        </is>
      </c>
      <c r="D124" s="3" t="n">
        <v>2.5</v>
      </c>
      <c r="E124" s="3" t="n">
        <v>0</v>
      </c>
      <c r="F124" s="3" t="n">
        <v>3.2</v>
      </c>
      <c r="G124" s="3" t="n">
        <v>2.3</v>
      </c>
      <c r="H124" s="3" t="n">
        <v>2.6</v>
      </c>
      <c r="I124" s="3" t="n">
        <v>5.5</v>
      </c>
      <c r="J124" s="3" t="n">
        <v>6.6</v>
      </c>
      <c r="K124" s="3" t="n">
        <v>6.9</v>
      </c>
      <c r="L124" s="3" t="n">
        <v>6.3</v>
      </c>
      <c r="M124" s="3" t="n">
        <v>2.1</v>
      </c>
      <c r="N124" s="3" t="n">
        <v>2.1</v>
      </c>
    </row>
    <row r="125">
      <c r="A125" s="3" t="inlineStr">
        <is>
          <t>202029739</t>
        </is>
      </c>
      <c r="B125" s="3" t="n">
        <v>4</v>
      </c>
      <c r="C125" s="3" t="inlineStr">
        <is>
          <t>Direct</t>
        </is>
      </c>
      <c r="D125" s="3" t="n">
        <v>1.25</v>
      </c>
      <c r="E125" s="3" t="n">
        <v>0</v>
      </c>
      <c r="F125" s="3" t="n">
        <v>3</v>
      </c>
      <c r="G125" s="3" t="n">
        <v>2.5</v>
      </c>
      <c r="H125" s="3" t="n">
        <v>0.75</v>
      </c>
      <c r="I125" s="3" t="n">
        <v>1.5</v>
      </c>
      <c r="J125" s="3" t="n">
        <v>2</v>
      </c>
      <c r="K125" s="3" t="n">
        <v>2.25</v>
      </c>
      <c r="L125" s="3" t="n">
        <v>6</v>
      </c>
      <c r="M125" s="3" t="n">
        <v>0.75</v>
      </c>
      <c r="N125" s="3" t="n">
        <v>6.75</v>
      </c>
    </row>
    <row r="126">
      <c r="A126" s="3" t="inlineStr">
        <is>
          <t>202029845</t>
        </is>
      </c>
      <c r="B126" s="3" t="n">
        <v>2</v>
      </c>
      <c r="C126" s="3" t="inlineStr">
        <is>
          <t>RQ</t>
        </is>
      </c>
      <c r="D126" s="3" t="n">
        <v>4</v>
      </c>
      <c r="E126" s="3" t="n">
        <v>0</v>
      </c>
      <c r="F126" s="3" t="n">
        <v>1</v>
      </c>
      <c r="G126" s="3" t="n">
        <v>3</v>
      </c>
      <c r="H126" s="3" t="n">
        <v>0</v>
      </c>
      <c r="I126" s="3" t="n">
        <v>1</v>
      </c>
      <c r="J126" s="3" t="n">
        <v>0</v>
      </c>
      <c r="K126" s="3" t="n">
        <v>0</v>
      </c>
      <c r="L126" s="3" t="n">
        <v>0</v>
      </c>
      <c r="M126" s="3" t="n">
        <v>1</v>
      </c>
      <c r="N126" s="3" t="n">
        <v>0</v>
      </c>
    </row>
    <row r="127">
      <c r="A127" s="3" t="inlineStr">
        <is>
          <t>202030060</t>
        </is>
      </c>
      <c r="B127" s="3" t="n">
        <v>7</v>
      </c>
      <c r="C127" s="3" t="inlineStr">
        <is>
          <t>Direct</t>
        </is>
      </c>
      <c r="D127" s="3" t="n">
        <v>5</v>
      </c>
      <c r="E127" s="3" t="n">
        <v>0</v>
      </c>
      <c r="F127" s="3" t="n">
        <v>4</v>
      </c>
      <c r="G127" s="3" t="n">
        <v>3</v>
      </c>
      <c r="H127" s="3" t="n">
        <v>3.857142857142857</v>
      </c>
      <c r="I127" s="3" t="n">
        <v>5.428571428571429</v>
      </c>
      <c r="J127" s="3" t="n">
        <v>6.142857142857143</v>
      </c>
      <c r="K127" s="3" t="n">
        <v>3.857142857142857</v>
      </c>
      <c r="L127" s="3" t="n">
        <v>5.142857142857143</v>
      </c>
      <c r="M127" s="3" t="n">
        <v>4.285714285714286</v>
      </c>
      <c r="N127" s="3" t="n">
        <v>4.285714285714286</v>
      </c>
    </row>
    <row r="128">
      <c r="A128" s="3" t="inlineStr">
        <is>
          <t>202030431</t>
        </is>
      </c>
      <c r="B128" s="3" t="n">
        <v>6</v>
      </c>
      <c r="C128" s="3" t="inlineStr">
        <is>
          <t>Direct</t>
        </is>
      </c>
      <c r="D128" s="3" t="n">
        <v>3.5</v>
      </c>
      <c r="E128" s="3" t="n">
        <v>0</v>
      </c>
      <c r="F128" s="3" t="n">
        <v>2.333333333333333</v>
      </c>
      <c r="G128" s="3" t="n">
        <v>2.333333333333333</v>
      </c>
      <c r="H128" s="3" t="n">
        <v>2.333333333333333</v>
      </c>
      <c r="I128" s="3" t="n">
        <v>2.833333333333333</v>
      </c>
      <c r="J128" s="3" t="n">
        <v>3.166666666666667</v>
      </c>
      <c r="K128" s="3" t="n">
        <v>2.5</v>
      </c>
      <c r="L128" s="3" t="n">
        <v>2.166666666666667</v>
      </c>
      <c r="M128" s="3" t="n">
        <v>3</v>
      </c>
      <c r="N128" s="3" t="n">
        <v>1.833333333333333</v>
      </c>
    </row>
    <row r="129">
      <c r="A129" s="3" t="inlineStr">
        <is>
          <t>202030559</t>
        </is>
      </c>
      <c r="B129" s="3" t="n">
        <v>8</v>
      </c>
      <c r="C129" s="3" t="inlineStr">
        <is>
          <t>Direct</t>
        </is>
      </c>
      <c r="D129" s="3" t="n">
        <v>7.5</v>
      </c>
      <c r="E129" s="3" t="n">
        <v>0</v>
      </c>
      <c r="F129" s="3" t="n">
        <v>6.125</v>
      </c>
      <c r="G129" s="3" t="n">
        <v>6.875</v>
      </c>
      <c r="H129" s="3" t="n">
        <v>7</v>
      </c>
      <c r="I129" s="3" t="n">
        <v>7.375</v>
      </c>
      <c r="J129" s="3" t="n">
        <v>7.625</v>
      </c>
      <c r="K129" s="3" t="n">
        <v>7</v>
      </c>
      <c r="L129" s="3" t="n">
        <v>7.375</v>
      </c>
      <c r="M129" s="3" t="n">
        <v>8</v>
      </c>
      <c r="N129" s="3" t="n">
        <v>7.625</v>
      </c>
    </row>
    <row r="130">
      <c r="A130" s="3" t="inlineStr">
        <is>
          <t>20203061</t>
        </is>
      </c>
      <c r="B130" s="3" t="n">
        <v>9</v>
      </c>
      <c r="C130" s="3" t="inlineStr">
        <is>
          <t>Direct</t>
        </is>
      </c>
      <c r="D130" s="3" t="n">
        <v>6</v>
      </c>
      <c r="E130" s="3" t="n">
        <v>0</v>
      </c>
      <c r="F130" s="3" t="n">
        <v>6.111111111111111</v>
      </c>
      <c r="G130" s="3" t="n">
        <v>4.666666666666667</v>
      </c>
      <c r="H130" s="3" t="n">
        <v>5.333333333333333</v>
      </c>
      <c r="I130" s="3" t="n">
        <v>8.444444444444445</v>
      </c>
      <c r="J130" s="3" t="n">
        <v>9.555555555555555</v>
      </c>
      <c r="K130" s="3" t="n">
        <v>8.111111111111111</v>
      </c>
      <c r="L130" s="3" t="n">
        <v>7</v>
      </c>
      <c r="M130" s="3" t="n">
        <v>8.666666666666666</v>
      </c>
      <c r="N130" s="3" t="n">
        <v>6.333333333333333</v>
      </c>
    </row>
    <row r="131">
      <c r="A131" s="3" t="inlineStr">
        <is>
          <t>20203067</t>
        </is>
      </c>
      <c r="B131" s="3" t="n">
        <v>7</v>
      </c>
      <c r="C131" s="3" t="inlineStr">
        <is>
          <t>Direct</t>
        </is>
      </c>
      <c r="D131" s="3" t="n">
        <v>0.7142857142857143</v>
      </c>
      <c r="E131" s="3" t="n">
        <v>0</v>
      </c>
      <c r="F131" s="3" t="n">
        <v>2.571428571428572</v>
      </c>
      <c r="G131" s="3" t="n">
        <v>1.714285714285714</v>
      </c>
      <c r="H131" s="3" t="n">
        <v>2.142857142857143</v>
      </c>
      <c r="I131" s="3" t="n">
        <v>2.714285714285714</v>
      </c>
      <c r="J131" s="3" t="n">
        <v>0.4285714285714285</v>
      </c>
      <c r="K131" s="3" t="n">
        <v>2.714285714285714</v>
      </c>
      <c r="L131" s="3" t="n">
        <v>2.714285714285714</v>
      </c>
      <c r="M131" s="3" t="n">
        <v>2.428571428571428</v>
      </c>
      <c r="N131" s="3" t="n">
        <v>2.285714285714286</v>
      </c>
    </row>
    <row r="132">
      <c r="A132" s="3" t="inlineStr">
        <is>
          <t>202030707</t>
        </is>
      </c>
      <c r="B132" s="3" t="n">
        <v>10</v>
      </c>
      <c r="C132" s="3" t="inlineStr">
        <is>
          <t>RQ</t>
        </is>
      </c>
      <c r="D132" s="3" t="n">
        <v>2.8</v>
      </c>
      <c r="E132" s="3" t="n">
        <v>0</v>
      </c>
      <c r="F132" s="3" t="n">
        <v>3</v>
      </c>
      <c r="G132" s="3" t="n">
        <v>4</v>
      </c>
      <c r="H132" s="3" t="n">
        <v>4.1</v>
      </c>
      <c r="I132" s="3" t="n">
        <v>4.3</v>
      </c>
      <c r="J132" s="3" t="n">
        <v>4.4</v>
      </c>
      <c r="K132" s="3" t="n">
        <v>4</v>
      </c>
      <c r="L132" s="3" t="n">
        <v>4.1</v>
      </c>
      <c r="M132" s="3" t="n">
        <v>4.4</v>
      </c>
      <c r="N132" s="3" t="n">
        <v>3.9</v>
      </c>
    </row>
    <row r="133">
      <c r="A133" s="3" t="inlineStr">
        <is>
          <t>202030778</t>
        </is>
      </c>
      <c r="B133" s="3" t="n">
        <v>3</v>
      </c>
      <c r="C133" s="3" t="inlineStr">
        <is>
          <t>RQ</t>
        </is>
      </c>
      <c r="D133" s="3" t="n">
        <v>2.333333333333333</v>
      </c>
      <c r="E133" s="3" t="n">
        <v>0</v>
      </c>
      <c r="F133" s="3" t="n">
        <v>0.6666666666666666</v>
      </c>
      <c r="G133" s="3" t="n">
        <v>2</v>
      </c>
      <c r="H133" s="3" t="n">
        <v>2.333333333333333</v>
      </c>
      <c r="I133" s="3" t="n">
        <v>1</v>
      </c>
      <c r="J133" s="3" t="n">
        <v>0.6666666666666666</v>
      </c>
      <c r="K133" s="3" t="n">
        <v>1</v>
      </c>
      <c r="L133" s="3" t="n">
        <v>2.666666666666667</v>
      </c>
      <c r="M133" s="3" t="n">
        <v>1.333333333333333</v>
      </c>
      <c r="N133" s="3" t="n">
        <v>1</v>
      </c>
    </row>
    <row r="134">
      <c r="A134" s="3" t="inlineStr">
        <is>
          <t>202030986</t>
        </is>
      </c>
      <c r="B134" s="3" t="n">
        <v>10</v>
      </c>
      <c r="C134" s="3" t="inlineStr">
        <is>
          <t>Direct</t>
        </is>
      </c>
      <c r="D134" s="3" t="n">
        <v>3.5</v>
      </c>
      <c r="E134" s="3" t="n">
        <v>0</v>
      </c>
      <c r="F134" s="3" t="n">
        <v>3.4</v>
      </c>
      <c r="G134" s="3" t="n">
        <v>3.7</v>
      </c>
      <c r="H134" s="3" t="n">
        <v>4.1</v>
      </c>
      <c r="I134" s="3" t="n">
        <v>5.9</v>
      </c>
      <c r="J134" s="3" t="n">
        <v>6.8</v>
      </c>
      <c r="K134" s="3" t="n">
        <v>5.5</v>
      </c>
      <c r="L134" s="3" t="n">
        <v>6.2</v>
      </c>
      <c r="M134" s="3" t="n">
        <v>4.8</v>
      </c>
      <c r="N134" s="3" t="n">
        <v>6.7</v>
      </c>
    </row>
    <row r="135">
      <c r="A135" s="3" t="inlineStr">
        <is>
          <t>202031030</t>
        </is>
      </c>
      <c r="B135" s="3" t="n">
        <v>4</v>
      </c>
      <c r="C135" s="3" t="inlineStr">
        <is>
          <t>Direct</t>
        </is>
      </c>
      <c r="D135" s="3" t="n">
        <v>0</v>
      </c>
      <c r="E135" s="3" t="n">
        <v>0</v>
      </c>
      <c r="F135" s="3" t="n">
        <v>0.25</v>
      </c>
      <c r="G135" s="3" t="n">
        <v>0</v>
      </c>
      <c r="H135" s="3" t="n">
        <v>0.25</v>
      </c>
      <c r="I135" s="3" t="n">
        <v>0.25</v>
      </c>
      <c r="J135" s="3" t="n">
        <v>0</v>
      </c>
      <c r="K135" s="3" t="n">
        <v>0</v>
      </c>
      <c r="L135" s="3" t="n">
        <v>0.25</v>
      </c>
      <c r="M135" s="3" t="n">
        <v>0</v>
      </c>
      <c r="N135" s="3" t="n">
        <v>0</v>
      </c>
    </row>
    <row r="136">
      <c r="A136" s="3" t="inlineStr">
        <is>
          <t>202031479</t>
        </is>
      </c>
      <c r="B136" s="3" t="n">
        <v>8</v>
      </c>
      <c r="C136" s="3" t="inlineStr">
        <is>
          <t>Direct</t>
        </is>
      </c>
      <c r="D136" s="3" t="n">
        <v>3.875</v>
      </c>
      <c r="E136" s="3" t="n">
        <v>0</v>
      </c>
      <c r="F136" s="3" t="n">
        <v>2.125</v>
      </c>
      <c r="G136" s="3" t="n">
        <v>3</v>
      </c>
      <c r="H136" s="3" t="n">
        <v>2.125</v>
      </c>
      <c r="I136" s="3" t="n">
        <v>3.625</v>
      </c>
      <c r="J136" s="3" t="n">
        <v>3.125</v>
      </c>
      <c r="K136" s="3" t="n">
        <v>3.5</v>
      </c>
      <c r="L136" s="3" t="n">
        <v>2.5</v>
      </c>
      <c r="M136" s="3" t="n">
        <v>5</v>
      </c>
      <c r="N136" s="3" t="n">
        <v>3</v>
      </c>
    </row>
    <row r="137">
      <c r="A137" s="3" t="inlineStr">
        <is>
          <t>202031562</t>
        </is>
      </c>
      <c r="B137" s="3" t="n">
        <v>9</v>
      </c>
      <c r="C137" s="3" t="inlineStr">
        <is>
          <t>Direct</t>
        </is>
      </c>
      <c r="D137" s="3" t="n">
        <v>3.777777777777778</v>
      </c>
      <c r="E137" s="3" t="n">
        <v>0</v>
      </c>
      <c r="F137" s="3" t="n">
        <v>3.444444444444445</v>
      </c>
      <c r="G137" s="3" t="n">
        <v>4.222222222222222</v>
      </c>
      <c r="H137" s="3" t="n">
        <v>3.888888888888889</v>
      </c>
      <c r="I137" s="3" t="n">
        <v>4.111111111111111</v>
      </c>
      <c r="J137" s="3" t="n">
        <v>3.888888888888889</v>
      </c>
      <c r="K137" s="3" t="n">
        <v>4.333333333333333</v>
      </c>
      <c r="L137" s="3" t="n">
        <v>3.777777777777778</v>
      </c>
      <c r="M137" s="3" t="n">
        <v>4.111111111111111</v>
      </c>
      <c r="N137" s="3" t="n">
        <v>4.555555555555555</v>
      </c>
    </row>
    <row r="138">
      <c r="A138" s="3" t="inlineStr">
        <is>
          <t>202031809</t>
        </is>
      </c>
      <c r="B138" s="3" t="n">
        <v>3</v>
      </c>
      <c r="C138" s="3" t="inlineStr">
        <is>
          <t>Direct</t>
        </is>
      </c>
      <c r="D138" s="3" t="n">
        <v>0.3333333333333333</v>
      </c>
      <c r="E138" s="3" t="n">
        <v>0</v>
      </c>
      <c r="F138" s="3" t="n">
        <v>5.666666666666667</v>
      </c>
      <c r="G138" s="3" t="n">
        <v>4.666666666666667</v>
      </c>
      <c r="H138" s="3" t="n">
        <v>4</v>
      </c>
      <c r="I138" s="3" t="n">
        <v>6.333333333333333</v>
      </c>
      <c r="J138" s="3" t="n">
        <v>6</v>
      </c>
      <c r="K138" s="3" t="n">
        <v>6</v>
      </c>
      <c r="L138" s="3" t="n">
        <v>5.666666666666667</v>
      </c>
      <c r="M138" s="3" t="n">
        <v>6</v>
      </c>
      <c r="N138" s="3" t="n">
        <v>0</v>
      </c>
    </row>
    <row r="139">
      <c r="A139" s="3" t="inlineStr">
        <is>
          <t>202031969</t>
        </is>
      </c>
      <c r="B139" s="3" t="n">
        <v>9</v>
      </c>
      <c r="C139" s="3" t="inlineStr">
        <is>
          <t>Direct</t>
        </is>
      </c>
      <c r="D139" s="3" t="n">
        <v>6.111111111111111</v>
      </c>
      <c r="E139" s="3" t="n">
        <v>0</v>
      </c>
      <c r="F139" s="3" t="n">
        <v>3.777777777777778</v>
      </c>
      <c r="G139" s="3" t="n">
        <v>5</v>
      </c>
      <c r="H139" s="3" t="n">
        <v>4.666666666666667</v>
      </c>
      <c r="I139" s="3" t="n">
        <v>5.777777777777778</v>
      </c>
      <c r="J139" s="3" t="n">
        <v>4.888888888888889</v>
      </c>
      <c r="K139" s="3" t="n">
        <v>6</v>
      </c>
      <c r="L139" s="3" t="n">
        <v>5.444444444444445</v>
      </c>
      <c r="M139" s="3" t="n">
        <v>5.555555555555555</v>
      </c>
      <c r="N139" s="3" t="n">
        <v>5</v>
      </c>
    </row>
    <row r="140">
      <c r="A140" s="3" t="inlineStr">
        <is>
          <t>202032077</t>
        </is>
      </c>
      <c r="B140" s="3" t="n">
        <v>10</v>
      </c>
      <c r="C140" s="3" t="inlineStr">
        <is>
          <t>Direct</t>
        </is>
      </c>
      <c r="D140" s="3" t="n">
        <v>7.9</v>
      </c>
      <c r="E140" s="3" t="n">
        <v>0</v>
      </c>
      <c r="F140" s="3" t="n">
        <v>7.6</v>
      </c>
      <c r="G140" s="3" t="n">
        <v>5</v>
      </c>
      <c r="H140" s="3" t="n">
        <v>8.4</v>
      </c>
      <c r="I140" s="3" t="n">
        <v>3</v>
      </c>
      <c r="J140" s="3" t="n">
        <v>8.6</v>
      </c>
      <c r="K140" s="3" t="n">
        <v>8</v>
      </c>
      <c r="L140" s="3" t="n">
        <v>9.300000000000001</v>
      </c>
      <c r="M140" s="3" t="n">
        <v>8.9</v>
      </c>
      <c r="N140" s="3" t="n">
        <v>8.300000000000001</v>
      </c>
    </row>
    <row r="141">
      <c r="A141" s="3" t="inlineStr">
        <is>
          <t>202032205</t>
        </is>
      </c>
      <c r="B141" s="3" t="n">
        <v>7</v>
      </c>
      <c r="C141" s="3" t="inlineStr">
        <is>
          <t>Direct</t>
        </is>
      </c>
      <c r="D141" s="3" t="n">
        <v>5.285714285714286</v>
      </c>
      <c r="E141" s="3" t="n">
        <v>0</v>
      </c>
      <c r="F141" s="3" t="n">
        <v>3.571428571428572</v>
      </c>
      <c r="G141" s="3" t="n">
        <v>5.285714285714286</v>
      </c>
      <c r="H141" s="3" t="n">
        <v>3.857142857142857</v>
      </c>
      <c r="I141" s="3" t="n">
        <v>2.857142857142857</v>
      </c>
      <c r="J141" s="3" t="n">
        <v>2.428571428571428</v>
      </c>
      <c r="K141" s="3" t="n">
        <v>5.428571428571429</v>
      </c>
      <c r="L141" s="3" t="n">
        <v>5.428571428571429</v>
      </c>
      <c r="M141" s="3" t="n">
        <v>5.285714285714286</v>
      </c>
      <c r="N141" s="3" t="n">
        <v>5.428571428571429</v>
      </c>
    </row>
    <row r="142">
      <c r="A142" s="3" t="inlineStr">
        <is>
          <t>202032671</t>
        </is>
      </c>
      <c r="B142" s="3" t="n">
        <v>7</v>
      </c>
      <c r="C142" s="3" t="inlineStr">
        <is>
          <t>Direct</t>
        </is>
      </c>
      <c r="D142" s="3" t="n">
        <v>3.857142857142857</v>
      </c>
      <c r="E142" s="3" t="n">
        <v>0</v>
      </c>
      <c r="F142" s="3" t="n">
        <v>2.857142857142857</v>
      </c>
      <c r="G142" s="3" t="n">
        <v>3.428571428571428</v>
      </c>
      <c r="H142" s="3" t="n">
        <v>3.857142857142857</v>
      </c>
      <c r="I142" s="3" t="n">
        <v>5</v>
      </c>
      <c r="J142" s="3" t="n">
        <v>4.714285714285714</v>
      </c>
      <c r="K142" s="3" t="n">
        <v>4.571428571428571</v>
      </c>
      <c r="L142" s="3" t="n">
        <v>4.714285714285714</v>
      </c>
      <c r="M142" s="3" t="n">
        <v>3</v>
      </c>
      <c r="N142" s="3" t="n">
        <v>3.571428571428572</v>
      </c>
    </row>
    <row r="143">
      <c r="A143" s="3" t="inlineStr">
        <is>
          <t>202034000</t>
        </is>
      </c>
      <c r="B143" s="3" t="n">
        <v>3</v>
      </c>
      <c r="C143" s="3" t="inlineStr">
        <is>
          <t>Direct</t>
        </is>
      </c>
      <c r="D143" s="3" t="n">
        <v>2</v>
      </c>
      <c r="E143" s="3" t="n">
        <v>0</v>
      </c>
      <c r="F143" s="3" t="n">
        <v>3.333333333333333</v>
      </c>
      <c r="G143" s="3" t="n">
        <v>2</v>
      </c>
      <c r="H143" s="3" t="n">
        <v>2.333333333333333</v>
      </c>
      <c r="I143" s="3" t="n">
        <v>0</v>
      </c>
      <c r="J143" s="3" t="n">
        <v>0.3333333333333333</v>
      </c>
      <c r="K143" s="3" t="n">
        <v>1.333333333333333</v>
      </c>
      <c r="L143" s="3" t="n">
        <v>7.666666666666667</v>
      </c>
      <c r="M143" s="3" t="n">
        <v>6.666666666666667</v>
      </c>
      <c r="N143" s="3" t="n">
        <v>1</v>
      </c>
    </row>
    <row r="144">
      <c r="A144" s="3" t="inlineStr">
        <is>
          <t>202034027</t>
        </is>
      </c>
      <c r="B144" s="3" t="n">
        <v>3</v>
      </c>
      <c r="C144" s="3" t="inlineStr">
        <is>
          <t>RQ</t>
        </is>
      </c>
      <c r="D144" s="3" t="n">
        <v>2.333333333333333</v>
      </c>
      <c r="E144" s="3" t="n">
        <v>0</v>
      </c>
      <c r="F144" s="3" t="n">
        <v>2</v>
      </c>
      <c r="G144" s="3" t="n">
        <v>5.666666666666667</v>
      </c>
      <c r="H144" s="3" t="n">
        <v>6</v>
      </c>
      <c r="I144" s="3" t="n">
        <v>6.333333333333333</v>
      </c>
      <c r="J144" s="3" t="n">
        <v>7.333333333333333</v>
      </c>
      <c r="K144" s="3" t="n">
        <v>7</v>
      </c>
      <c r="L144" s="3" t="n">
        <v>3</v>
      </c>
      <c r="M144" s="3" t="n">
        <v>8.666666666666666</v>
      </c>
      <c r="N144" s="3" t="n">
        <v>2</v>
      </c>
    </row>
    <row r="145">
      <c r="A145" s="3" t="inlineStr">
        <is>
          <t>20203415</t>
        </is>
      </c>
      <c r="B145" s="3" t="n">
        <v>1</v>
      </c>
      <c r="C145" s="3" t="inlineStr">
        <is>
          <t>Direct</t>
        </is>
      </c>
      <c r="D145" s="3" t="n">
        <v>1</v>
      </c>
      <c r="E145" s="3" t="n">
        <v>0</v>
      </c>
      <c r="F145" s="3" t="n">
        <v>1</v>
      </c>
      <c r="G145" s="3" t="n">
        <v>1</v>
      </c>
      <c r="H145" s="3" t="n">
        <v>0</v>
      </c>
      <c r="I145" s="3" t="n">
        <v>0</v>
      </c>
      <c r="J145" s="3" t="n">
        <v>0</v>
      </c>
      <c r="K145" s="3" t="n">
        <v>0</v>
      </c>
      <c r="L145" s="3" t="n">
        <v>0</v>
      </c>
      <c r="M145" s="3" t="n">
        <v>0</v>
      </c>
      <c r="N145" s="3" t="n">
        <v>0</v>
      </c>
    </row>
    <row r="146">
      <c r="A146" s="3" t="inlineStr">
        <is>
          <t>202034532</t>
        </is>
      </c>
      <c r="B146" s="3" t="n">
        <v>7</v>
      </c>
      <c r="C146" s="3" t="inlineStr">
        <is>
          <t>Direct</t>
        </is>
      </c>
      <c r="D146" s="3" t="n">
        <v>1.571428571428571</v>
      </c>
      <c r="E146" s="3" t="n">
        <v>0</v>
      </c>
      <c r="F146" s="3" t="n">
        <v>1</v>
      </c>
      <c r="G146" s="3" t="n">
        <v>1.428571428571429</v>
      </c>
      <c r="H146" s="3" t="n">
        <v>1.571428571428571</v>
      </c>
      <c r="I146" s="3" t="n">
        <v>1.857142857142857</v>
      </c>
      <c r="J146" s="3" t="n">
        <v>1.428571428571429</v>
      </c>
      <c r="K146" s="3" t="n">
        <v>1.714285714285714</v>
      </c>
      <c r="L146" s="3" t="n">
        <v>1.428571428571429</v>
      </c>
      <c r="M146" s="3" t="n">
        <v>2.428571428571428</v>
      </c>
      <c r="N146" s="3" t="n">
        <v>1.571428571428571</v>
      </c>
    </row>
    <row r="147">
      <c r="A147" s="3" t="inlineStr">
        <is>
          <t>202034535</t>
        </is>
      </c>
      <c r="B147" s="3" t="n">
        <v>1</v>
      </c>
      <c r="C147" s="3" t="inlineStr">
        <is>
          <t>Direct</t>
        </is>
      </c>
      <c r="D147" s="3" t="n">
        <v>9</v>
      </c>
      <c r="E147" s="3" t="n">
        <v>0</v>
      </c>
      <c r="F147" s="3" t="n">
        <v>8</v>
      </c>
      <c r="G147" s="3" t="n">
        <v>8</v>
      </c>
      <c r="H147" s="3" t="n">
        <v>9</v>
      </c>
      <c r="I147" s="3" t="n">
        <v>10</v>
      </c>
      <c r="J147" s="3" t="n">
        <v>0</v>
      </c>
      <c r="K147" s="3" t="n">
        <v>9</v>
      </c>
      <c r="L147" s="3" t="n">
        <v>8</v>
      </c>
      <c r="M147" s="3" t="n">
        <v>5</v>
      </c>
      <c r="N147" s="3" t="n">
        <v>0</v>
      </c>
    </row>
    <row r="148">
      <c r="A148" s="3" t="inlineStr">
        <is>
          <t>202034992</t>
        </is>
      </c>
      <c r="B148" s="3" t="n">
        <v>2</v>
      </c>
      <c r="C148" s="3" t="inlineStr">
        <is>
          <t>Direct</t>
        </is>
      </c>
      <c r="D148" s="3" t="n">
        <v>4.5</v>
      </c>
      <c r="E148" s="3" t="n">
        <v>0</v>
      </c>
      <c r="F148" s="3" t="n">
        <v>7.5</v>
      </c>
      <c r="G148" s="3" t="n">
        <v>7</v>
      </c>
      <c r="H148" s="3" t="n">
        <v>8</v>
      </c>
      <c r="I148" s="3" t="n">
        <v>8</v>
      </c>
      <c r="J148" s="3" t="n">
        <v>8.5</v>
      </c>
      <c r="K148" s="3" t="n">
        <v>7</v>
      </c>
      <c r="L148" s="3" t="n">
        <v>8.5</v>
      </c>
      <c r="M148" s="3" t="n">
        <v>8</v>
      </c>
      <c r="N148" s="3" t="n">
        <v>9</v>
      </c>
    </row>
    <row r="149">
      <c r="A149" s="3" t="inlineStr">
        <is>
          <t>202035243</t>
        </is>
      </c>
      <c r="B149" s="3" t="n">
        <v>3</v>
      </c>
      <c r="C149" s="3" t="inlineStr">
        <is>
          <t>Direct</t>
        </is>
      </c>
      <c r="D149" s="3" t="n">
        <v>0</v>
      </c>
      <c r="E149" s="3" t="n">
        <v>0</v>
      </c>
      <c r="F149" s="3" t="n">
        <v>0</v>
      </c>
      <c r="G149" s="3" t="n">
        <v>2</v>
      </c>
      <c r="H149" s="3" t="n">
        <v>0</v>
      </c>
      <c r="I149" s="3" t="n">
        <v>0.3333333333333333</v>
      </c>
      <c r="J149" s="3" t="n">
        <v>0</v>
      </c>
      <c r="K149" s="3" t="n">
        <v>0.3333333333333333</v>
      </c>
      <c r="L149" s="3" t="n">
        <v>0</v>
      </c>
      <c r="M149" s="3" t="n">
        <v>0</v>
      </c>
      <c r="N149" s="3" t="n">
        <v>0</v>
      </c>
    </row>
    <row r="150">
      <c r="A150" s="3" t="inlineStr">
        <is>
          <t>202035263</t>
        </is>
      </c>
      <c r="B150" s="3" t="n">
        <v>5</v>
      </c>
      <c r="C150" s="3" t="inlineStr">
        <is>
          <t>Direct</t>
        </is>
      </c>
      <c r="D150" s="3" t="n">
        <v>1.4</v>
      </c>
      <c r="E150" s="3" t="n">
        <v>0</v>
      </c>
      <c r="F150" s="3" t="n">
        <v>5.6</v>
      </c>
      <c r="G150" s="3" t="n">
        <v>3</v>
      </c>
      <c r="H150" s="3" t="n">
        <v>2.2</v>
      </c>
      <c r="I150" s="3" t="n">
        <v>1.8</v>
      </c>
      <c r="J150" s="3" t="n">
        <v>1.2</v>
      </c>
      <c r="K150" s="3" t="n">
        <v>0.8</v>
      </c>
      <c r="L150" s="3" t="n">
        <v>0.2</v>
      </c>
      <c r="M150" s="3" t="n">
        <v>0.8</v>
      </c>
      <c r="N150" s="3" t="n">
        <v>2</v>
      </c>
    </row>
    <row r="151">
      <c r="A151" s="3" t="inlineStr">
        <is>
          <t>202035636</t>
        </is>
      </c>
      <c r="B151" s="3" t="n">
        <v>6</v>
      </c>
      <c r="C151" s="3" t="inlineStr">
        <is>
          <t>Direct</t>
        </is>
      </c>
      <c r="D151" s="3" t="n">
        <v>1.666666666666667</v>
      </c>
      <c r="E151" s="3" t="n">
        <v>0</v>
      </c>
      <c r="F151" s="3" t="n">
        <v>1.333333333333333</v>
      </c>
      <c r="G151" s="3" t="n">
        <v>1.166666666666667</v>
      </c>
      <c r="H151" s="3" t="n">
        <v>1.166666666666667</v>
      </c>
      <c r="I151" s="3" t="n">
        <v>0.3333333333333333</v>
      </c>
      <c r="J151" s="3" t="n">
        <v>0.1666666666666667</v>
      </c>
      <c r="K151" s="3" t="n">
        <v>0.5</v>
      </c>
      <c r="L151" s="3" t="n">
        <v>1.166666666666667</v>
      </c>
      <c r="M151" s="3" t="n">
        <v>1.166666666666667</v>
      </c>
      <c r="N151" s="3" t="n">
        <v>2.666666666666667</v>
      </c>
    </row>
    <row r="152">
      <c r="A152" s="3" t="inlineStr">
        <is>
          <t>202035829</t>
        </is>
      </c>
      <c r="B152" s="3" t="n">
        <v>4</v>
      </c>
      <c r="C152" s="3" t="inlineStr">
        <is>
          <t>Direct</t>
        </is>
      </c>
      <c r="D152" s="3" t="n">
        <v>2.5</v>
      </c>
      <c r="E152" s="3" t="n">
        <v>0</v>
      </c>
      <c r="F152" s="3" t="n">
        <v>2</v>
      </c>
      <c r="G152" s="3" t="n">
        <v>2.75</v>
      </c>
      <c r="H152" s="3" t="n">
        <v>1</v>
      </c>
      <c r="I152" s="3" t="n">
        <v>0</v>
      </c>
      <c r="J152" s="3" t="n">
        <v>0.25</v>
      </c>
      <c r="K152" s="3" t="n">
        <v>1</v>
      </c>
      <c r="L152" s="3" t="n">
        <v>2</v>
      </c>
      <c r="M152" s="3" t="n">
        <v>3.5</v>
      </c>
      <c r="N152" s="3" t="n">
        <v>3.75</v>
      </c>
    </row>
    <row r="153">
      <c r="A153" s="3" t="inlineStr">
        <is>
          <t>202035865</t>
        </is>
      </c>
      <c r="B153" s="3" t="n">
        <v>5</v>
      </c>
      <c r="C153" s="3" t="inlineStr">
        <is>
          <t>Direct</t>
        </is>
      </c>
      <c r="D153" s="3" t="n">
        <v>5</v>
      </c>
      <c r="E153" s="3" t="n">
        <v>0</v>
      </c>
      <c r="F153" s="3" t="n">
        <v>4.2</v>
      </c>
      <c r="G153" s="3" t="n">
        <v>4.4</v>
      </c>
      <c r="H153" s="3" t="n">
        <v>4.4</v>
      </c>
      <c r="I153" s="3" t="n">
        <v>4.4</v>
      </c>
      <c r="J153" s="3" t="n">
        <v>4.2</v>
      </c>
      <c r="K153" s="3" t="n">
        <v>4.8</v>
      </c>
      <c r="L153" s="3" t="n">
        <v>5</v>
      </c>
      <c r="M153" s="3" t="n">
        <v>4.8</v>
      </c>
      <c r="N153" s="3" t="n">
        <v>4.6</v>
      </c>
    </row>
    <row r="154">
      <c r="A154" s="3" t="inlineStr">
        <is>
          <t>202035923</t>
        </is>
      </c>
      <c r="B154" s="3" t="n">
        <v>5</v>
      </c>
      <c r="C154" s="3" t="inlineStr">
        <is>
          <t>Direct</t>
        </is>
      </c>
      <c r="D154" s="3" t="n">
        <v>4.2</v>
      </c>
      <c r="E154" s="3" t="n">
        <v>0</v>
      </c>
      <c r="F154" s="3" t="n">
        <v>3.8</v>
      </c>
      <c r="G154" s="3" t="n">
        <v>6</v>
      </c>
      <c r="H154" s="3" t="n">
        <v>5</v>
      </c>
      <c r="I154" s="3" t="n">
        <v>7.4</v>
      </c>
      <c r="J154" s="3" t="n">
        <v>7.8</v>
      </c>
      <c r="K154" s="3" t="n">
        <v>7.4</v>
      </c>
      <c r="L154" s="3" t="n">
        <v>0.8</v>
      </c>
      <c r="M154" s="3" t="n">
        <v>2.8</v>
      </c>
      <c r="N154" s="3" t="n">
        <v>1</v>
      </c>
    </row>
    <row r="155">
      <c r="A155" s="3" t="inlineStr">
        <is>
          <t>202036095</t>
        </is>
      </c>
      <c r="B155" s="3" t="n">
        <v>10</v>
      </c>
      <c r="C155" s="3" t="inlineStr">
        <is>
          <t>Direct</t>
        </is>
      </c>
      <c r="D155" s="3" t="n">
        <v>6.4</v>
      </c>
      <c r="E155" s="3" t="n">
        <v>0</v>
      </c>
      <c r="F155" s="3" t="n">
        <v>7</v>
      </c>
      <c r="G155" s="3" t="n">
        <v>6.6</v>
      </c>
      <c r="H155" s="3" t="n">
        <v>5.9</v>
      </c>
      <c r="I155" s="3" t="n">
        <v>7.9</v>
      </c>
      <c r="J155" s="3" t="n">
        <v>8.199999999999999</v>
      </c>
      <c r="K155" s="3" t="n">
        <v>7.2</v>
      </c>
      <c r="L155" s="3" t="n">
        <v>8.5</v>
      </c>
      <c r="M155" s="3" t="n">
        <v>7.7</v>
      </c>
      <c r="N155" s="3" t="n">
        <v>8.300000000000001</v>
      </c>
    </row>
    <row r="156">
      <c r="A156" s="3" t="inlineStr">
        <is>
          <t>202036158</t>
        </is>
      </c>
      <c r="B156" s="3" t="n">
        <v>3</v>
      </c>
      <c r="C156" s="3" t="inlineStr">
        <is>
          <t>Direct</t>
        </is>
      </c>
      <c r="D156" s="3" t="n">
        <v>1.333333333333333</v>
      </c>
      <c r="E156" s="3" t="n">
        <v>0</v>
      </c>
      <c r="F156" s="3" t="n">
        <v>5</v>
      </c>
      <c r="G156" s="3" t="n">
        <v>1.666666666666667</v>
      </c>
      <c r="H156" s="3" t="n">
        <v>1</v>
      </c>
      <c r="I156" s="3" t="n">
        <v>2.333333333333333</v>
      </c>
      <c r="J156" s="3" t="n">
        <v>2.333333333333333</v>
      </c>
      <c r="K156" s="3" t="n">
        <v>2</v>
      </c>
      <c r="L156" s="3" t="n">
        <v>2.333333333333333</v>
      </c>
      <c r="M156" s="3" t="n">
        <v>2.333333333333333</v>
      </c>
      <c r="N156" s="3" t="n">
        <v>2.333333333333333</v>
      </c>
    </row>
    <row r="157">
      <c r="A157" s="3" t="inlineStr">
        <is>
          <t>202036655</t>
        </is>
      </c>
      <c r="B157" s="3" t="n">
        <v>10</v>
      </c>
      <c r="C157" s="3" t="inlineStr">
        <is>
          <t>Direct</t>
        </is>
      </c>
      <c r="D157" s="3" t="n">
        <v>0.8</v>
      </c>
      <c r="E157" s="3" t="n">
        <v>0</v>
      </c>
      <c r="F157" s="3" t="n">
        <v>1.3</v>
      </c>
      <c r="G157" s="3" t="n">
        <v>1.7</v>
      </c>
      <c r="H157" s="3" t="n">
        <v>2</v>
      </c>
      <c r="I157" s="3" t="n">
        <v>1.2</v>
      </c>
      <c r="J157" s="3" t="n">
        <v>1.9</v>
      </c>
      <c r="K157" s="3" t="n">
        <v>0.5</v>
      </c>
      <c r="L157" s="3" t="n">
        <v>1.3</v>
      </c>
      <c r="M157" s="3" t="n">
        <v>1.6</v>
      </c>
      <c r="N157" s="3" t="n">
        <v>0.7</v>
      </c>
    </row>
    <row r="158">
      <c r="A158" s="3" t="inlineStr">
        <is>
          <t>202037002</t>
        </is>
      </c>
      <c r="B158" s="3" t="n">
        <v>6</v>
      </c>
      <c r="C158" s="3" t="inlineStr">
        <is>
          <t>Direct</t>
        </is>
      </c>
      <c r="D158" s="3" t="n">
        <v>4.5</v>
      </c>
      <c r="E158" s="3" t="n">
        <v>0</v>
      </c>
      <c r="F158" s="3" t="n">
        <v>3.333333333333333</v>
      </c>
      <c r="G158" s="3" t="n">
        <v>4.166666666666667</v>
      </c>
      <c r="H158" s="3" t="n">
        <v>3.5</v>
      </c>
      <c r="I158" s="3" t="n">
        <v>4.166666666666667</v>
      </c>
      <c r="J158" s="3" t="n">
        <v>4</v>
      </c>
      <c r="K158" s="3" t="n">
        <v>4</v>
      </c>
      <c r="L158" s="3" t="n">
        <v>3.166666666666667</v>
      </c>
      <c r="M158" s="3" t="n">
        <v>3.5</v>
      </c>
      <c r="N158" s="3" t="n">
        <v>3.166666666666667</v>
      </c>
    </row>
    <row r="159">
      <c r="A159" s="3" t="inlineStr">
        <is>
          <t>202037084</t>
        </is>
      </c>
      <c r="B159" s="3" t="n">
        <v>7</v>
      </c>
      <c r="C159" s="3" t="inlineStr">
        <is>
          <t>Direct</t>
        </is>
      </c>
      <c r="D159" s="3" t="n">
        <v>1.428571428571429</v>
      </c>
      <c r="E159" s="3" t="n">
        <v>0</v>
      </c>
      <c r="F159" s="3" t="n">
        <v>1.285714285714286</v>
      </c>
      <c r="G159" s="3" t="n">
        <v>1.714285714285714</v>
      </c>
      <c r="H159" s="3" t="n">
        <v>1.428571428571429</v>
      </c>
      <c r="I159" s="3" t="n">
        <v>1.428571428571429</v>
      </c>
      <c r="J159" s="3" t="n">
        <v>3.285714285714286</v>
      </c>
      <c r="K159" s="3" t="n">
        <v>6.714285714285714</v>
      </c>
      <c r="L159" s="3" t="n">
        <v>1.857142857142857</v>
      </c>
      <c r="M159" s="3" t="n">
        <v>1.571428571428571</v>
      </c>
      <c r="N159" s="3" t="n">
        <v>1.428571428571429</v>
      </c>
    </row>
    <row r="160">
      <c r="A160" s="3" t="inlineStr">
        <is>
          <t>202037350</t>
        </is>
      </c>
      <c r="B160" s="3" t="n">
        <v>2</v>
      </c>
      <c r="C160" s="3" t="inlineStr">
        <is>
          <t>Direct</t>
        </is>
      </c>
      <c r="D160" s="3" t="n">
        <v>1</v>
      </c>
      <c r="E160" s="3" t="n">
        <v>0</v>
      </c>
      <c r="F160" s="3" t="n">
        <v>0</v>
      </c>
      <c r="G160" s="3" t="n">
        <v>0</v>
      </c>
      <c r="H160" s="3" t="n">
        <v>0</v>
      </c>
      <c r="I160" s="3" t="n">
        <v>0</v>
      </c>
      <c r="J160" s="3" t="n">
        <v>0</v>
      </c>
      <c r="K160" s="3" t="n">
        <v>0</v>
      </c>
      <c r="L160" s="3" t="n">
        <v>0</v>
      </c>
      <c r="M160" s="3" t="n">
        <v>0</v>
      </c>
      <c r="N160" s="3" t="n">
        <v>0</v>
      </c>
    </row>
    <row r="161">
      <c r="A161" s="3" t="inlineStr">
        <is>
          <t>20203737</t>
        </is>
      </c>
      <c r="B161" s="3" t="n">
        <v>5</v>
      </c>
      <c r="C161" s="3" t="inlineStr">
        <is>
          <t>Direct</t>
        </is>
      </c>
      <c r="D161" s="3" t="n">
        <v>1.8</v>
      </c>
      <c r="E161" s="3" t="n">
        <v>0</v>
      </c>
      <c r="F161" s="3" t="n">
        <v>3.2</v>
      </c>
      <c r="G161" s="3" t="n">
        <v>2.2</v>
      </c>
      <c r="H161" s="3" t="n">
        <v>1.6</v>
      </c>
      <c r="I161" s="3" t="n">
        <v>2.8</v>
      </c>
      <c r="J161" s="3" t="n">
        <v>3.6</v>
      </c>
      <c r="K161" s="3" t="n">
        <v>0.2</v>
      </c>
      <c r="L161" s="3" t="n">
        <v>4</v>
      </c>
      <c r="M161" s="3" t="n">
        <v>3.8</v>
      </c>
      <c r="N161" s="3" t="n">
        <v>5.2</v>
      </c>
    </row>
    <row r="162">
      <c r="A162" s="3" t="inlineStr">
        <is>
          <t>202038229</t>
        </is>
      </c>
      <c r="B162" s="3" t="n">
        <v>7</v>
      </c>
      <c r="C162" s="3" t="inlineStr">
        <is>
          <t>RQ</t>
        </is>
      </c>
      <c r="D162" s="3" t="n">
        <v>1.857142857142857</v>
      </c>
      <c r="E162" s="3" t="n">
        <v>0</v>
      </c>
      <c r="F162" s="3" t="n">
        <v>0.8571428571428571</v>
      </c>
      <c r="G162" s="3" t="n">
        <v>2</v>
      </c>
      <c r="H162" s="3" t="n">
        <v>1.857142857142857</v>
      </c>
      <c r="I162" s="3" t="n">
        <v>2.714285714285714</v>
      </c>
      <c r="J162" s="3" t="n">
        <v>1.714285714285714</v>
      </c>
      <c r="K162" s="3" t="n">
        <v>1.142857142857143</v>
      </c>
      <c r="L162" s="3" t="n">
        <v>1.714285714285714</v>
      </c>
      <c r="M162" s="3" t="n">
        <v>0.7142857142857143</v>
      </c>
      <c r="N162" s="3" t="n">
        <v>1.714285714285714</v>
      </c>
    </row>
    <row r="163">
      <c r="A163" s="3" t="inlineStr">
        <is>
          <t>202038276</t>
        </is>
      </c>
      <c r="B163" s="3" t="n">
        <v>1</v>
      </c>
      <c r="C163" s="3" t="inlineStr">
        <is>
          <t>Direct</t>
        </is>
      </c>
      <c r="D163" s="3" t="n">
        <v>9</v>
      </c>
      <c r="E163" s="3" t="n">
        <v>0</v>
      </c>
      <c r="F163" s="3" t="n">
        <v>8</v>
      </c>
      <c r="G163" s="3" t="n">
        <v>5</v>
      </c>
      <c r="H163" s="3" t="n">
        <v>9</v>
      </c>
      <c r="I163" s="3" t="n">
        <v>10</v>
      </c>
      <c r="J163" s="3" t="n">
        <v>10</v>
      </c>
      <c r="K163" s="3" t="n">
        <v>10</v>
      </c>
      <c r="L163" s="3" t="n">
        <v>10</v>
      </c>
      <c r="M163" s="3" t="n">
        <v>10</v>
      </c>
      <c r="N163" s="3" t="n">
        <v>9</v>
      </c>
    </row>
    <row r="164">
      <c r="A164" s="3" t="inlineStr">
        <is>
          <t>202038549</t>
        </is>
      </c>
      <c r="B164" s="3" t="n">
        <v>9</v>
      </c>
      <c r="C164" s="3" t="inlineStr">
        <is>
          <t>Direct</t>
        </is>
      </c>
      <c r="D164" s="3" t="n">
        <v>7.555555555555555</v>
      </c>
      <c r="E164" s="3" t="n">
        <v>0</v>
      </c>
      <c r="F164" s="3" t="n">
        <v>8.222222222222221</v>
      </c>
      <c r="G164" s="3" t="n">
        <v>4.555555555555555</v>
      </c>
      <c r="H164" s="3" t="n">
        <v>7.888888888888889</v>
      </c>
      <c r="I164" s="3" t="n">
        <v>7.555555555555555</v>
      </c>
      <c r="J164" s="3" t="n">
        <v>7.777777777777778</v>
      </c>
      <c r="K164" s="3" t="n">
        <v>8.222222222222221</v>
      </c>
      <c r="L164" s="3" t="n">
        <v>8.333333333333334</v>
      </c>
      <c r="M164" s="3" t="n">
        <v>9.444444444444445</v>
      </c>
      <c r="N164" s="3" t="n">
        <v>8.444444444444445</v>
      </c>
    </row>
    <row r="165">
      <c r="A165" s="3" t="inlineStr">
        <is>
          <t>202038607</t>
        </is>
      </c>
      <c r="B165" s="3" t="n">
        <v>4</v>
      </c>
      <c r="C165" s="3" t="inlineStr">
        <is>
          <t>Direct</t>
        </is>
      </c>
      <c r="D165" s="3" t="n">
        <v>0.75</v>
      </c>
      <c r="E165" s="3" t="n">
        <v>0</v>
      </c>
      <c r="F165" s="3" t="n">
        <v>0.75</v>
      </c>
      <c r="G165" s="3" t="n">
        <v>0.5</v>
      </c>
      <c r="H165" s="3" t="n">
        <v>0.5</v>
      </c>
      <c r="I165" s="3" t="n">
        <v>1.25</v>
      </c>
      <c r="J165" s="3" t="n">
        <v>0.75</v>
      </c>
      <c r="K165" s="3" t="n">
        <v>0</v>
      </c>
      <c r="L165" s="3" t="n">
        <v>0.75</v>
      </c>
      <c r="M165" s="3" t="n">
        <v>0.5</v>
      </c>
      <c r="N165" s="3" t="n">
        <v>0</v>
      </c>
    </row>
    <row r="166">
      <c r="A166" s="3" t="inlineStr">
        <is>
          <t>202038677</t>
        </is>
      </c>
      <c r="B166" s="3" t="n">
        <v>5</v>
      </c>
      <c r="C166" s="3" t="inlineStr">
        <is>
          <t>Direct</t>
        </is>
      </c>
      <c r="D166" s="3" t="n">
        <v>5</v>
      </c>
      <c r="E166" s="3" t="n">
        <v>0</v>
      </c>
      <c r="F166" s="3" t="n">
        <v>1.6</v>
      </c>
      <c r="G166" s="3" t="n">
        <v>3.8</v>
      </c>
      <c r="H166" s="3" t="n">
        <v>3.4</v>
      </c>
      <c r="I166" s="3" t="n">
        <v>0.6</v>
      </c>
      <c r="J166" s="3" t="n">
        <v>0.2</v>
      </c>
      <c r="K166" s="3" t="n">
        <v>0.8</v>
      </c>
      <c r="L166" s="3" t="n">
        <v>5.6</v>
      </c>
      <c r="M166" s="3" t="n">
        <v>0.4</v>
      </c>
      <c r="N166" s="3" t="n">
        <v>5.8</v>
      </c>
    </row>
    <row r="167">
      <c r="A167" s="3" t="inlineStr">
        <is>
          <t>202039497</t>
        </is>
      </c>
      <c r="B167" s="3" t="n">
        <v>5</v>
      </c>
      <c r="C167" s="3" t="inlineStr">
        <is>
          <t>Direct</t>
        </is>
      </c>
      <c r="D167" s="3" t="n">
        <v>3</v>
      </c>
      <c r="E167" s="3" t="n">
        <v>0</v>
      </c>
      <c r="F167" s="3" t="n">
        <v>3.4</v>
      </c>
      <c r="G167" s="3" t="n">
        <v>4.8</v>
      </c>
      <c r="H167" s="3" t="n">
        <v>3.8</v>
      </c>
      <c r="I167" s="3" t="n">
        <v>4</v>
      </c>
      <c r="J167" s="3" t="n">
        <v>3.4</v>
      </c>
      <c r="K167" s="3" t="n">
        <v>3.8</v>
      </c>
      <c r="L167" s="3" t="n">
        <v>2.4</v>
      </c>
      <c r="M167" s="3" t="n">
        <v>3.2</v>
      </c>
      <c r="N167" s="3" t="n">
        <v>3</v>
      </c>
    </row>
    <row r="168">
      <c r="A168" s="3" t="inlineStr">
        <is>
          <t>202039689</t>
        </is>
      </c>
      <c r="B168" s="3" t="n">
        <v>4</v>
      </c>
      <c r="C168" s="3" t="inlineStr">
        <is>
          <t>Direct</t>
        </is>
      </c>
      <c r="D168" s="3" t="n">
        <v>3.75</v>
      </c>
      <c r="E168" s="3" t="n">
        <v>0</v>
      </c>
      <c r="F168" s="3" t="n">
        <v>0</v>
      </c>
      <c r="G168" s="3" t="n">
        <v>1.25</v>
      </c>
      <c r="H168" s="3" t="n">
        <v>1.5</v>
      </c>
      <c r="I168" s="3" t="n">
        <v>2.25</v>
      </c>
      <c r="J168" s="3" t="n">
        <v>1</v>
      </c>
      <c r="K168" s="3" t="n">
        <v>1.5</v>
      </c>
      <c r="L168" s="3" t="n">
        <v>0.5</v>
      </c>
      <c r="M168" s="3" t="n">
        <v>2.5</v>
      </c>
      <c r="N168" s="3" t="n">
        <v>1.5</v>
      </c>
    </row>
    <row r="169">
      <c r="A169" s="3" t="inlineStr">
        <is>
          <t>202039725</t>
        </is>
      </c>
      <c r="B169" s="3" t="n">
        <v>7</v>
      </c>
      <c r="C169" s="3" t="inlineStr">
        <is>
          <t>Direct</t>
        </is>
      </c>
      <c r="D169" s="3" t="n">
        <v>4.714285714285714</v>
      </c>
      <c r="E169" s="3" t="n">
        <v>0</v>
      </c>
      <c r="F169" s="3" t="n">
        <v>3.571428571428572</v>
      </c>
      <c r="G169" s="3" t="n">
        <v>2.714285714285714</v>
      </c>
      <c r="H169" s="3" t="n">
        <v>1.571428571428571</v>
      </c>
      <c r="I169" s="3" t="n">
        <v>3</v>
      </c>
      <c r="J169" s="3" t="n">
        <v>2.857142857142857</v>
      </c>
      <c r="K169" s="3" t="n">
        <v>2.571428571428572</v>
      </c>
      <c r="L169" s="3" t="n">
        <v>4.714285714285714</v>
      </c>
      <c r="M169" s="3" t="n">
        <v>4.142857142857143</v>
      </c>
      <c r="N169" s="3" t="n">
        <v>3.142857142857143</v>
      </c>
    </row>
    <row r="170">
      <c r="A170" s="3" t="inlineStr">
        <is>
          <t>202039768</t>
        </is>
      </c>
      <c r="B170" s="3" t="n">
        <v>2</v>
      </c>
      <c r="C170" s="3" t="inlineStr">
        <is>
          <t>Direct</t>
        </is>
      </c>
      <c r="D170" s="3" t="n">
        <v>0</v>
      </c>
      <c r="E170" s="3" t="n">
        <v>0</v>
      </c>
      <c r="F170" s="3" t="n">
        <v>0</v>
      </c>
      <c r="G170" s="3" t="n">
        <v>0</v>
      </c>
      <c r="H170" s="3" t="n">
        <v>0</v>
      </c>
      <c r="I170" s="3" t="n">
        <v>0</v>
      </c>
      <c r="J170" s="3" t="n">
        <v>0</v>
      </c>
      <c r="K170" s="3" t="n">
        <v>0</v>
      </c>
      <c r="L170" s="3" t="n">
        <v>0</v>
      </c>
      <c r="M170" s="3" t="n">
        <v>0</v>
      </c>
      <c r="N170" s="3" t="n">
        <v>0</v>
      </c>
    </row>
    <row r="171">
      <c r="A171" s="3" t="inlineStr">
        <is>
          <t>202039792</t>
        </is>
      </c>
      <c r="B171" s="3" t="n">
        <v>9</v>
      </c>
      <c r="C171" s="3" t="inlineStr">
        <is>
          <t>Direct</t>
        </is>
      </c>
      <c r="D171" s="3" t="n">
        <v>3.444444444444445</v>
      </c>
      <c r="E171" s="3" t="n">
        <v>0</v>
      </c>
      <c r="F171" s="3" t="n">
        <v>1.666666666666667</v>
      </c>
      <c r="G171" s="3" t="n">
        <v>3.444444444444445</v>
      </c>
      <c r="H171" s="3" t="n">
        <v>2.777777777777778</v>
      </c>
      <c r="I171" s="3" t="n">
        <v>5.222222222222222</v>
      </c>
      <c r="J171" s="3" t="n">
        <v>4.777777777777778</v>
      </c>
      <c r="K171" s="3" t="n">
        <v>5.111111111111111</v>
      </c>
      <c r="L171" s="3" t="n">
        <v>3.444444444444445</v>
      </c>
      <c r="M171" s="3" t="n">
        <v>3</v>
      </c>
      <c r="N171" s="3" t="n">
        <v>4.666666666666667</v>
      </c>
    </row>
    <row r="172">
      <c r="A172" s="3" t="inlineStr">
        <is>
          <t>202040377</t>
        </is>
      </c>
      <c r="B172" s="3" t="n">
        <v>5</v>
      </c>
      <c r="C172" s="3" t="inlineStr">
        <is>
          <t>Direct</t>
        </is>
      </c>
      <c r="D172" s="3" t="n">
        <v>4.4</v>
      </c>
      <c r="E172" s="3" t="n">
        <v>0</v>
      </c>
      <c r="F172" s="3" t="n">
        <v>4.8</v>
      </c>
      <c r="G172" s="3" t="n">
        <v>7</v>
      </c>
      <c r="H172" s="3" t="n">
        <v>5.8</v>
      </c>
      <c r="I172" s="3" t="n">
        <v>2.8</v>
      </c>
      <c r="J172" s="3" t="n">
        <v>2.8</v>
      </c>
      <c r="K172" s="3" t="n">
        <v>2.6</v>
      </c>
      <c r="L172" s="3" t="n">
        <v>2.8</v>
      </c>
      <c r="M172" s="3" t="n">
        <v>5.6</v>
      </c>
      <c r="N172" s="3" t="n">
        <v>3.2</v>
      </c>
    </row>
    <row r="173">
      <c r="A173" s="3" t="inlineStr">
        <is>
          <t>20204375</t>
        </is>
      </c>
      <c r="B173" s="3" t="n">
        <v>5</v>
      </c>
      <c r="C173" s="3" t="inlineStr">
        <is>
          <t>Direct</t>
        </is>
      </c>
      <c r="D173" s="3" t="n">
        <v>5.4</v>
      </c>
      <c r="E173" s="3" t="n">
        <v>0</v>
      </c>
      <c r="F173" s="3" t="n">
        <v>3.8</v>
      </c>
      <c r="G173" s="3" t="n">
        <v>4.4</v>
      </c>
      <c r="H173" s="3" t="n">
        <v>7.4</v>
      </c>
      <c r="I173" s="3" t="n">
        <v>7</v>
      </c>
      <c r="J173" s="3" t="n">
        <v>8</v>
      </c>
      <c r="K173" s="3" t="n">
        <v>7</v>
      </c>
      <c r="L173" s="3" t="n">
        <v>3.2</v>
      </c>
      <c r="M173" s="3" t="n">
        <v>5.2</v>
      </c>
      <c r="N173" s="3" t="n">
        <v>7.6</v>
      </c>
    </row>
    <row r="174">
      <c r="A174" s="3" t="inlineStr">
        <is>
          <t>20204836</t>
        </is>
      </c>
      <c r="B174" s="3" t="n">
        <v>6</v>
      </c>
      <c r="C174" s="3" t="inlineStr">
        <is>
          <t>Direct</t>
        </is>
      </c>
      <c r="D174" s="3" t="n">
        <v>0</v>
      </c>
      <c r="E174" s="3" t="n">
        <v>0</v>
      </c>
      <c r="F174" s="3" t="n">
        <v>0.3333333333333333</v>
      </c>
      <c r="G174" s="3" t="n">
        <v>0</v>
      </c>
      <c r="H174" s="3" t="n">
        <v>0</v>
      </c>
      <c r="I174" s="3" t="n">
        <v>0.5</v>
      </c>
      <c r="J174" s="3" t="n">
        <v>4.166666666666667</v>
      </c>
      <c r="K174" s="3" t="n">
        <v>0.3333333333333333</v>
      </c>
      <c r="L174" s="3" t="n">
        <v>0</v>
      </c>
      <c r="M174" s="3" t="n">
        <v>0.1666666666666667</v>
      </c>
      <c r="N174" s="3" t="n">
        <v>0</v>
      </c>
    </row>
    <row r="175">
      <c r="A175" s="3" t="inlineStr">
        <is>
          <t>20205147</t>
        </is>
      </c>
      <c r="B175" s="3" t="n">
        <v>7</v>
      </c>
      <c r="C175" s="3" t="inlineStr">
        <is>
          <t>Direct</t>
        </is>
      </c>
      <c r="D175" s="3" t="n">
        <v>3.857142857142857</v>
      </c>
      <c r="E175" s="3" t="n">
        <v>0</v>
      </c>
      <c r="F175" s="3" t="n">
        <v>5.428571428571429</v>
      </c>
      <c r="G175" s="3" t="n">
        <v>5.285714285714286</v>
      </c>
      <c r="H175" s="3" t="n">
        <v>4.428571428571429</v>
      </c>
      <c r="I175" s="3" t="n">
        <v>4.428571428571429</v>
      </c>
      <c r="J175" s="3" t="n">
        <v>5</v>
      </c>
      <c r="K175" s="3" t="n">
        <v>4.571428571428571</v>
      </c>
      <c r="L175" s="3" t="n">
        <v>5.428571428571429</v>
      </c>
      <c r="M175" s="3" t="n">
        <v>4.857142857142857</v>
      </c>
      <c r="N175" s="3" t="n">
        <v>5.428571428571429</v>
      </c>
    </row>
    <row r="176">
      <c r="A176" s="3" t="inlineStr">
        <is>
          <t>20205509</t>
        </is>
      </c>
      <c r="B176" s="3" t="n">
        <v>9</v>
      </c>
      <c r="C176" s="3" t="inlineStr">
        <is>
          <t>Direct</t>
        </is>
      </c>
      <c r="D176" s="3" t="n">
        <v>4.333333333333333</v>
      </c>
      <c r="E176" s="3" t="n">
        <v>0</v>
      </c>
      <c r="F176" s="3" t="n">
        <v>4.888888888888889</v>
      </c>
      <c r="G176" s="3" t="n">
        <v>5.222222222222222</v>
      </c>
      <c r="H176" s="3" t="n">
        <v>4.888888888888889</v>
      </c>
      <c r="I176" s="3" t="n">
        <v>5.111111111111111</v>
      </c>
      <c r="J176" s="3" t="n">
        <v>5</v>
      </c>
      <c r="K176" s="3" t="n">
        <v>4.333333333333333</v>
      </c>
      <c r="L176" s="3" t="n">
        <v>4.444444444444445</v>
      </c>
      <c r="M176" s="3" t="n">
        <v>4.888888888888889</v>
      </c>
      <c r="N176" s="3" t="n">
        <v>4.555555555555555</v>
      </c>
    </row>
    <row r="177">
      <c r="A177" s="3" t="inlineStr">
        <is>
          <t>20205617</t>
        </is>
      </c>
      <c r="B177" s="3" t="n">
        <v>2</v>
      </c>
      <c r="C177" s="3" t="inlineStr">
        <is>
          <t>Direct</t>
        </is>
      </c>
      <c r="D177" s="3" t="n">
        <v>2.5</v>
      </c>
      <c r="E177" s="3" t="n">
        <v>0</v>
      </c>
      <c r="F177" s="3" t="n">
        <v>2.5</v>
      </c>
      <c r="G177" s="3" t="n">
        <v>0</v>
      </c>
      <c r="H177" s="3" t="n">
        <v>1.5</v>
      </c>
      <c r="I177" s="3" t="n">
        <v>1.5</v>
      </c>
      <c r="J177" s="3" t="n">
        <v>2.5</v>
      </c>
      <c r="K177" s="3" t="n">
        <v>2.5</v>
      </c>
      <c r="L177" s="3" t="n">
        <v>1.5</v>
      </c>
      <c r="M177" s="3" t="n">
        <v>1</v>
      </c>
      <c r="N177" s="3" t="n">
        <v>1</v>
      </c>
    </row>
    <row r="178">
      <c r="A178" s="3" t="inlineStr">
        <is>
          <t>2020577</t>
        </is>
      </c>
      <c r="B178" s="3" t="n">
        <v>3</v>
      </c>
      <c r="C178" s="3" t="inlineStr">
        <is>
          <t>Direct</t>
        </is>
      </c>
      <c r="D178" s="3" t="n">
        <v>2.666666666666667</v>
      </c>
      <c r="E178" s="3" t="n">
        <v>0</v>
      </c>
      <c r="F178" s="3" t="n">
        <v>0.3333333333333333</v>
      </c>
      <c r="G178" s="3" t="n">
        <v>0</v>
      </c>
      <c r="H178" s="3" t="n">
        <v>1</v>
      </c>
      <c r="I178" s="3" t="n">
        <v>0.6666666666666666</v>
      </c>
      <c r="J178" s="3" t="n">
        <v>1.666666666666667</v>
      </c>
      <c r="K178" s="3" t="n">
        <v>1.666666666666667</v>
      </c>
      <c r="L178" s="3" t="n">
        <v>0.6666666666666666</v>
      </c>
      <c r="M178" s="3" t="n">
        <v>0.6666666666666666</v>
      </c>
      <c r="N178" s="3" t="n">
        <v>0</v>
      </c>
    </row>
    <row r="179">
      <c r="A179" s="3" t="inlineStr">
        <is>
          <t>20206524</t>
        </is>
      </c>
      <c r="B179" s="3" t="n">
        <v>2</v>
      </c>
      <c r="C179" s="3" t="inlineStr">
        <is>
          <t>RQ</t>
        </is>
      </c>
      <c r="D179" s="3" t="n">
        <v>0</v>
      </c>
      <c r="E179" s="3" t="n">
        <v>0</v>
      </c>
      <c r="F179" s="3" t="n">
        <v>0</v>
      </c>
      <c r="G179" s="3" t="n">
        <v>0</v>
      </c>
      <c r="H179" s="3" t="n">
        <v>0</v>
      </c>
      <c r="I179" s="3" t="n">
        <v>0</v>
      </c>
      <c r="J179" s="3" t="n">
        <v>0</v>
      </c>
      <c r="K179" s="3" t="n">
        <v>0</v>
      </c>
      <c r="L179" s="3" t="n">
        <v>0</v>
      </c>
      <c r="M179" s="3" t="n">
        <v>0</v>
      </c>
      <c r="N179" s="3" t="n">
        <v>0</v>
      </c>
    </row>
    <row r="180">
      <c r="A180" s="3" t="inlineStr">
        <is>
          <t>20207124</t>
        </is>
      </c>
      <c r="B180" s="3" t="n">
        <v>3</v>
      </c>
      <c r="C180" s="3" t="inlineStr">
        <is>
          <t>Direct</t>
        </is>
      </c>
      <c r="D180" s="3" t="n">
        <v>4.666666666666667</v>
      </c>
      <c r="E180" s="3" t="n">
        <v>0</v>
      </c>
      <c r="F180" s="3" t="n">
        <v>7</v>
      </c>
      <c r="G180" s="3" t="n">
        <v>6</v>
      </c>
      <c r="H180" s="3" t="n">
        <v>7</v>
      </c>
      <c r="I180" s="3" t="n">
        <v>7.666666666666667</v>
      </c>
      <c r="J180" s="3" t="n">
        <v>6.333333333333333</v>
      </c>
      <c r="K180" s="3" t="n">
        <v>5.666666666666667</v>
      </c>
      <c r="L180" s="3" t="n">
        <v>8</v>
      </c>
      <c r="M180" s="3" t="n">
        <v>6</v>
      </c>
      <c r="N180" s="3" t="n">
        <v>8.666666666666666</v>
      </c>
    </row>
    <row r="181">
      <c r="A181" s="3" t="inlineStr">
        <is>
          <t>20207159</t>
        </is>
      </c>
      <c r="B181" s="3" t="n">
        <v>9</v>
      </c>
      <c r="C181" s="3" t="inlineStr">
        <is>
          <t>Direct</t>
        </is>
      </c>
      <c r="D181" s="3" t="n">
        <v>5.444444444444445</v>
      </c>
      <c r="E181" s="3" t="n">
        <v>0</v>
      </c>
      <c r="F181" s="3" t="n">
        <v>5.888888888888889</v>
      </c>
      <c r="G181" s="3" t="n">
        <v>4.555555555555555</v>
      </c>
      <c r="H181" s="3" t="n">
        <v>4.888888888888889</v>
      </c>
      <c r="I181" s="3" t="n">
        <v>6.333333333333333</v>
      </c>
      <c r="J181" s="3" t="n">
        <v>7.222222222222222</v>
      </c>
      <c r="K181" s="3" t="n">
        <v>7.888888888888889</v>
      </c>
      <c r="L181" s="3" t="n">
        <v>7.777777777777778</v>
      </c>
      <c r="M181" s="3" t="n">
        <v>7.666666666666667</v>
      </c>
      <c r="N181" s="3" t="n">
        <v>5.666666666666667</v>
      </c>
    </row>
    <row r="182">
      <c r="A182" s="3" t="inlineStr">
        <is>
          <t>20207598</t>
        </is>
      </c>
      <c r="B182" s="3" t="n">
        <v>10</v>
      </c>
      <c r="C182" s="3" t="inlineStr">
        <is>
          <t>Direct</t>
        </is>
      </c>
      <c r="D182" s="3" t="n">
        <v>5.9</v>
      </c>
      <c r="E182" s="3" t="n">
        <v>0</v>
      </c>
      <c r="F182" s="3" t="n">
        <v>5.2</v>
      </c>
      <c r="G182" s="3" t="n">
        <v>5.6</v>
      </c>
      <c r="H182" s="3" t="n">
        <v>5.8</v>
      </c>
      <c r="I182" s="3" t="n">
        <v>6.5</v>
      </c>
      <c r="J182" s="3" t="n">
        <v>7.3</v>
      </c>
      <c r="K182" s="3" t="n">
        <v>7.4</v>
      </c>
      <c r="L182" s="3" t="n">
        <v>5.9</v>
      </c>
      <c r="M182" s="3" t="n">
        <v>6.4</v>
      </c>
      <c r="N182" s="3" t="n">
        <v>6.8</v>
      </c>
    </row>
    <row r="183">
      <c r="A183" s="3" t="inlineStr">
        <is>
          <t>2020833</t>
        </is>
      </c>
      <c r="B183" s="3" t="n">
        <v>5</v>
      </c>
      <c r="C183" s="3" t="inlineStr">
        <is>
          <t>RQ</t>
        </is>
      </c>
      <c r="D183" s="3" t="n">
        <v>0</v>
      </c>
      <c r="E183" s="3" t="n">
        <v>0</v>
      </c>
      <c r="F183" s="3" t="n">
        <v>0</v>
      </c>
      <c r="G183" s="3" t="n">
        <v>0</v>
      </c>
      <c r="H183" s="3" t="n">
        <v>0</v>
      </c>
      <c r="I183" s="3" t="n">
        <v>0</v>
      </c>
      <c r="J183" s="3" t="n">
        <v>0</v>
      </c>
      <c r="K183" s="3" t="n">
        <v>0</v>
      </c>
      <c r="L183" s="3" t="n">
        <v>0</v>
      </c>
      <c r="M183" s="3" t="n">
        <v>0</v>
      </c>
      <c r="N183" s="3" t="n">
        <v>0</v>
      </c>
    </row>
    <row r="184">
      <c r="A184" s="3" t="inlineStr">
        <is>
          <t>202110312</t>
        </is>
      </c>
      <c r="B184" s="3" t="n">
        <v>8</v>
      </c>
      <c r="C184" s="3" t="inlineStr">
        <is>
          <t>Direct</t>
        </is>
      </c>
      <c r="D184" s="3" t="n">
        <v>4.375</v>
      </c>
      <c r="E184" s="3" t="n">
        <v>0</v>
      </c>
      <c r="F184" s="3" t="n">
        <v>3.125</v>
      </c>
      <c r="G184" s="3" t="n">
        <v>3.375</v>
      </c>
      <c r="H184" s="3" t="n">
        <v>4.125</v>
      </c>
      <c r="I184" s="3" t="n">
        <v>5.25</v>
      </c>
      <c r="J184" s="3" t="n">
        <v>4.625</v>
      </c>
      <c r="K184" s="3" t="n">
        <v>3.75</v>
      </c>
      <c r="L184" s="3" t="n">
        <v>4.5</v>
      </c>
      <c r="M184" s="3" t="n">
        <v>3.75</v>
      </c>
      <c r="N184" s="3" t="n">
        <v>3.875</v>
      </c>
    </row>
    <row r="185">
      <c r="A185" s="3" t="inlineStr">
        <is>
          <t>20211066</t>
        </is>
      </c>
      <c r="B185" s="3" t="n">
        <v>8</v>
      </c>
      <c r="C185" s="3" t="inlineStr">
        <is>
          <t>RQ</t>
        </is>
      </c>
      <c r="D185" s="3" t="n">
        <v>3</v>
      </c>
      <c r="E185" s="3" t="n">
        <v>0</v>
      </c>
      <c r="F185" s="3" t="n">
        <v>3.375</v>
      </c>
      <c r="G185" s="3" t="n">
        <v>3.125</v>
      </c>
      <c r="H185" s="3" t="n">
        <v>4.125</v>
      </c>
      <c r="I185" s="3" t="n">
        <v>3.5</v>
      </c>
      <c r="J185" s="3" t="n">
        <v>5.125</v>
      </c>
      <c r="K185" s="3" t="n">
        <v>2.875</v>
      </c>
      <c r="L185" s="3" t="n">
        <v>3.375</v>
      </c>
      <c r="M185" s="3" t="n">
        <v>3.75</v>
      </c>
      <c r="N185" s="3" t="n">
        <v>2.5</v>
      </c>
    </row>
    <row r="186">
      <c r="A186" s="3" t="inlineStr">
        <is>
          <t>20211069</t>
        </is>
      </c>
      <c r="B186" s="3" t="n">
        <v>5</v>
      </c>
      <c r="C186" s="3" t="inlineStr">
        <is>
          <t>Direct</t>
        </is>
      </c>
      <c r="D186" s="3" t="n">
        <v>5.4</v>
      </c>
      <c r="E186" s="3" t="n">
        <v>0</v>
      </c>
      <c r="F186" s="3" t="n">
        <v>2.2</v>
      </c>
      <c r="G186" s="3" t="n">
        <v>5</v>
      </c>
      <c r="H186" s="3" t="n">
        <v>2</v>
      </c>
      <c r="I186" s="3" t="n">
        <v>2.8</v>
      </c>
      <c r="J186" s="3" t="n">
        <v>5.8</v>
      </c>
      <c r="K186" s="3" t="n">
        <v>5.8</v>
      </c>
      <c r="L186" s="3" t="n">
        <v>2.6</v>
      </c>
      <c r="M186" s="3" t="n">
        <v>5.8</v>
      </c>
      <c r="N186" s="3" t="n">
        <v>2</v>
      </c>
    </row>
    <row r="187">
      <c r="A187" s="3" t="inlineStr">
        <is>
          <t>202110820</t>
        </is>
      </c>
      <c r="B187" s="3" t="n">
        <v>6</v>
      </c>
      <c r="C187" s="3" t="inlineStr">
        <is>
          <t>Direct</t>
        </is>
      </c>
      <c r="D187" s="3" t="n">
        <v>0</v>
      </c>
      <c r="E187" s="3" t="n">
        <v>0</v>
      </c>
      <c r="F187" s="3" t="n">
        <v>1.333333333333333</v>
      </c>
      <c r="G187" s="3" t="n">
        <v>3.5</v>
      </c>
      <c r="H187" s="3" t="n">
        <v>1</v>
      </c>
      <c r="I187" s="3" t="n">
        <v>2.666666666666667</v>
      </c>
      <c r="J187" s="3" t="n">
        <v>2.666666666666667</v>
      </c>
      <c r="K187" s="3" t="n">
        <v>5.333333333333333</v>
      </c>
      <c r="L187" s="3" t="n">
        <v>2.833333333333333</v>
      </c>
      <c r="M187" s="3" t="n">
        <v>1</v>
      </c>
      <c r="N187" s="3" t="n">
        <v>0</v>
      </c>
    </row>
    <row r="188">
      <c r="A188" s="3" t="inlineStr">
        <is>
          <t>202110879</t>
        </is>
      </c>
      <c r="B188" s="3" t="n">
        <v>5</v>
      </c>
      <c r="C188" s="3" t="inlineStr">
        <is>
          <t>Direct</t>
        </is>
      </c>
      <c r="D188" s="3" t="n">
        <v>0</v>
      </c>
      <c r="E188" s="3" t="n">
        <v>0</v>
      </c>
      <c r="F188" s="3" t="n">
        <v>0</v>
      </c>
      <c r="G188" s="3" t="n">
        <v>0</v>
      </c>
      <c r="H188" s="3" t="n">
        <v>0</v>
      </c>
      <c r="I188" s="3" t="n">
        <v>0</v>
      </c>
      <c r="J188" s="3" t="n">
        <v>0</v>
      </c>
      <c r="K188" s="3" t="n">
        <v>0</v>
      </c>
      <c r="L188" s="3" t="n">
        <v>0</v>
      </c>
      <c r="M188" s="3" t="n">
        <v>0</v>
      </c>
      <c r="N188" s="3" t="n">
        <v>0</v>
      </c>
    </row>
    <row r="189">
      <c r="A189" s="3" t="inlineStr">
        <is>
          <t>20211127</t>
        </is>
      </c>
      <c r="B189" s="3" t="n">
        <v>4</v>
      </c>
      <c r="C189" s="3" t="inlineStr">
        <is>
          <t>Direct</t>
        </is>
      </c>
      <c r="D189" s="3" t="n">
        <v>6.5</v>
      </c>
      <c r="E189" s="3" t="n">
        <v>0</v>
      </c>
      <c r="F189" s="3" t="n">
        <v>6.75</v>
      </c>
      <c r="G189" s="3" t="n">
        <v>6.75</v>
      </c>
      <c r="H189" s="3" t="n">
        <v>5.5</v>
      </c>
      <c r="I189" s="3" t="n">
        <v>4.75</v>
      </c>
      <c r="J189" s="3" t="n">
        <v>5.25</v>
      </c>
      <c r="K189" s="3" t="n">
        <v>5.25</v>
      </c>
      <c r="L189" s="3" t="n">
        <v>4.5</v>
      </c>
      <c r="M189" s="3" t="n">
        <v>6.25</v>
      </c>
      <c r="N189" s="3" t="n">
        <v>4.5</v>
      </c>
    </row>
    <row r="190">
      <c r="A190" s="3" t="inlineStr">
        <is>
          <t>20211216</t>
        </is>
      </c>
      <c r="B190" s="3" t="n">
        <v>6</v>
      </c>
      <c r="C190" s="3" t="inlineStr">
        <is>
          <t>Direct</t>
        </is>
      </c>
      <c r="D190" s="3" t="n">
        <v>8.166666666666666</v>
      </c>
      <c r="E190" s="3" t="n">
        <v>0</v>
      </c>
      <c r="F190" s="3" t="n">
        <v>7.666666666666667</v>
      </c>
      <c r="G190" s="3" t="n">
        <v>4.5</v>
      </c>
      <c r="H190" s="3" t="n">
        <v>7.5</v>
      </c>
      <c r="I190" s="3" t="n">
        <v>8.333333333333334</v>
      </c>
      <c r="J190" s="3" t="n">
        <v>8.166666666666666</v>
      </c>
      <c r="K190" s="3" t="n">
        <v>8</v>
      </c>
      <c r="L190" s="3" t="n">
        <v>4.5</v>
      </c>
      <c r="M190" s="3" t="n">
        <v>8.666666666666666</v>
      </c>
      <c r="N190" s="3" t="n">
        <v>4.5</v>
      </c>
    </row>
    <row r="191">
      <c r="A191" s="3" t="inlineStr">
        <is>
          <t>202112334</t>
        </is>
      </c>
      <c r="B191" s="3" t="n">
        <v>10</v>
      </c>
      <c r="C191" s="3" t="inlineStr">
        <is>
          <t>Direct</t>
        </is>
      </c>
      <c r="D191" s="3" t="n">
        <v>5</v>
      </c>
      <c r="E191" s="3" t="n">
        <v>0</v>
      </c>
      <c r="F191" s="3" t="n">
        <v>2.3</v>
      </c>
      <c r="G191" s="3" t="n">
        <v>1.6</v>
      </c>
      <c r="H191" s="3" t="n">
        <v>0.6</v>
      </c>
      <c r="I191" s="3" t="n">
        <v>1.3</v>
      </c>
      <c r="J191" s="3" t="n">
        <v>2.4</v>
      </c>
      <c r="K191" s="3" t="n">
        <v>2.5</v>
      </c>
      <c r="L191" s="3" t="n">
        <v>2.7</v>
      </c>
      <c r="M191" s="3" t="n">
        <v>2.3</v>
      </c>
      <c r="N191" s="3" t="n">
        <v>2.6</v>
      </c>
    </row>
    <row r="192">
      <c r="A192" s="3" t="inlineStr">
        <is>
          <t>202112336</t>
        </is>
      </c>
      <c r="B192" s="3" t="n">
        <v>7</v>
      </c>
      <c r="C192" s="3" t="inlineStr">
        <is>
          <t>Direct</t>
        </is>
      </c>
      <c r="D192" s="3" t="n">
        <v>5.428571428571429</v>
      </c>
      <c r="E192" s="3" t="n">
        <v>0</v>
      </c>
      <c r="F192" s="3" t="n">
        <v>2.714285714285714</v>
      </c>
      <c r="G192" s="3" t="n">
        <v>2.428571428571428</v>
      </c>
      <c r="H192" s="3" t="n">
        <v>4.571428571428571</v>
      </c>
      <c r="I192" s="3" t="n">
        <v>7</v>
      </c>
      <c r="J192" s="3" t="n">
        <v>7.142857142857143</v>
      </c>
      <c r="K192" s="3" t="n">
        <v>5.571428571428571</v>
      </c>
      <c r="L192" s="3" t="n">
        <v>2.428571428571428</v>
      </c>
      <c r="M192" s="3" t="n">
        <v>2.428571428571428</v>
      </c>
      <c r="N192" s="3" t="n">
        <v>2.285714285714286</v>
      </c>
    </row>
    <row r="193">
      <c r="A193" s="3" t="inlineStr">
        <is>
          <t>202112623</t>
        </is>
      </c>
      <c r="B193" s="3" t="n">
        <v>5</v>
      </c>
      <c r="C193" s="3" t="inlineStr">
        <is>
          <t>Direct</t>
        </is>
      </c>
      <c r="D193" s="3" t="n">
        <v>3</v>
      </c>
      <c r="E193" s="3" t="n">
        <v>0</v>
      </c>
      <c r="F193" s="3" t="n">
        <v>2.6</v>
      </c>
      <c r="G193" s="3" t="n">
        <v>3.6</v>
      </c>
      <c r="H193" s="3" t="n">
        <v>4.6</v>
      </c>
      <c r="I193" s="3" t="n">
        <v>4.2</v>
      </c>
      <c r="J193" s="3" t="n">
        <v>2.8</v>
      </c>
      <c r="K193" s="3" t="n">
        <v>3.6</v>
      </c>
      <c r="L193" s="3" t="n">
        <v>3.8</v>
      </c>
      <c r="M193" s="3" t="n">
        <v>4.2</v>
      </c>
      <c r="N193" s="3" t="n">
        <v>4.4</v>
      </c>
    </row>
    <row r="194">
      <c r="A194" s="3" t="inlineStr">
        <is>
          <t>20211318</t>
        </is>
      </c>
      <c r="B194" s="3" t="n">
        <v>9</v>
      </c>
      <c r="C194" s="3" t="inlineStr">
        <is>
          <t>Direct</t>
        </is>
      </c>
      <c r="D194" s="3" t="n">
        <v>6.666666666666667</v>
      </c>
      <c r="E194" s="3" t="n">
        <v>0</v>
      </c>
      <c r="F194" s="3" t="n">
        <v>6.333333333333333</v>
      </c>
      <c r="G194" s="3" t="n">
        <v>5.111111111111111</v>
      </c>
      <c r="H194" s="3" t="n">
        <v>5.888888888888889</v>
      </c>
      <c r="I194" s="3" t="n">
        <v>7.777777777777778</v>
      </c>
      <c r="J194" s="3" t="n">
        <v>8.888888888888889</v>
      </c>
      <c r="K194" s="3" t="n">
        <v>8.777777777777779</v>
      </c>
      <c r="L194" s="3" t="n">
        <v>8.111111111111111</v>
      </c>
      <c r="M194" s="3" t="n">
        <v>7.555555555555555</v>
      </c>
      <c r="N194" s="3" t="n">
        <v>8.333333333333334</v>
      </c>
    </row>
    <row r="195">
      <c r="A195" s="3" t="inlineStr">
        <is>
          <t>202113745</t>
        </is>
      </c>
      <c r="B195" s="3" t="n">
        <v>2</v>
      </c>
      <c r="C195" s="3" t="inlineStr">
        <is>
          <t>Direct</t>
        </is>
      </c>
      <c r="D195" s="3" t="n">
        <v>4.5</v>
      </c>
      <c r="E195" s="3" t="n">
        <v>0</v>
      </c>
      <c r="F195" s="3" t="n">
        <v>1</v>
      </c>
      <c r="G195" s="3" t="n">
        <v>1</v>
      </c>
      <c r="H195" s="3" t="n">
        <v>0</v>
      </c>
      <c r="I195" s="3" t="n">
        <v>0</v>
      </c>
      <c r="J195" s="3" t="n">
        <v>0.5</v>
      </c>
      <c r="K195" s="3" t="n">
        <v>0</v>
      </c>
      <c r="L195" s="3" t="n">
        <v>0</v>
      </c>
      <c r="M195" s="3" t="n">
        <v>0.5</v>
      </c>
      <c r="N195" s="3" t="n">
        <v>2</v>
      </c>
    </row>
    <row r="196">
      <c r="A196" s="3" t="inlineStr">
        <is>
          <t>202114057</t>
        </is>
      </c>
      <c r="B196" s="3" t="n">
        <v>3</v>
      </c>
      <c r="C196" s="3" t="inlineStr">
        <is>
          <t>Direct</t>
        </is>
      </c>
      <c r="D196" s="3" t="n">
        <v>1.333333333333333</v>
      </c>
      <c r="E196" s="3" t="n">
        <v>0</v>
      </c>
      <c r="F196" s="3" t="n">
        <v>0</v>
      </c>
      <c r="G196" s="3" t="n">
        <v>0</v>
      </c>
      <c r="H196" s="3" t="n">
        <v>0</v>
      </c>
      <c r="I196" s="3" t="n">
        <v>0.6666666666666666</v>
      </c>
      <c r="J196" s="3" t="n">
        <v>0</v>
      </c>
      <c r="K196" s="3" t="n">
        <v>0</v>
      </c>
      <c r="L196" s="3" t="n">
        <v>0</v>
      </c>
      <c r="M196" s="3" t="n">
        <v>0</v>
      </c>
      <c r="N196" s="3" t="n">
        <v>0</v>
      </c>
    </row>
    <row r="197">
      <c r="A197" s="3" t="inlineStr">
        <is>
          <t>202115546</t>
        </is>
      </c>
      <c r="B197" s="3" t="n">
        <v>7</v>
      </c>
      <c r="C197" s="3" t="inlineStr">
        <is>
          <t>Direct</t>
        </is>
      </c>
      <c r="D197" s="3" t="n">
        <v>1.857142857142857</v>
      </c>
      <c r="E197" s="3" t="n">
        <v>0</v>
      </c>
      <c r="F197" s="3" t="n">
        <v>2.142857142857143</v>
      </c>
      <c r="G197" s="3" t="n">
        <v>2.428571428571428</v>
      </c>
      <c r="H197" s="3" t="n">
        <v>2</v>
      </c>
      <c r="I197" s="3" t="n">
        <v>2.142857142857143</v>
      </c>
      <c r="J197" s="3" t="n">
        <v>2.428571428571428</v>
      </c>
      <c r="K197" s="3" t="n">
        <v>3.142857142857143</v>
      </c>
      <c r="L197" s="3" t="n">
        <v>1.428571428571429</v>
      </c>
      <c r="M197" s="3" t="n">
        <v>2.142857142857143</v>
      </c>
      <c r="N197" s="3" t="n">
        <v>1.428571428571429</v>
      </c>
    </row>
    <row r="198">
      <c r="A198" s="3" t="inlineStr">
        <is>
          <t>202115837</t>
        </is>
      </c>
      <c r="B198" s="3" t="n">
        <v>7</v>
      </c>
      <c r="C198" s="3" t="inlineStr">
        <is>
          <t>Direct</t>
        </is>
      </c>
      <c r="D198" s="3" t="n">
        <v>4.285714285714286</v>
      </c>
      <c r="E198" s="3" t="n">
        <v>0</v>
      </c>
      <c r="F198" s="3" t="n">
        <v>3.571428571428572</v>
      </c>
      <c r="G198" s="3" t="n">
        <v>4.857142857142857</v>
      </c>
      <c r="H198" s="3" t="n">
        <v>3.857142857142857</v>
      </c>
      <c r="I198" s="3" t="n">
        <v>4</v>
      </c>
      <c r="J198" s="3" t="n">
        <v>4.428571428571429</v>
      </c>
      <c r="K198" s="3" t="n">
        <v>3.857142857142857</v>
      </c>
      <c r="L198" s="3" t="n">
        <v>2.285714285714286</v>
      </c>
      <c r="M198" s="3" t="n">
        <v>3.857142857142857</v>
      </c>
      <c r="N198" s="3" t="n">
        <v>2.428571428571428</v>
      </c>
    </row>
    <row r="199">
      <c r="A199" s="3" t="inlineStr">
        <is>
          <t>202115899</t>
        </is>
      </c>
      <c r="B199" s="3" t="n">
        <v>3</v>
      </c>
      <c r="C199" s="3" t="inlineStr">
        <is>
          <t>Direct</t>
        </is>
      </c>
      <c r="D199" s="3" t="n">
        <v>0</v>
      </c>
      <c r="E199" s="3" t="n">
        <v>0</v>
      </c>
      <c r="F199" s="3" t="n">
        <v>2</v>
      </c>
      <c r="G199" s="3" t="n">
        <v>0</v>
      </c>
      <c r="H199" s="3" t="n">
        <v>1.666666666666667</v>
      </c>
      <c r="I199" s="3" t="n">
        <v>0.6666666666666666</v>
      </c>
      <c r="J199" s="3" t="n">
        <v>0</v>
      </c>
      <c r="K199" s="3" t="n">
        <v>2.333333333333333</v>
      </c>
      <c r="L199" s="3" t="n">
        <v>0.3333333333333333</v>
      </c>
      <c r="M199" s="3" t="n">
        <v>0.6666666666666666</v>
      </c>
      <c r="N199" s="3" t="n">
        <v>0.6666666666666666</v>
      </c>
    </row>
    <row r="200">
      <c r="A200" s="3" t="inlineStr">
        <is>
          <t>202117364</t>
        </is>
      </c>
      <c r="B200" s="3" t="n">
        <v>8</v>
      </c>
      <c r="C200" s="3" t="inlineStr">
        <is>
          <t>Direct</t>
        </is>
      </c>
      <c r="D200" s="3" t="n">
        <v>6.375</v>
      </c>
      <c r="E200" s="3" t="n">
        <v>0</v>
      </c>
      <c r="F200" s="3" t="n">
        <v>5.25</v>
      </c>
      <c r="G200" s="3" t="n">
        <v>4.625</v>
      </c>
      <c r="H200" s="3" t="n">
        <v>4.125</v>
      </c>
      <c r="I200" s="3" t="n">
        <v>4.5</v>
      </c>
      <c r="J200" s="3" t="n">
        <v>5</v>
      </c>
      <c r="K200" s="3" t="n">
        <v>4.375</v>
      </c>
      <c r="L200" s="3" t="n">
        <v>5.125</v>
      </c>
      <c r="M200" s="3" t="n">
        <v>5</v>
      </c>
      <c r="N200" s="3" t="n">
        <v>5</v>
      </c>
    </row>
    <row r="201">
      <c r="A201" s="3" t="inlineStr">
        <is>
          <t>202117465</t>
        </is>
      </c>
      <c r="B201" s="3" t="n">
        <v>7</v>
      </c>
      <c r="C201" s="3" t="inlineStr">
        <is>
          <t>Direct</t>
        </is>
      </c>
      <c r="D201" s="3" t="n">
        <v>5</v>
      </c>
      <c r="E201" s="3" t="n">
        <v>0</v>
      </c>
      <c r="F201" s="3" t="n">
        <v>1.142857142857143</v>
      </c>
      <c r="G201" s="3" t="n">
        <v>5</v>
      </c>
      <c r="H201" s="3" t="n">
        <v>4.142857142857143</v>
      </c>
      <c r="I201" s="3" t="n">
        <v>2.142857142857143</v>
      </c>
      <c r="J201" s="3" t="n">
        <v>1.714285714285714</v>
      </c>
      <c r="K201" s="3" t="n">
        <v>4.571428571428571</v>
      </c>
      <c r="L201" s="3" t="n">
        <v>1.714285714285714</v>
      </c>
      <c r="M201" s="3" t="n">
        <v>1.142857142857143</v>
      </c>
      <c r="N201" s="3" t="n">
        <v>4</v>
      </c>
    </row>
    <row r="202">
      <c r="A202" s="3" t="inlineStr">
        <is>
          <t>202117584</t>
        </is>
      </c>
      <c r="B202" s="3" t="n">
        <v>5</v>
      </c>
      <c r="C202" s="3" t="inlineStr">
        <is>
          <t>Direct</t>
        </is>
      </c>
      <c r="D202" s="3" t="n">
        <v>3.4</v>
      </c>
      <c r="E202" s="3" t="n">
        <v>0</v>
      </c>
      <c r="F202" s="3" t="n">
        <v>2</v>
      </c>
      <c r="G202" s="3" t="n">
        <v>3.2</v>
      </c>
      <c r="H202" s="3" t="n">
        <v>3.8</v>
      </c>
      <c r="I202" s="3" t="n">
        <v>2.6</v>
      </c>
      <c r="J202" s="3" t="n">
        <v>3</v>
      </c>
      <c r="K202" s="3" t="n">
        <v>2.8</v>
      </c>
      <c r="L202" s="3" t="n">
        <v>2.4</v>
      </c>
      <c r="M202" s="3" t="n">
        <v>3</v>
      </c>
      <c r="N202" s="3" t="n">
        <v>2.6</v>
      </c>
    </row>
    <row r="203">
      <c r="A203" s="3" t="inlineStr">
        <is>
          <t>20211782</t>
        </is>
      </c>
      <c r="B203" s="3" t="n">
        <v>3</v>
      </c>
      <c r="C203" s="3" t="inlineStr">
        <is>
          <t>Direct</t>
        </is>
      </c>
      <c r="D203" s="3" t="n">
        <v>9</v>
      </c>
      <c r="E203" s="3" t="n">
        <v>0</v>
      </c>
      <c r="F203" s="3" t="n">
        <v>2.333333333333333</v>
      </c>
      <c r="G203" s="3" t="n">
        <v>3.333333333333333</v>
      </c>
      <c r="H203" s="3" t="n">
        <v>3</v>
      </c>
      <c r="I203" s="3" t="n">
        <v>5</v>
      </c>
      <c r="J203" s="3" t="n">
        <v>3.666666666666667</v>
      </c>
      <c r="K203" s="3" t="n">
        <v>6</v>
      </c>
      <c r="L203" s="3" t="n">
        <v>3</v>
      </c>
      <c r="M203" s="3" t="n">
        <v>4.333333333333333</v>
      </c>
      <c r="N203" s="3" t="n">
        <v>1.333333333333333</v>
      </c>
    </row>
    <row r="204">
      <c r="A204" s="3" t="inlineStr">
        <is>
          <t>202117879</t>
        </is>
      </c>
      <c r="B204" s="3" t="n">
        <v>5</v>
      </c>
      <c r="C204" s="3" t="inlineStr">
        <is>
          <t>Direct</t>
        </is>
      </c>
      <c r="D204" s="3" t="n">
        <v>6.6</v>
      </c>
      <c r="E204" s="3" t="n">
        <v>0</v>
      </c>
      <c r="F204" s="3" t="n">
        <v>2</v>
      </c>
      <c r="G204" s="3" t="n">
        <v>3.2</v>
      </c>
      <c r="H204" s="3" t="n">
        <v>3.8</v>
      </c>
      <c r="I204" s="3" t="n">
        <v>3.6</v>
      </c>
      <c r="J204" s="3" t="n">
        <v>2.4</v>
      </c>
      <c r="K204" s="3" t="n">
        <v>4.2</v>
      </c>
      <c r="L204" s="3" t="n">
        <v>5.2</v>
      </c>
      <c r="M204" s="3" t="n">
        <v>7</v>
      </c>
      <c r="N204" s="3" t="n">
        <v>3</v>
      </c>
    </row>
    <row r="205">
      <c r="A205" s="3" t="inlineStr">
        <is>
          <t>202117928</t>
        </is>
      </c>
      <c r="B205" s="3" t="n">
        <v>7</v>
      </c>
      <c r="C205" s="3" t="inlineStr">
        <is>
          <t>Direct</t>
        </is>
      </c>
      <c r="D205" s="3" t="n">
        <v>1.857142857142857</v>
      </c>
      <c r="E205" s="3" t="n">
        <v>0</v>
      </c>
      <c r="F205" s="3" t="n">
        <v>5.714285714285714</v>
      </c>
      <c r="G205" s="3" t="n">
        <v>3.285714285714286</v>
      </c>
      <c r="H205" s="3" t="n">
        <v>4.428571428571429</v>
      </c>
      <c r="I205" s="3" t="n">
        <v>5.857142857142857</v>
      </c>
      <c r="J205" s="3" t="n">
        <v>4.857142857142857</v>
      </c>
      <c r="K205" s="3" t="n">
        <v>6</v>
      </c>
      <c r="L205" s="3" t="n">
        <v>5</v>
      </c>
      <c r="M205" s="3" t="n">
        <v>5.285714285714286</v>
      </c>
      <c r="N205" s="3" t="n">
        <v>4.571428571428571</v>
      </c>
    </row>
    <row r="206">
      <c r="A206" s="3" t="inlineStr">
        <is>
          <t>202118189</t>
        </is>
      </c>
      <c r="B206" s="3" t="n">
        <v>8</v>
      </c>
      <c r="C206" s="3" t="inlineStr">
        <is>
          <t>Direct</t>
        </is>
      </c>
      <c r="D206" s="3" t="n">
        <v>7.625</v>
      </c>
      <c r="E206" s="3" t="n">
        <v>0</v>
      </c>
      <c r="F206" s="3" t="n">
        <v>4.625</v>
      </c>
      <c r="G206" s="3" t="n">
        <v>5.125</v>
      </c>
      <c r="H206" s="3" t="n">
        <v>2.75</v>
      </c>
      <c r="I206" s="3" t="n">
        <v>4.75</v>
      </c>
      <c r="J206" s="3" t="n">
        <v>4.25</v>
      </c>
      <c r="K206" s="3" t="n">
        <v>4.5</v>
      </c>
      <c r="L206" s="3" t="n">
        <v>4.625</v>
      </c>
      <c r="M206" s="3" t="n">
        <v>5.625</v>
      </c>
      <c r="N206" s="3" t="n">
        <v>4.875</v>
      </c>
    </row>
    <row r="207">
      <c r="A207" s="3" t="inlineStr">
        <is>
          <t>202118561</t>
        </is>
      </c>
      <c r="B207" s="3" t="n">
        <v>3</v>
      </c>
      <c r="C207" s="3" t="inlineStr">
        <is>
          <t>Direct</t>
        </is>
      </c>
      <c r="D207" s="3" t="n">
        <v>4.666666666666667</v>
      </c>
      <c r="E207" s="3" t="n">
        <v>0</v>
      </c>
      <c r="F207" s="3" t="n">
        <v>2.333333333333333</v>
      </c>
      <c r="G207" s="3" t="n">
        <v>2.666666666666667</v>
      </c>
      <c r="H207" s="3" t="n">
        <v>3</v>
      </c>
      <c r="I207" s="3" t="n">
        <v>1.333333333333333</v>
      </c>
      <c r="J207" s="3" t="n">
        <v>1.333333333333333</v>
      </c>
      <c r="K207" s="3" t="n">
        <v>4.666666666666667</v>
      </c>
      <c r="L207" s="3" t="n">
        <v>6.333333333333333</v>
      </c>
      <c r="M207" s="3" t="n">
        <v>5</v>
      </c>
      <c r="N207" s="3" t="n">
        <v>6</v>
      </c>
    </row>
    <row r="208">
      <c r="A208" s="3" t="inlineStr">
        <is>
          <t>202118662</t>
        </is>
      </c>
      <c r="B208" s="3" t="n">
        <v>6</v>
      </c>
      <c r="C208" s="3" t="inlineStr">
        <is>
          <t>Direct</t>
        </is>
      </c>
      <c r="D208" s="3" t="n">
        <v>1.166666666666667</v>
      </c>
      <c r="E208" s="3" t="n">
        <v>0</v>
      </c>
      <c r="F208" s="3" t="n">
        <v>2.166666666666667</v>
      </c>
      <c r="G208" s="3" t="n">
        <v>2.833333333333333</v>
      </c>
      <c r="H208" s="3" t="n">
        <v>2</v>
      </c>
      <c r="I208" s="3" t="n">
        <v>2</v>
      </c>
      <c r="J208" s="3" t="n">
        <v>5.166666666666667</v>
      </c>
      <c r="K208" s="3" t="n">
        <v>4.666666666666667</v>
      </c>
      <c r="L208" s="3" t="n">
        <v>5.5</v>
      </c>
      <c r="M208" s="3" t="n">
        <v>5.166666666666667</v>
      </c>
      <c r="N208" s="3" t="n">
        <v>2</v>
      </c>
    </row>
    <row r="209">
      <c r="A209" s="3" t="inlineStr">
        <is>
          <t>202118890</t>
        </is>
      </c>
      <c r="B209" s="3" t="n">
        <v>8</v>
      </c>
      <c r="C209" s="3" t="inlineStr">
        <is>
          <t>Direct</t>
        </is>
      </c>
      <c r="D209" s="3" t="n">
        <v>7.625</v>
      </c>
      <c r="E209" s="3" t="n">
        <v>0</v>
      </c>
      <c r="F209" s="3" t="n">
        <v>3.875</v>
      </c>
      <c r="G209" s="3" t="n">
        <v>6</v>
      </c>
      <c r="H209" s="3" t="n">
        <v>5.25</v>
      </c>
      <c r="I209" s="3" t="n">
        <v>8.75</v>
      </c>
      <c r="J209" s="3" t="n">
        <v>8.25</v>
      </c>
      <c r="K209" s="3" t="n">
        <v>8.5</v>
      </c>
      <c r="L209" s="3" t="n">
        <v>4.75</v>
      </c>
      <c r="M209" s="3" t="n">
        <v>8.125</v>
      </c>
      <c r="N209" s="3" t="n">
        <v>4.5</v>
      </c>
    </row>
    <row r="210">
      <c r="A210" s="3" t="inlineStr">
        <is>
          <t>202119333</t>
        </is>
      </c>
      <c r="B210" s="3" t="n">
        <v>3</v>
      </c>
      <c r="C210" s="3" t="inlineStr">
        <is>
          <t>Direct</t>
        </is>
      </c>
      <c r="D210" s="3" t="n">
        <v>3.333333333333333</v>
      </c>
      <c r="E210" s="3" t="n">
        <v>0</v>
      </c>
      <c r="F210" s="3" t="n">
        <v>1.333333333333333</v>
      </c>
      <c r="G210" s="3" t="n">
        <v>1.333333333333333</v>
      </c>
      <c r="H210" s="3" t="n">
        <v>1.666666666666667</v>
      </c>
      <c r="I210" s="3" t="n">
        <v>3</v>
      </c>
      <c r="J210" s="3" t="n">
        <v>0.6666666666666666</v>
      </c>
      <c r="K210" s="3" t="n">
        <v>3</v>
      </c>
      <c r="L210" s="3" t="n">
        <v>3.333333333333333</v>
      </c>
      <c r="M210" s="3" t="n">
        <v>3.333333333333333</v>
      </c>
      <c r="N210" s="3" t="n">
        <v>3.333333333333333</v>
      </c>
    </row>
    <row r="211">
      <c r="A211" s="3" t="inlineStr">
        <is>
          <t>202119693</t>
        </is>
      </c>
      <c r="B211" s="3" t="n">
        <v>4</v>
      </c>
      <c r="C211" s="3" t="inlineStr">
        <is>
          <t>Direct</t>
        </is>
      </c>
      <c r="D211" s="3" t="n">
        <v>3</v>
      </c>
      <c r="E211" s="3" t="n">
        <v>0</v>
      </c>
      <c r="F211" s="3" t="n">
        <v>3</v>
      </c>
      <c r="G211" s="3" t="n">
        <v>2</v>
      </c>
      <c r="H211" s="3" t="n">
        <v>2.25</v>
      </c>
      <c r="I211" s="3" t="n">
        <v>1.5</v>
      </c>
      <c r="J211" s="3" t="n">
        <v>0.5</v>
      </c>
      <c r="K211" s="3" t="n">
        <v>2.5</v>
      </c>
      <c r="L211" s="3" t="n">
        <v>2.75</v>
      </c>
      <c r="M211" s="3" t="n">
        <v>1</v>
      </c>
      <c r="N211" s="3" t="n">
        <v>2.5</v>
      </c>
    </row>
    <row r="212">
      <c r="A212" s="3" t="inlineStr">
        <is>
          <t>202119783</t>
        </is>
      </c>
      <c r="B212" s="3" t="n">
        <v>9</v>
      </c>
      <c r="C212" s="3" t="inlineStr">
        <is>
          <t>Direct</t>
        </is>
      </c>
      <c r="D212" s="3" t="n">
        <v>0</v>
      </c>
      <c r="E212" s="3" t="n">
        <v>0</v>
      </c>
      <c r="F212" s="3" t="n">
        <v>0.7777777777777778</v>
      </c>
      <c r="G212" s="3" t="n">
        <v>1.222222222222222</v>
      </c>
      <c r="H212" s="3" t="n">
        <v>0.2222222222222222</v>
      </c>
      <c r="I212" s="3" t="n">
        <v>0.3333333333333333</v>
      </c>
      <c r="J212" s="3" t="n">
        <v>0</v>
      </c>
      <c r="K212" s="3" t="n">
        <v>0.5555555555555556</v>
      </c>
      <c r="L212" s="3" t="n">
        <v>0.5555555555555556</v>
      </c>
      <c r="M212" s="3" t="n">
        <v>0.6666666666666666</v>
      </c>
      <c r="N212" s="3" t="n">
        <v>2.111111111111111</v>
      </c>
    </row>
    <row r="213">
      <c r="A213" s="3" t="inlineStr">
        <is>
          <t>20211997</t>
        </is>
      </c>
      <c r="B213" s="3" t="n">
        <v>6</v>
      </c>
      <c r="C213" s="3" t="inlineStr">
        <is>
          <t>Direct</t>
        </is>
      </c>
      <c r="D213" s="3" t="n">
        <v>4.666666666666667</v>
      </c>
      <c r="E213" s="3" t="n">
        <v>0</v>
      </c>
      <c r="F213" s="3" t="n">
        <v>4.5</v>
      </c>
      <c r="G213" s="3" t="n">
        <v>4.333333333333333</v>
      </c>
      <c r="H213" s="3" t="n">
        <v>4.333333333333333</v>
      </c>
      <c r="I213" s="3" t="n">
        <v>5.5</v>
      </c>
      <c r="J213" s="3" t="n">
        <v>5.833333333333333</v>
      </c>
      <c r="K213" s="3" t="n">
        <v>6</v>
      </c>
      <c r="L213" s="3" t="n">
        <v>5.5</v>
      </c>
      <c r="M213" s="3" t="n">
        <v>5.5</v>
      </c>
      <c r="N213" s="3" t="n">
        <v>5.333333333333333</v>
      </c>
    </row>
    <row r="214">
      <c r="A214" s="3" t="inlineStr">
        <is>
          <t>20212004</t>
        </is>
      </c>
      <c r="B214" s="3" t="n">
        <v>8</v>
      </c>
      <c r="C214" s="3" t="inlineStr">
        <is>
          <t>Direct</t>
        </is>
      </c>
      <c r="D214" s="3" t="n">
        <v>4.125</v>
      </c>
      <c r="E214" s="3" t="n">
        <v>0</v>
      </c>
      <c r="F214" s="3" t="n">
        <v>0.375</v>
      </c>
      <c r="G214" s="3" t="n">
        <v>0.25</v>
      </c>
      <c r="H214" s="3" t="n">
        <v>0</v>
      </c>
      <c r="I214" s="3" t="n">
        <v>0.25</v>
      </c>
      <c r="J214" s="3" t="n">
        <v>0</v>
      </c>
      <c r="K214" s="3" t="n">
        <v>0</v>
      </c>
      <c r="L214" s="3" t="n">
        <v>0.25</v>
      </c>
      <c r="M214" s="3" t="n">
        <v>0.25</v>
      </c>
      <c r="N214" s="3" t="n">
        <v>0.375</v>
      </c>
    </row>
    <row r="215">
      <c r="A215" s="3" t="inlineStr">
        <is>
          <t>202120057</t>
        </is>
      </c>
      <c r="B215" s="3" t="n">
        <v>4</v>
      </c>
      <c r="C215" s="3" t="inlineStr">
        <is>
          <t>Direct</t>
        </is>
      </c>
      <c r="D215" s="3" t="n">
        <v>1.75</v>
      </c>
      <c r="E215" s="3" t="n">
        <v>0</v>
      </c>
      <c r="F215" s="3" t="n">
        <v>2</v>
      </c>
      <c r="G215" s="3" t="n">
        <v>0.75</v>
      </c>
      <c r="H215" s="3" t="n">
        <v>2.25</v>
      </c>
      <c r="I215" s="3" t="n">
        <v>0.5</v>
      </c>
      <c r="J215" s="3" t="n">
        <v>0.75</v>
      </c>
      <c r="K215" s="3" t="n">
        <v>0.25</v>
      </c>
      <c r="L215" s="3" t="n">
        <v>0</v>
      </c>
      <c r="M215" s="3" t="n">
        <v>0.5</v>
      </c>
      <c r="N215" s="3" t="n">
        <v>0.5</v>
      </c>
    </row>
    <row r="216">
      <c r="A216" s="3" t="inlineStr">
        <is>
          <t>202120239</t>
        </is>
      </c>
      <c r="B216" s="3" t="n">
        <v>2</v>
      </c>
      <c r="C216" s="3" t="inlineStr">
        <is>
          <t>Direct</t>
        </is>
      </c>
      <c r="D216" s="3" t="n">
        <v>4</v>
      </c>
      <c r="E216" s="3" t="n">
        <v>0</v>
      </c>
      <c r="F216" s="3" t="n">
        <v>2.5</v>
      </c>
      <c r="G216" s="3" t="n">
        <v>1</v>
      </c>
      <c r="H216" s="3" t="n">
        <v>2.5</v>
      </c>
      <c r="I216" s="3" t="n">
        <v>4</v>
      </c>
      <c r="J216" s="3" t="n">
        <v>1</v>
      </c>
      <c r="K216" s="3" t="n">
        <v>2</v>
      </c>
      <c r="L216" s="3" t="n">
        <v>4.5</v>
      </c>
      <c r="M216" s="3" t="n">
        <v>4.5</v>
      </c>
      <c r="N216" s="3" t="n">
        <v>4.5</v>
      </c>
    </row>
    <row r="217">
      <c r="A217" s="3" t="inlineStr">
        <is>
          <t>202120410</t>
        </is>
      </c>
      <c r="B217" s="3" t="n">
        <v>2</v>
      </c>
      <c r="C217" s="3" t="inlineStr">
        <is>
          <t>Direct</t>
        </is>
      </c>
      <c r="D217" s="3" t="n">
        <v>5</v>
      </c>
      <c r="E217" s="3" t="n">
        <v>0</v>
      </c>
      <c r="F217" s="3" t="n">
        <v>1.5</v>
      </c>
      <c r="G217" s="3" t="n">
        <v>2.5</v>
      </c>
      <c r="H217" s="3" t="n">
        <v>4.5</v>
      </c>
      <c r="I217" s="3" t="n">
        <v>4.5</v>
      </c>
      <c r="J217" s="3" t="n">
        <v>1</v>
      </c>
      <c r="K217" s="3" t="n">
        <v>5</v>
      </c>
      <c r="L217" s="3" t="n">
        <v>4.5</v>
      </c>
      <c r="M217" s="3" t="n">
        <v>5</v>
      </c>
      <c r="N217" s="3" t="n">
        <v>4.5</v>
      </c>
    </row>
    <row r="218">
      <c r="A218" s="3" t="inlineStr">
        <is>
          <t>202120630</t>
        </is>
      </c>
      <c r="B218" s="3" t="n">
        <v>8</v>
      </c>
      <c r="C218" s="3" t="inlineStr">
        <is>
          <t>Direct</t>
        </is>
      </c>
      <c r="D218" s="3" t="n">
        <v>4.125</v>
      </c>
      <c r="E218" s="3" t="n">
        <v>0</v>
      </c>
      <c r="F218" s="3" t="n">
        <v>3.625</v>
      </c>
      <c r="G218" s="3" t="n">
        <v>5.5</v>
      </c>
      <c r="H218" s="3" t="n">
        <v>5.375</v>
      </c>
      <c r="I218" s="3" t="n">
        <v>4.875</v>
      </c>
      <c r="J218" s="3" t="n">
        <v>5</v>
      </c>
      <c r="K218" s="3" t="n">
        <v>3.125</v>
      </c>
      <c r="L218" s="3" t="n">
        <v>4.875</v>
      </c>
      <c r="M218" s="3" t="n">
        <v>5.5</v>
      </c>
      <c r="N218" s="3" t="n">
        <v>5</v>
      </c>
    </row>
    <row r="219">
      <c r="A219" s="3" t="inlineStr">
        <is>
          <t>202121297</t>
        </is>
      </c>
      <c r="B219" s="3" t="n">
        <v>5</v>
      </c>
      <c r="C219" s="3" t="inlineStr">
        <is>
          <t>Direct</t>
        </is>
      </c>
      <c r="D219" s="3" t="n">
        <v>5.6</v>
      </c>
      <c r="E219" s="3" t="n">
        <v>0</v>
      </c>
      <c r="F219" s="3" t="n">
        <v>4.6</v>
      </c>
      <c r="G219" s="3" t="n">
        <v>3</v>
      </c>
      <c r="H219" s="3" t="n">
        <v>2.6</v>
      </c>
      <c r="I219" s="3" t="n">
        <v>4</v>
      </c>
      <c r="J219" s="3" t="n">
        <v>3.2</v>
      </c>
      <c r="K219" s="3" t="n">
        <v>3.6</v>
      </c>
      <c r="L219" s="3" t="n">
        <v>6.6</v>
      </c>
      <c r="M219" s="3" t="n">
        <v>5</v>
      </c>
      <c r="N219" s="3" t="n">
        <v>3.4</v>
      </c>
    </row>
    <row r="220">
      <c r="A220" s="3" t="inlineStr">
        <is>
          <t>202121459</t>
        </is>
      </c>
      <c r="B220" s="3" t="n">
        <v>6</v>
      </c>
      <c r="C220" s="3" t="inlineStr">
        <is>
          <t>Direct</t>
        </is>
      </c>
      <c r="D220" s="3" t="n">
        <v>4.5</v>
      </c>
      <c r="E220" s="3" t="n">
        <v>0</v>
      </c>
      <c r="F220" s="3" t="n">
        <v>3.166666666666667</v>
      </c>
      <c r="G220" s="3" t="n">
        <v>2.333333333333333</v>
      </c>
      <c r="H220" s="3" t="n">
        <v>3.333333333333333</v>
      </c>
      <c r="I220" s="3" t="n">
        <v>1.5</v>
      </c>
      <c r="J220" s="3" t="n">
        <v>1.333333333333333</v>
      </c>
      <c r="K220" s="3" t="n">
        <v>3.166666666666667</v>
      </c>
      <c r="L220" s="3" t="n">
        <v>3.833333333333333</v>
      </c>
      <c r="M220" s="3" t="n">
        <v>3.5</v>
      </c>
      <c r="N220" s="3" t="n">
        <v>3.833333333333333</v>
      </c>
    </row>
    <row r="221">
      <c r="A221" s="3" t="inlineStr">
        <is>
          <t>202121526</t>
        </is>
      </c>
      <c r="B221" s="3" t="n">
        <v>2</v>
      </c>
      <c r="C221" s="3" t="inlineStr">
        <is>
          <t>Direct</t>
        </is>
      </c>
      <c r="D221" s="3" t="n">
        <v>1</v>
      </c>
      <c r="E221" s="3" t="n">
        <v>0</v>
      </c>
      <c r="F221" s="3" t="n">
        <v>2.5</v>
      </c>
      <c r="G221" s="3" t="n">
        <v>1</v>
      </c>
      <c r="H221" s="3" t="n">
        <v>0.5</v>
      </c>
      <c r="I221" s="3" t="n">
        <v>2</v>
      </c>
      <c r="J221" s="3" t="n">
        <v>0</v>
      </c>
      <c r="K221" s="3" t="n">
        <v>0</v>
      </c>
      <c r="L221" s="3" t="n">
        <v>2</v>
      </c>
      <c r="M221" s="3" t="n">
        <v>1</v>
      </c>
      <c r="N221" s="3" t="n">
        <v>0.5</v>
      </c>
    </row>
    <row r="222">
      <c r="A222" s="3" t="inlineStr">
        <is>
          <t>202121556</t>
        </is>
      </c>
      <c r="B222" s="3" t="n">
        <v>7</v>
      </c>
      <c r="C222" s="3" t="inlineStr">
        <is>
          <t>Direct</t>
        </is>
      </c>
      <c r="D222" s="3" t="n">
        <v>5.285714285714286</v>
      </c>
      <c r="E222" s="3" t="n">
        <v>0</v>
      </c>
      <c r="F222" s="3" t="n">
        <v>3</v>
      </c>
      <c r="G222" s="3" t="n">
        <v>4.571428571428571</v>
      </c>
      <c r="H222" s="3" t="n">
        <v>3</v>
      </c>
      <c r="I222" s="3" t="n">
        <v>3.428571428571428</v>
      </c>
      <c r="J222" s="3" t="n">
        <v>4.571428571428571</v>
      </c>
      <c r="K222" s="3" t="n">
        <v>3.142857142857143</v>
      </c>
      <c r="L222" s="3" t="n">
        <v>3.142857142857143</v>
      </c>
      <c r="M222" s="3" t="n">
        <v>3.142857142857143</v>
      </c>
      <c r="N222" s="3" t="n">
        <v>3.571428571428572</v>
      </c>
    </row>
    <row r="223">
      <c r="A223" s="3" t="inlineStr">
        <is>
          <t>202121640</t>
        </is>
      </c>
      <c r="B223" s="3" t="n">
        <v>5</v>
      </c>
      <c r="C223" s="3" t="inlineStr">
        <is>
          <t>Direct</t>
        </is>
      </c>
      <c r="D223" s="3" t="n">
        <v>1.8</v>
      </c>
      <c r="E223" s="3" t="n">
        <v>0</v>
      </c>
      <c r="F223" s="3" t="n">
        <v>4</v>
      </c>
      <c r="G223" s="3" t="n">
        <v>4.2</v>
      </c>
      <c r="H223" s="3" t="n">
        <v>2.6</v>
      </c>
      <c r="I223" s="3" t="n">
        <v>5.6</v>
      </c>
      <c r="J223" s="3" t="n">
        <v>5.6</v>
      </c>
      <c r="K223" s="3" t="n">
        <v>4.2</v>
      </c>
      <c r="L223" s="3" t="n">
        <v>5.2</v>
      </c>
      <c r="M223" s="3" t="n">
        <v>5.4</v>
      </c>
      <c r="N223" s="3" t="n">
        <v>5.6</v>
      </c>
    </row>
    <row r="224">
      <c r="A224" s="3" t="inlineStr">
        <is>
          <t>20212219</t>
        </is>
      </c>
      <c r="B224" s="3" t="n">
        <v>3</v>
      </c>
      <c r="C224" s="3" t="inlineStr">
        <is>
          <t>Direct</t>
        </is>
      </c>
      <c r="D224" s="3" t="n">
        <v>5.666666666666667</v>
      </c>
      <c r="E224" s="3" t="n">
        <v>0</v>
      </c>
      <c r="F224" s="3" t="n">
        <v>4.666666666666667</v>
      </c>
      <c r="G224" s="3" t="n">
        <v>5.666666666666667</v>
      </c>
      <c r="H224" s="3" t="n">
        <v>5.666666666666667</v>
      </c>
      <c r="I224" s="3" t="n">
        <v>4.666666666666667</v>
      </c>
      <c r="J224" s="3" t="n">
        <v>6</v>
      </c>
      <c r="K224" s="3" t="n">
        <v>4.666666666666667</v>
      </c>
      <c r="L224" s="3" t="n">
        <v>5</v>
      </c>
      <c r="M224" s="3" t="n">
        <v>4.333333333333333</v>
      </c>
      <c r="N224" s="3" t="n">
        <v>6.666666666666667</v>
      </c>
    </row>
    <row r="225">
      <c r="A225" s="3" t="inlineStr">
        <is>
          <t>202122208</t>
        </is>
      </c>
      <c r="B225" s="3" t="n">
        <v>5</v>
      </c>
      <c r="C225" s="3" t="inlineStr">
        <is>
          <t>Direct</t>
        </is>
      </c>
      <c r="D225" s="3" t="n">
        <v>4</v>
      </c>
      <c r="E225" s="3" t="n">
        <v>0</v>
      </c>
      <c r="F225" s="3" t="n">
        <v>0.2</v>
      </c>
      <c r="G225" s="3" t="n">
        <v>6.4</v>
      </c>
      <c r="H225" s="3" t="n">
        <v>1.4</v>
      </c>
      <c r="I225" s="3" t="n">
        <v>7.6</v>
      </c>
      <c r="J225" s="3" t="n">
        <v>6.2</v>
      </c>
      <c r="K225" s="3" t="n">
        <v>8.6</v>
      </c>
      <c r="L225" s="3" t="n">
        <v>3.6</v>
      </c>
      <c r="M225" s="3" t="n">
        <v>3.4</v>
      </c>
      <c r="N225" s="3" t="n">
        <v>3.6</v>
      </c>
    </row>
    <row r="226">
      <c r="A226" s="3" t="inlineStr">
        <is>
          <t>20212265</t>
        </is>
      </c>
      <c r="B226" s="3" t="n">
        <v>4</v>
      </c>
      <c r="C226" s="3" t="inlineStr">
        <is>
          <t>Direct</t>
        </is>
      </c>
      <c r="D226" s="3" t="n">
        <v>5.25</v>
      </c>
      <c r="E226" s="3" t="n">
        <v>0</v>
      </c>
      <c r="F226" s="3" t="n">
        <v>7</v>
      </c>
      <c r="G226" s="3" t="n">
        <v>5.25</v>
      </c>
      <c r="H226" s="3" t="n">
        <v>6</v>
      </c>
      <c r="I226" s="3" t="n">
        <v>6.75</v>
      </c>
      <c r="J226" s="3" t="n">
        <v>5</v>
      </c>
      <c r="K226" s="3" t="n">
        <v>6.25</v>
      </c>
      <c r="L226" s="3" t="n">
        <v>6.25</v>
      </c>
      <c r="M226" s="3" t="n">
        <v>6.25</v>
      </c>
      <c r="N226" s="3" t="n">
        <v>6.75</v>
      </c>
    </row>
    <row r="227">
      <c r="A227" s="3" t="inlineStr">
        <is>
          <t>202122771</t>
        </is>
      </c>
      <c r="B227" s="3" t="n">
        <v>3</v>
      </c>
      <c r="C227" s="3" t="inlineStr">
        <is>
          <t>Direct</t>
        </is>
      </c>
      <c r="D227" s="3" t="n">
        <v>3</v>
      </c>
      <c r="E227" s="3" t="n">
        <v>0</v>
      </c>
      <c r="F227" s="3" t="n">
        <v>2.666666666666667</v>
      </c>
      <c r="G227" s="3" t="n">
        <v>2</v>
      </c>
      <c r="H227" s="3" t="n">
        <v>3.333333333333333</v>
      </c>
      <c r="I227" s="3" t="n">
        <v>1.666666666666667</v>
      </c>
      <c r="J227" s="3" t="n">
        <v>1.666666666666667</v>
      </c>
      <c r="K227" s="3" t="n">
        <v>2</v>
      </c>
      <c r="L227" s="3" t="n">
        <v>3</v>
      </c>
      <c r="M227" s="3" t="n">
        <v>3.333333333333333</v>
      </c>
      <c r="N227" s="3" t="n">
        <v>3.333333333333333</v>
      </c>
    </row>
    <row r="228">
      <c r="A228" s="3" t="inlineStr">
        <is>
          <t>20212290</t>
        </is>
      </c>
      <c r="B228" s="3" t="n">
        <v>5</v>
      </c>
      <c r="C228" s="3" t="inlineStr">
        <is>
          <t>Direct</t>
        </is>
      </c>
      <c r="D228" s="3" t="n">
        <v>7.6</v>
      </c>
      <c r="E228" s="3" t="n">
        <v>0</v>
      </c>
      <c r="F228" s="3" t="n">
        <v>8.6</v>
      </c>
      <c r="G228" s="3" t="n">
        <v>8.4</v>
      </c>
      <c r="H228" s="3" t="n">
        <v>8.4</v>
      </c>
      <c r="I228" s="3" t="n">
        <v>8.199999999999999</v>
      </c>
      <c r="J228" s="3" t="n">
        <v>8.6</v>
      </c>
      <c r="K228" s="3" t="n">
        <v>8.6</v>
      </c>
      <c r="L228" s="3" t="n">
        <v>9.199999999999999</v>
      </c>
      <c r="M228" s="3" t="n">
        <v>8.800000000000001</v>
      </c>
      <c r="N228" s="3" t="n">
        <v>9</v>
      </c>
    </row>
    <row r="229">
      <c r="A229" s="3" t="inlineStr">
        <is>
          <t>20212295</t>
        </is>
      </c>
      <c r="B229" s="3" t="n">
        <v>1</v>
      </c>
      <c r="C229" s="3" t="inlineStr">
        <is>
          <t>Direct</t>
        </is>
      </c>
      <c r="D229" s="3" t="n">
        <v>0</v>
      </c>
      <c r="E229" s="3" t="n">
        <v>0</v>
      </c>
      <c r="F229" s="3" t="n">
        <v>9</v>
      </c>
      <c r="G229" s="3" t="n">
        <v>0</v>
      </c>
      <c r="H229" s="3" t="n">
        <v>9</v>
      </c>
      <c r="I229" s="3" t="n">
        <v>2</v>
      </c>
      <c r="J229" s="3" t="n">
        <v>5</v>
      </c>
      <c r="K229" s="3" t="n">
        <v>10</v>
      </c>
      <c r="L229" s="3" t="n">
        <v>3</v>
      </c>
      <c r="M229" s="3" t="n">
        <v>3</v>
      </c>
      <c r="N229" s="3" t="n">
        <v>5</v>
      </c>
    </row>
    <row r="230">
      <c r="A230" s="3" t="inlineStr">
        <is>
          <t>202122957</t>
        </is>
      </c>
      <c r="B230" s="3" t="n">
        <v>1</v>
      </c>
      <c r="C230" s="3" t="inlineStr">
        <is>
          <t>Direct</t>
        </is>
      </c>
      <c r="D230" s="3" t="n">
        <v>0</v>
      </c>
      <c r="E230" s="3" t="n">
        <v>0</v>
      </c>
      <c r="F230" s="3" t="n">
        <v>1</v>
      </c>
      <c r="G230" s="3" t="n">
        <v>0</v>
      </c>
      <c r="H230" s="3" t="n">
        <v>0</v>
      </c>
      <c r="I230" s="3" t="n">
        <v>0</v>
      </c>
      <c r="J230" s="3" t="n">
        <v>0</v>
      </c>
      <c r="K230" s="3" t="n">
        <v>1</v>
      </c>
      <c r="L230" s="3" t="n">
        <v>0</v>
      </c>
      <c r="M230" s="3" t="n">
        <v>0</v>
      </c>
      <c r="N230" s="3" t="n">
        <v>0</v>
      </c>
    </row>
    <row r="231">
      <c r="A231" s="3" t="inlineStr">
        <is>
          <t>202123361</t>
        </is>
      </c>
      <c r="B231" s="3" t="n">
        <v>8</v>
      </c>
      <c r="C231" s="3" t="inlineStr">
        <is>
          <t>Direct</t>
        </is>
      </c>
      <c r="D231" s="3" t="n">
        <v>5.25</v>
      </c>
      <c r="E231" s="3" t="n">
        <v>0</v>
      </c>
      <c r="F231" s="3" t="n">
        <v>6.875</v>
      </c>
      <c r="G231" s="3" t="n">
        <v>4.5</v>
      </c>
      <c r="H231" s="3" t="n">
        <v>4.625</v>
      </c>
      <c r="I231" s="3" t="n">
        <v>5.5</v>
      </c>
      <c r="J231" s="3" t="n">
        <v>5.75</v>
      </c>
      <c r="K231" s="3" t="n">
        <v>6.75</v>
      </c>
      <c r="L231" s="3" t="n">
        <v>7</v>
      </c>
      <c r="M231" s="3" t="n">
        <v>6.75</v>
      </c>
      <c r="N231" s="3" t="n">
        <v>6</v>
      </c>
    </row>
    <row r="232">
      <c r="A232" s="3" t="inlineStr">
        <is>
          <t>202123463</t>
        </is>
      </c>
      <c r="B232" s="3" t="n">
        <v>9</v>
      </c>
      <c r="C232" s="3" t="inlineStr">
        <is>
          <t>Direct</t>
        </is>
      </c>
      <c r="D232" s="3" t="n">
        <v>5.666666666666667</v>
      </c>
      <c r="E232" s="3" t="n">
        <v>0</v>
      </c>
      <c r="F232" s="3" t="n">
        <v>3</v>
      </c>
      <c r="G232" s="3" t="n">
        <v>2.555555555555555</v>
      </c>
      <c r="H232" s="3" t="n">
        <v>2.888888888888889</v>
      </c>
      <c r="I232" s="3" t="n">
        <v>5.888888888888889</v>
      </c>
      <c r="J232" s="3" t="n">
        <v>6</v>
      </c>
      <c r="K232" s="3" t="n">
        <v>3</v>
      </c>
      <c r="L232" s="3" t="n">
        <v>5.666666666666667</v>
      </c>
      <c r="M232" s="3" t="n">
        <v>2.888888888888889</v>
      </c>
      <c r="N232" s="3" t="n">
        <v>3</v>
      </c>
    </row>
    <row r="233">
      <c r="A233" s="3" t="inlineStr">
        <is>
          <t>202123501</t>
        </is>
      </c>
      <c r="B233" s="3" t="n">
        <v>3</v>
      </c>
      <c r="C233" s="3" t="inlineStr">
        <is>
          <t>Direct</t>
        </is>
      </c>
      <c r="D233" s="3" t="n">
        <v>0.6666666666666666</v>
      </c>
      <c r="E233" s="3" t="n">
        <v>0</v>
      </c>
      <c r="F233" s="3" t="n">
        <v>1.333333333333333</v>
      </c>
      <c r="G233" s="3" t="n">
        <v>3</v>
      </c>
      <c r="H233" s="3" t="n">
        <v>3</v>
      </c>
      <c r="I233" s="3" t="n">
        <v>0.6666666666666666</v>
      </c>
      <c r="J233" s="3" t="n">
        <v>3.333333333333333</v>
      </c>
      <c r="K233" s="3" t="n">
        <v>0.3333333333333333</v>
      </c>
      <c r="L233" s="3" t="n">
        <v>2.666666666666667</v>
      </c>
      <c r="M233" s="3" t="n">
        <v>0.3333333333333333</v>
      </c>
      <c r="N233" s="3" t="n">
        <v>3.333333333333333</v>
      </c>
    </row>
    <row r="234">
      <c r="A234" s="3" t="inlineStr">
        <is>
          <t>202123711</t>
        </is>
      </c>
      <c r="B234" s="3" t="n">
        <v>4</v>
      </c>
      <c r="C234" s="3" t="inlineStr">
        <is>
          <t>Direct</t>
        </is>
      </c>
      <c r="D234" s="3" t="n">
        <v>5.25</v>
      </c>
      <c r="E234" s="3" t="n">
        <v>0</v>
      </c>
      <c r="F234" s="3" t="n">
        <v>6</v>
      </c>
      <c r="G234" s="3" t="n">
        <v>7.5</v>
      </c>
      <c r="H234" s="3" t="n">
        <v>5</v>
      </c>
      <c r="I234" s="3" t="n">
        <v>3</v>
      </c>
      <c r="J234" s="3" t="n">
        <v>5.75</v>
      </c>
      <c r="K234" s="3" t="n">
        <v>7</v>
      </c>
      <c r="L234" s="3" t="n">
        <v>4.25</v>
      </c>
      <c r="M234" s="3" t="n">
        <v>7.75</v>
      </c>
      <c r="N234" s="3" t="n">
        <v>8.25</v>
      </c>
    </row>
    <row r="235">
      <c r="A235" s="3" t="inlineStr">
        <is>
          <t>202123756</t>
        </is>
      </c>
      <c r="B235" s="3" t="n">
        <v>2</v>
      </c>
      <c r="C235" s="3" t="inlineStr">
        <is>
          <t>Direct</t>
        </is>
      </c>
      <c r="D235" s="3" t="n">
        <v>5</v>
      </c>
      <c r="E235" s="3" t="n">
        <v>0</v>
      </c>
      <c r="F235" s="3" t="n">
        <v>2.5</v>
      </c>
      <c r="G235" s="3" t="n">
        <v>1</v>
      </c>
      <c r="H235" s="3" t="n">
        <v>2</v>
      </c>
      <c r="I235" s="3" t="n">
        <v>1</v>
      </c>
      <c r="J235" s="3" t="n">
        <v>4.5</v>
      </c>
      <c r="K235" s="3" t="n">
        <v>2</v>
      </c>
      <c r="L235" s="3" t="n">
        <v>5</v>
      </c>
      <c r="M235" s="3" t="n">
        <v>5</v>
      </c>
      <c r="N235" s="3" t="n">
        <v>5</v>
      </c>
    </row>
    <row r="236">
      <c r="A236" s="3" t="inlineStr">
        <is>
          <t>202124304</t>
        </is>
      </c>
      <c r="B236" s="3" t="n">
        <v>4</v>
      </c>
      <c r="C236" s="3" t="inlineStr">
        <is>
          <t>Direct</t>
        </is>
      </c>
      <c r="D236" s="3" t="n">
        <v>0.75</v>
      </c>
      <c r="E236" s="3" t="n">
        <v>0</v>
      </c>
      <c r="F236" s="3" t="n">
        <v>2</v>
      </c>
      <c r="G236" s="3" t="n">
        <v>2</v>
      </c>
      <c r="H236" s="3" t="n">
        <v>2</v>
      </c>
      <c r="I236" s="3" t="n">
        <v>0</v>
      </c>
      <c r="J236" s="3" t="n">
        <v>0</v>
      </c>
      <c r="K236" s="3" t="n">
        <v>0</v>
      </c>
      <c r="L236" s="3" t="n">
        <v>0.75</v>
      </c>
      <c r="M236" s="3" t="n">
        <v>0</v>
      </c>
      <c r="N236" s="3" t="n">
        <v>0</v>
      </c>
    </row>
    <row r="237">
      <c r="A237" s="3" t="inlineStr">
        <is>
          <t>202124526</t>
        </is>
      </c>
      <c r="B237" s="3" t="n">
        <v>2</v>
      </c>
      <c r="C237" s="3" t="inlineStr">
        <is>
          <t>RQ</t>
        </is>
      </c>
      <c r="D237" s="3" t="n">
        <v>5</v>
      </c>
      <c r="E237" s="3" t="n">
        <v>0</v>
      </c>
      <c r="F237" s="3" t="n">
        <v>4.5</v>
      </c>
      <c r="G237" s="3" t="n">
        <v>5</v>
      </c>
      <c r="H237" s="3" t="n">
        <v>5</v>
      </c>
      <c r="I237" s="3" t="n">
        <v>5</v>
      </c>
      <c r="J237" s="3" t="n">
        <v>4.5</v>
      </c>
      <c r="K237" s="3" t="n">
        <v>6</v>
      </c>
      <c r="L237" s="3" t="n">
        <v>6</v>
      </c>
      <c r="M237" s="3" t="n">
        <v>5</v>
      </c>
      <c r="N237" s="3" t="n">
        <v>4.5</v>
      </c>
    </row>
    <row r="238">
      <c r="A238" s="3" t="inlineStr">
        <is>
          <t>202124622</t>
        </is>
      </c>
      <c r="B238" s="3" t="n">
        <v>6</v>
      </c>
      <c r="C238" s="3" t="inlineStr">
        <is>
          <t>Direct</t>
        </is>
      </c>
      <c r="D238" s="3" t="n">
        <v>2</v>
      </c>
      <c r="E238" s="3" t="n">
        <v>0</v>
      </c>
      <c r="F238" s="3" t="n">
        <v>4.333333333333333</v>
      </c>
      <c r="G238" s="3" t="n">
        <v>1.833333333333333</v>
      </c>
      <c r="H238" s="3" t="n">
        <v>4</v>
      </c>
      <c r="I238" s="3" t="n">
        <v>0.5</v>
      </c>
      <c r="J238" s="3" t="n">
        <v>0.5</v>
      </c>
      <c r="K238" s="3" t="n">
        <v>0.5</v>
      </c>
      <c r="L238" s="3" t="n">
        <v>0</v>
      </c>
      <c r="M238" s="3" t="n">
        <v>0</v>
      </c>
      <c r="N238" s="3" t="n">
        <v>0</v>
      </c>
    </row>
    <row r="239">
      <c r="A239" s="3" t="inlineStr">
        <is>
          <t>2021247</t>
        </is>
      </c>
      <c r="B239" s="3" t="n">
        <v>6</v>
      </c>
      <c r="C239" s="3" t="inlineStr">
        <is>
          <t>Direct</t>
        </is>
      </c>
      <c r="D239" s="3" t="n">
        <v>2.666666666666667</v>
      </c>
      <c r="E239" s="3" t="n">
        <v>0</v>
      </c>
      <c r="F239" s="3" t="n">
        <v>2.166666666666667</v>
      </c>
      <c r="G239" s="3" t="n">
        <v>3</v>
      </c>
      <c r="H239" s="3" t="n">
        <v>2.333333333333333</v>
      </c>
      <c r="I239" s="3" t="n">
        <v>4.333333333333333</v>
      </c>
      <c r="J239" s="3" t="n">
        <v>4.166666666666667</v>
      </c>
      <c r="K239" s="3" t="n">
        <v>4</v>
      </c>
      <c r="L239" s="3" t="n">
        <v>3.333333333333333</v>
      </c>
      <c r="M239" s="3" t="n">
        <v>4.833333333333333</v>
      </c>
      <c r="N239" s="3" t="n">
        <v>3.666666666666667</v>
      </c>
    </row>
    <row r="240">
      <c r="A240" s="3" t="inlineStr">
        <is>
          <t>20212479</t>
        </is>
      </c>
      <c r="B240" s="3" t="n">
        <v>4</v>
      </c>
      <c r="C240" s="3" t="inlineStr">
        <is>
          <t>Direct</t>
        </is>
      </c>
      <c r="D240" s="3" t="n">
        <v>2.25</v>
      </c>
      <c r="E240" s="3" t="n">
        <v>0</v>
      </c>
      <c r="F240" s="3" t="n">
        <v>1.25</v>
      </c>
      <c r="G240" s="3" t="n">
        <v>1</v>
      </c>
      <c r="H240" s="3" t="n">
        <v>0.5</v>
      </c>
      <c r="I240" s="3" t="n">
        <v>0.75</v>
      </c>
      <c r="J240" s="3" t="n">
        <v>0.75</v>
      </c>
      <c r="K240" s="3" t="n">
        <v>0.5</v>
      </c>
      <c r="L240" s="3" t="n">
        <v>1</v>
      </c>
      <c r="M240" s="3" t="n">
        <v>0.5</v>
      </c>
      <c r="N240" s="3" t="n">
        <v>0.5</v>
      </c>
    </row>
    <row r="241">
      <c r="A241" s="3" t="inlineStr">
        <is>
          <t>202125150</t>
        </is>
      </c>
      <c r="B241" s="3" t="n">
        <v>2</v>
      </c>
      <c r="C241" s="3" t="inlineStr">
        <is>
          <t>Direct</t>
        </is>
      </c>
      <c r="D241" s="3" t="n">
        <v>9</v>
      </c>
      <c r="E241" s="3" t="n">
        <v>0</v>
      </c>
      <c r="F241" s="3" t="n">
        <v>6.5</v>
      </c>
      <c r="G241" s="3" t="n">
        <v>3.5</v>
      </c>
      <c r="H241" s="3" t="n">
        <v>2.5</v>
      </c>
      <c r="I241" s="3" t="n">
        <v>5.5</v>
      </c>
      <c r="J241" s="3" t="n">
        <v>5</v>
      </c>
      <c r="K241" s="3" t="n">
        <v>6.5</v>
      </c>
      <c r="L241" s="3" t="n">
        <v>9</v>
      </c>
      <c r="M241" s="3" t="n">
        <v>5</v>
      </c>
      <c r="N241" s="3" t="n">
        <v>3.5</v>
      </c>
    </row>
    <row r="242">
      <c r="A242" s="3" t="inlineStr">
        <is>
          <t>202125295</t>
        </is>
      </c>
      <c r="B242" s="3" t="n">
        <v>5</v>
      </c>
      <c r="C242" s="3" t="inlineStr">
        <is>
          <t>Direct</t>
        </is>
      </c>
      <c r="D242" s="3" t="n">
        <v>8.199999999999999</v>
      </c>
      <c r="E242" s="3" t="n">
        <v>0</v>
      </c>
      <c r="F242" s="3" t="n">
        <v>8</v>
      </c>
      <c r="G242" s="3" t="n">
        <v>6.2</v>
      </c>
      <c r="H242" s="3" t="n">
        <v>7</v>
      </c>
      <c r="I242" s="3" t="n">
        <v>6.4</v>
      </c>
      <c r="J242" s="3" t="n">
        <v>6.6</v>
      </c>
      <c r="K242" s="3" t="n">
        <v>6</v>
      </c>
      <c r="L242" s="3" t="n">
        <v>9.199999999999999</v>
      </c>
      <c r="M242" s="3" t="n">
        <v>8.800000000000001</v>
      </c>
      <c r="N242" s="3" t="n">
        <v>8.4</v>
      </c>
    </row>
    <row r="243">
      <c r="A243" s="3" t="inlineStr">
        <is>
          <t>202125565</t>
        </is>
      </c>
      <c r="B243" s="3" t="n">
        <v>5</v>
      </c>
      <c r="C243" s="3" t="inlineStr">
        <is>
          <t>Direct</t>
        </is>
      </c>
      <c r="D243" s="3" t="n">
        <v>6</v>
      </c>
      <c r="E243" s="3" t="n">
        <v>0</v>
      </c>
      <c r="F243" s="3" t="n">
        <v>5.6</v>
      </c>
      <c r="G243" s="3" t="n">
        <v>5.2</v>
      </c>
      <c r="H243" s="3" t="n">
        <v>6</v>
      </c>
      <c r="I243" s="3" t="n">
        <v>2.6</v>
      </c>
      <c r="J243" s="3" t="n">
        <v>7</v>
      </c>
      <c r="K243" s="3" t="n">
        <v>5.4</v>
      </c>
      <c r="L243" s="3" t="n">
        <v>7.2</v>
      </c>
      <c r="M243" s="3" t="n">
        <v>5.6</v>
      </c>
      <c r="N243" s="3" t="n">
        <v>7.2</v>
      </c>
    </row>
    <row r="244">
      <c r="A244" s="3" t="inlineStr">
        <is>
          <t>202126105</t>
        </is>
      </c>
      <c r="B244" s="3" t="n">
        <v>5</v>
      </c>
      <c r="C244" s="3" t="inlineStr">
        <is>
          <t>Direct</t>
        </is>
      </c>
      <c r="D244" s="3" t="n">
        <v>3.6</v>
      </c>
      <c r="E244" s="3" t="n">
        <v>0</v>
      </c>
      <c r="F244" s="3" t="n">
        <v>1.2</v>
      </c>
      <c r="G244" s="3" t="n">
        <v>1</v>
      </c>
      <c r="H244" s="3" t="n">
        <v>2</v>
      </c>
      <c r="I244" s="3" t="n">
        <v>1</v>
      </c>
      <c r="J244" s="3" t="n">
        <v>1.4</v>
      </c>
      <c r="K244" s="3" t="n">
        <v>1.6</v>
      </c>
      <c r="L244" s="3" t="n">
        <v>1</v>
      </c>
      <c r="M244" s="3" t="n">
        <v>1</v>
      </c>
      <c r="N244" s="3" t="n">
        <v>1</v>
      </c>
    </row>
    <row r="245">
      <c r="A245" s="3" t="inlineStr">
        <is>
          <t>2021263</t>
        </is>
      </c>
      <c r="B245" s="3" t="n">
        <v>9</v>
      </c>
      <c r="C245" s="3" t="inlineStr">
        <is>
          <t>Direct</t>
        </is>
      </c>
      <c r="D245" s="3" t="n">
        <v>6</v>
      </c>
      <c r="E245" s="3" t="n">
        <v>0</v>
      </c>
      <c r="F245" s="3" t="n">
        <v>7.666666666666667</v>
      </c>
      <c r="G245" s="3" t="n">
        <v>4.222222222222222</v>
      </c>
      <c r="H245" s="3" t="n">
        <v>4</v>
      </c>
      <c r="I245" s="3" t="n">
        <v>5.111111111111111</v>
      </c>
      <c r="J245" s="3" t="n">
        <v>4.555555555555555</v>
      </c>
      <c r="K245" s="3" t="n">
        <v>4.111111111111111</v>
      </c>
      <c r="L245" s="3" t="n">
        <v>4.222222222222222</v>
      </c>
      <c r="M245" s="3" t="n">
        <v>4.333333333333333</v>
      </c>
      <c r="N245" s="3" t="n">
        <v>3.888888888888889</v>
      </c>
    </row>
    <row r="246">
      <c r="A246" s="3" t="inlineStr">
        <is>
          <t>202126309</t>
        </is>
      </c>
      <c r="B246" s="3" t="n">
        <v>3</v>
      </c>
      <c r="C246" s="3" t="inlineStr">
        <is>
          <t>Direct</t>
        </is>
      </c>
      <c r="D246" s="3" t="n">
        <v>1</v>
      </c>
      <c r="E246" s="3" t="n">
        <v>0</v>
      </c>
      <c r="F246" s="3" t="n">
        <v>1</v>
      </c>
      <c r="G246" s="3" t="n">
        <v>0.6666666666666666</v>
      </c>
      <c r="H246" s="3" t="n">
        <v>2.666666666666667</v>
      </c>
      <c r="I246" s="3" t="n">
        <v>0</v>
      </c>
      <c r="J246" s="3" t="n">
        <v>0</v>
      </c>
      <c r="K246" s="3" t="n">
        <v>2.333333333333333</v>
      </c>
      <c r="L246" s="3" t="n">
        <v>1.666666666666667</v>
      </c>
      <c r="M246" s="3" t="n">
        <v>2.666666666666667</v>
      </c>
      <c r="N246" s="3" t="n">
        <v>2.666666666666667</v>
      </c>
    </row>
    <row r="247">
      <c r="A247" s="3" t="inlineStr">
        <is>
          <t>202126632</t>
        </is>
      </c>
      <c r="B247" s="3" t="n">
        <v>2</v>
      </c>
      <c r="C247" s="3" t="inlineStr">
        <is>
          <t>Direct</t>
        </is>
      </c>
      <c r="D247" s="3" t="n">
        <v>4.5</v>
      </c>
      <c r="E247" s="3" t="n">
        <v>0</v>
      </c>
      <c r="F247" s="3" t="n">
        <v>2.5</v>
      </c>
      <c r="G247" s="3" t="n">
        <v>4</v>
      </c>
      <c r="H247" s="3" t="n">
        <v>2</v>
      </c>
      <c r="I247" s="3" t="n">
        <v>1</v>
      </c>
      <c r="J247" s="3" t="n">
        <v>4.5</v>
      </c>
      <c r="K247" s="3" t="n">
        <v>5</v>
      </c>
      <c r="L247" s="3" t="n">
        <v>5</v>
      </c>
      <c r="M247" s="3" t="n">
        <v>5</v>
      </c>
      <c r="N247" s="3" t="n">
        <v>5</v>
      </c>
    </row>
    <row r="248">
      <c r="A248" s="3" t="inlineStr">
        <is>
          <t>202127110</t>
        </is>
      </c>
      <c r="B248" s="3" t="n">
        <v>1</v>
      </c>
      <c r="C248" s="3" t="inlineStr">
        <is>
          <t>Direct</t>
        </is>
      </c>
      <c r="D248" s="3" t="n">
        <v>9</v>
      </c>
      <c r="E248" s="3" t="n">
        <v>0</v>
      </c>
      <c r="F248" s="3" t="n">
        <v>8</v>
      </c>
      <c r="G248" s="3" t="n">
        <v>8</v>
      </c>
      <c r="H248" s="3" t="n">
        <v>8</v>
      </c>
      <c r="I248" s="3" t="n">
        <v>9</v>
      </c>
      <c r="J248" s="3" t="n">
        <v>10</v>
      </c>
      <c r="K248" s="3" t="n">
        <v>9</v>
      </c>
      <c r="L248" s="3" t="n">
        <v>10</v>
      </c>
      <c r="M248" s="3" t="n">
        <v>10</v>
      </c>
      <c r="N248" s="3" t="n">
        <v>10</v>
      </c>
    </row>
    <row r="249">
      <c r="A249" s="3" t="inlineStr">
        <is>
          <t>202127173</t>
        </is>
      </c>
      <c r="B249" s="3" t="n">
        <v>8</v>
      </c>
      <c r="C249" s="3" t="inlineStr">
        <is>
          <t>Direct</t>
        </is>
      </c>
      <c r="D249" s="3" t="n">
        <v>9.25</v>
      </c>
      <c r="E249" s="3" t="n">
        <v>0</v>
      </c>
      <c r="F249" s="3" t="n">
        <v>6.5</v>
      </c>
      <c r="G249" s="3" t="n">
        <v>5</v>
      </c>
      <c r="H249" s="3" t="n">
        <v>5.5</v>
      </c>
      <c r="I249" s="3" t="n">
        <v>7.125</v>
      </c>
      <c r="J249" s="3" t="n">
        <v>8.875</v>
      </c>
      <c r="K249" s="3" t="n">
        <v>7.5</v>
      </c>
      <c r="L249" s="3" t="n">
        <v>8.875</v>
      </c>
      <c r="M249" s="3" t="n">
        <v>8.75</v>
      </c>
      <c r="N249" s="3" t="n">
        <v>8.75</v>
      </c>
    </row>
    <row r="250">
      <c r="A250" s="3" t="inlineStr">
        <is>
          <t>202127354</t>
        </is>
      </c>
      <c r="B250" s="3" t="n">
        <v>1</v>
      </c>
      <c r="C250" s="3" t="inlineStr">
        <is>
          <t>Direct</t>
        </is>
      </c>
      <c r="D250" s="3" t="n">
        <v>0</v>
      </c>
      <c r="E250" s="3" t="n">
        <v>0</v>
      </c>
      <c r="F250" s="3" t="n">
        <v>0</v>
      </c>
      <c r="G250" s="3" t="n">
        <v>0</v>
      </c>
      <c r="H250" s="3" t="n">
        <v>0</v>
      </c>
      <c r="I250" s="3" t="n">
        <v>0</v>
      </c>
      <c r="J250" s="3" t="n">
        <v>0</v>
      </c>
      <c r="K250" s="3" t="n">
        <v>0</v>
      </c>
      <c r="L250" s="3" t="n">
        <v>0</v>
      </c>
      <c r="M250" s="3" t="n">
        <v>0</v>
      </c>
      <c r="N250" s="3" t="n">
        <v>0</v>
      </c>
    </row>
    <row r="251">
      <c r="A251" s="3" t="inlineStr">
        <is>
          <t>202127624</t>
        </is>
      </c>
      <c r="B251" s="3" t="n">
        <v>3</v>
      </c>
      <c r="C251" s="3" t="inlineStr">
        <is>
          <t>Direct</t>
        </is>
      </c>
      <c r="D251" s="3" t="n">
        <v>0.3333333333333333</v>
      </c>
      <c r="E251" s="3" t="n">
        <v>0</v>
      </c>
      <c r="F251" s="3" t="n">
        <v>2.333333333333333</v>
      </c>
      <c r="G251" s="3" t="n">
        <v>2.666666666666667</v>
      </c>
      <c r="H251" s="3" t="n">
        <v>0.3333333333333333</v>
      </c>
      <c r="I251" s="3" t="n">
        <v>4.333333333333333</v>
      </c>
      <c r="J251" s="3" t="n">
        <v>1.333333333333333</v>
      </c>
      <c r="K251" s="3" t="n">
        <v>0</v>
      </c>
      <c r="L251" s="3" t="n">
        <v>0.6666666666666666</v>
      </c>
      <c r="M251" s="3" t="n">
        <v>0.6666666666666666</v>
      </c>
      <c r="N251" s="3" t="n">
        <v>0.3333333333333333</v>
      </c>
    </row>
    <row r="252">
      <c r="A252" s="3" t="inlineStr">
        <is>
          <t>202127846</t>
        </is>
      </c>
      <c r="B252" s="3" t="n">
        <v>8</v>
      </c>
      <c r="C252" s="3" t="inlineStr">
        <is>
          <t>Direct</t>
        </is>
      </c>
      <c r="D252" s="3" t="n">
        <v>6.125</v>
      </c>
      <c r="E252" s="3" t="n">
        <v>0</v>
      </c>
      <c r="F252" s="3" t="n">
        <v>5</v>
      </c>
      <c r="G252" s="3" t="n">
        <v>4.625</v>
      </c>
      <c r="H252" s="3" t="n">
        <v>5.375</v>
      </c>
      <c r="I252" s="3" t="n">
        <v>5.375</v>
      </c>
      <c r="J252" s="3" t="n">
        <v>6.5</v>
      </c>
      <c r="K252" s="3" t="n">
        <v>6.625</v>
      </c>
      <c r="L252" s="3" t="n">
        <v>6.375</v>
      </c>
      <c r="M252" s="3" t="n">
        <v>6.25</v>
      </c>
      <c r="N252" s="3" t="n">
        <v>7.5</v>
      </c>
    </row>
    <row r="253">
      <c r="A253" s="3" t="inlineStr">
        <is>
          <t>202128305</t>
        </is>
      </c>
      <c r="B253" s="3" t="n">
        <v>5</v>
      </c>
      <c r="C253" s="3" t="inlineStr">
        <is>
          <t>Direct</t>
        </is>
      </c>
      <c r="D253" s="3" t="n">
        <v>4.2</v>
      </c>
      <c r="E253" s="3" t="n">
        <v>0</v>
      </c>
      <c r="F253" s="3" t="n">
        <v>2.4</v>
      </c>
      <c r="G253" s="3" t="n">
        <v>2.6</v>
      </c>
      <c r="H253" s="3" t="n">
        <v>4.4</v>
      </c>
      <c r="I253" s="3" t="n">
        <v>2.4</v>
      </c>
      <c r="J253" s="3" t="n">
        <v>6.4</v>
      </c>
      <c r="K253" s="3" t="n">
        <v>5.2</v>
      </c>
      <c r="L253" s="3" t="n">
        <v>5.4</v>
      </c>
      <c r="M253" s="3" t="n">
        <v>4.6</v>
      </c>
      <c r="N253" s="3" t="n">
        <v>5.8</v>
      </c>
    </row>
    <row r="254">
      <c r="A254" s="3" t="inlineStr">
        <is>
          <t>202128358</t>
        </is>
      </c>
      <c r="B254" s="3" t="n">
        <v>4</v>
      </c>
      <c r="C254" s="3" t="inlineStr">
        <is>
          <t>Direct</t>
        </is>
      </c>
      <c r="D254" s="3" t="n">
        <v>5.25</v>
      </c>
      <c r="E254" s="3" t="n">
        <v>0</v>
      </c>
      <c r="F254" s="3" t="n">
        <v>6.75</v>
      </c>
      <c r="G254" s="3" t="n">
        <v>7.25</v>
      </c>
      <c r="H254" s="3" t="n">
        <v>4.5</v>
      </c>
      <c r="I254" s="3" t="n">
        <v>7.25</v>
      </c>
      <c r="J254" s="3" t="n">
        <v>7.25</v>
      </c>
      <c r="K254" s="3" t="n">
        <v>7.25</v>
      </c>
      <c r="L254" s="3" t="n">
        <v>7.25</v>
      </c>
      <c r="M254" s="3" t="n">
        <v>7.25</v>
      </c>
      <c r="N254" s="3" t="n">
        <v>7.25</v>
      </c>
    </row>
    <row r="255">
      <c r="A255" s="3" t="inlineStr">
        <is>
          <t>202128410</t>
        </is>
      </c>
      <c r="B255" s="3" t="n">
        <v>1</v>
      </c>
      <c r="C255" s="3" t="inlineStr">
        <is>
          <t>RQ</t>
        </is>
      </c>
      <c r="D255" s="3" t="n">
        <v>0</v>
      </c>
      <c r="E255" s="3" t="n">
        <v>0</v>
      </c>
      <c r="F255" s="3" t="n">
        <v>5</v>
      </c>
      <c r="G255" s="3" t="n">
        <v>6</v>
      </c>
      <c r="H255" s="3" t="n">
        <v>6</v>
      </c>
      <c r="I255" s="3" t="n">
        <v>8</v>
      </c>
      <c r="J255" s="3" t="n">
        <v>8</v>
      </c>
      <c r="K255" s="3" t="n">
        <v>6</v>
      </c>
      <c r="L255" s="3" t="n">
        <v>8</v>
      </c>
      <c r="M255" s="3" t="n">
        <v>9</v>
      </c>
      <c r="N255" s="3" t="n">
        <v>7</v>
      </c>
    </row>
    <row r="256">
      <c r="A256" s="3" t="inlineStr">
        <is>
          <t>202128430</t>
        </is>
      </c>
      <c r="B256" s="3" t="n">
        <v>3</v>
      </c>
      <c r="C256" s="3" t="inlineStr">
        <is>
          <t>Direct</t>
        </is>
      </c>
      <c r="D256" s="3" t="n">
        <v>3.333333333333333</v>
      </c>
      <c r="E256" s="3" t="n">
        <v>0</v>
      </c>
      <c r="F256" s="3" t="n">
        <v>3.333333333333333</v>
      </c>
      <c r="G256" s="3" t="n">
        <v>2</v>
      </c>
      <c r="H256" s="3" t="n">
        <v>4</v>
      </c>
      <c r="I256" s="3" t="n">
        <v>3</v>
      </c>
      <c r="J256" s="3" t="n">
        <v>1.333333333333333</v>
      </c>
      <c r="K256" s="3" t="n">
        <v>0.6666666666666666</v>
      </c>
      <c r="L256" s="3" t="n">
        <v>3.333333333333333</v>
      </c>
      <c r="M256" s="3" t="n">
        <v>4</v>
      </c>
      <c r="N256" s="3" t="n">
        <v>3.333333333333333</v>
      </c>
    </row>
    <row r="257">
      <c r="A257" s="3" t="inlineStr">
        <is>
          <t>202128432</t>
        </is>
      </c>
      <c r="B257" s="3" t="n">
        <v>3</v>
      </c>
      <c r="C257" s="3" t="inlineStr">
        <is>
          <t>Direct</t>
        </is>
      </c>
      <c r="D257" s="3" t="n">
        <v>3.333333333333333</v>
      </c>
      <c r="E257" s="3" t="n">
        <v>0</v>
      </c>
      <c r="F257" s="3" t="n">
        <v>0.6666666666666666</v>
      </c>
      <c r="G257" s="3" t="n">
        <v>1.333333333333333</v>
      </c>
      <c r="H257" s="3" t="n">
        <v>1.666666666666667</v>
      </c>
      <c r="I257" s="3" t="n">
        <v>2.666666666666667</v>
      </c>
      <c r="J257" s="3" t="n">
        <v>0.6666666666666666</v>
      </c>
      <c r="K257" s="3" t="n">
        <v>3.333333333333333</v>
      </c>
      <c r="L257" s="3" t="n">
        <v>3.333333333333333</v>
      </c>
      <c r="M257" s="3" t="n">
        <v>2.666666666666667</v>
      </c>
      <c r="N257" s="3" t="n">
        <v>3.333333333333333</v>
      </c>
    </row>
    <row r="258">
      <c r="A258" s="3" t="inlineStr">
        <is>
          <t>202128682</t>
        </is>
      </c>
      <c r="B258" s="3" t="n">
        <v>7</v>
      </c>
      <c r="C258" s="3" t="inlineStr">
        <is>
          <t>Direct</t>
        </is>
      </c>
      <c r="D258" s="3" t="n">
        <v>4.428571428571429</v>
      </c>
      <c r="E258" s="3" t="n">
        <v>0</v>
      </c>
      <c r="F258" s="3" t="n">
        <v>3.285714285714286</v>
      </c>
      <c r="G258" s="3" t="n">
        <v>4.142857142857143</v>
      </c>
      <c r="H258" s="3" t="n">
        <v>2.142857142857143</v>
      </c>
      <c r="I258" s="3" t="n">
        <v>5.428571428571429</v>
      </c>
      <c r="J258" s="3" t="n">
        <v>6.428571428571429</v>
      </c>
      <c r="K258" s="3" t="n">
        <v>6.571428571428571</v>
      </c>
      <c r="L258" s="3" t="n">
        <v>5.428571428571429</v>
      </c>
      <c r="M258" s="3" t="n">
        <v>5.428571428571429</v>
      </c>
      <c r="N258" s="3" t="n">
        <v>5.428571428571429</v>
      </c>
    </row>
    <row r="259">
      <c r="A259" s="3" t="inlineStr">
        <is>
          <t>202129033</t>
        </is>
      </c>
      <c r="B259" s="3" t="n">
        <v>5</v>
      </c>
      <c r="C259" s="3" t="inlineStr">
        <is>
          <t>Direct</t>
        </is>
      </c>
      <c r="D259" s="3" t="n">
        <v>7</v>
      </c>
      <c r="E259" s="3" t="n">
        <v>0</v>
      </c>
      <c r="F259" s="3" t="n">
        <v>6.2</v>
      </c>
      <c r="G259" s="3" t="n">
        <v>4.8</v>
      </c>
      <c r="H259" s="3" t="n">
        <v>3.6</v>
      </c>
      <c r="I259" s="3" t="n">
        <v>8.199999999999999</v>
      </c>
      <c r="J259" s="3" t="n">
        <v>7.8</v>
      </c>
      <c r="K259" s="3" t="n">
        <v>7.8</v>
      </c>
      <c r="L259" s="3" t="n">
        <v>3.6</v>
      </c>
      <c r="M259" s="3" t="n">
        <v>6.6</v>
      </c>
      <c r="N259" s="3" t="n">
        <v>8.6</v>
      </c>
    </row>
    <row r="260">
      <c r="A260" s="3" t="inlineStr">
        <is>
          <t>202129116</t>
        </is>
      </c>
      <c r="B260" s="3" t="n">
        <v>7</v>
      </c>
      <c r="C260" s="3" t="inlineStr">
        <is>
          <t>Direct</t>
        </is>
      </c>
      <c r="D260" s="3" t="n">
        <v>6.714285714285714</v>
      </c>
      <c r="E260" s="3" t="n">
        <v>0</v>
      </c>
      <c r="F260" s="3" t="n">
        <v>3</v>
      </c>
      <c r="G260" s="3" t="n">
        <v>4.428571428571429</v>
      </c>
      <c r="H260" s="3" t="n">
        <v>4</v>
      </c>
      <c r="I260" s="3" t="n">
        <v>5.571428571428571</v>
      </c>
      <c r="J260" s="3" t="n">
        <v>5.142857142857143</v>
      </c>
      <c r="K260" s="3" t="n">
        <v>5.428571428571429</v>
      </c>
      <c r="L260" s="3" t="n">
        <v>6.285714285714286</v>
      </c>
      <c r="M260" s="3" t="n">
        <v>4.571428571428571</v>
      </c>
      <c r="N260" s="3" t="n">
        <v>4.857142857142857</v>
      </c>
    </row>
    <row r="261">
      <c r="A261" s="3" t="inlineStr">
        <is>
          <t>202129532</t>
        </is>
      </c>
      <c r="B261" s="3" t="n">
        <v>3</v>
      </c>
      <c r="C261" s="3" t="inlineStr">
        <is>
          <t>Direct</t>
        </is>
      </c>
      <c r="D261" s="3" t="n">
        <v>3.333333333333333</v>
      </c>
      <c r="E261" s="3" t="n">
        <v>0</v>
      </c>
      <c r="F261" s="3" t="n">
        <v>1.333333333333333</v>
      </c>
      <c r="G261" s="3" t="n">
        <v>0.6666666666666666</v>
      </c>
      <c r="H261" s="3" t="n">
        <v>2.666666666666667</v>
      </c>
      <c r="I261" s="3" t="n">
        <v>0.6666666666666666</v>
      </c>
      <c r="J261" s="3" t="n">
        <v>0.6666666666666666</v>
      </c>
      <c r="K261" s="3" t="n">
        <v>3.333333333333333</v>
      </c>
      <c r="L261" s="3" t="n">
        <v>3.333333333333333</v>
      </c>
      <c r="M261" s="3" t="n">
        <v>3.333333333333333</v>
      </c>
      <c r="N261" s="3" t="n">
        <v>3.333333333333333</v>
      </c>
    </row>
    <row r="262">
      <c r="A262" s="3" t="inlineStr">
        <is>
          <t>202129783</t>
        </is>
      </c>
      <c r="B262" s="3" t="n">
        <v>8</v>
      </c>
      <c r="C262" s="3" t="inlineStr">
        <is>
          <t>Direct</t>
        </is>
      </c>
      <c r="D262" s="3" t="n">
        <v>7.125</v>
      </c>
      <c r="E262" s="3" t="n">
        <v>0</v>
      </c>
      <c r="F262" s="3" t="n">
        <v>6.875</v>
      </c>
      <c r="G262" s="3" t="n">
        <v>5.75</v>
      </c>
      <c r="H262" s="3" t="n">
        <v>5.625</v>
      </c>
      <c r="I262" s="3" t="n">
        <v>6.125</v>
      </c>
      <c r="J262" s="3" t="n">
        <v>6.875</v>
      </c>
      <c r="K262" s="3" t="n">
        <v>6.25</v>
      </c>
      <c r="L262" s="3" t="n">
        <v>7.25</v>
      </c>
      <c r="M262" s="3" t="n">
        <v>7.25</v>
      </c>
      <c r="N262" s="3" t="n">
        <v>6.5</v>
      </c>
    </row>
    <row r="263">
      <c r="A263" s="3" t="inlineStr">
        <is>
          <t>202130079</t>
        </is>
      </c>
      <c r="B263" s="3" t="n">
        <v>3</v>
      </c>
      <c r="C263" s="3" t="inlineStr">
        <is>
          <t>Direct</t>
        </is>
      </c>
      <c r="D263" s="3" t="n">
        <v>1</v>
      </c>
      <c r="E263" s="3" t="n">
        <v>0</v>
      </c>
      <c r="F263" s="3" t="n">
        <v>4.333333333333333</v>
      </c>
      <c r="G263" s="3" t="n">
        <v>3.666666666666667</v>
      </c>
      <c r="H263" s="3" t="n">
        <v>2.333333333333333</v>
      </c>
      <c r="I263" s="3" t="n">
        <v>0.6666666666666666</v>
      </c>
      <c r="J263" s="3" t="n">
        <v>6</v>
      </c>
      <c r="K263" s="3" t="n">
        <v>6</v>
      </c>
      <c r="L263" s="3" t="n">
        <v>0.3333333333333333</v>
      </c>
      <c r="M263" s="3" t="n">
        <v>0.6666666666666666</v>
      </c>
      <c r="N263" s="3" t="n">
        <v>0.3333333333333333</v>
      </c>
    </row>
    <row r="264">
      <c r="A264" s="3" t="inlineStr">
        <is>
          <t>202130620</t>
        </is>
      </c>
      <c r="B264" s="3" t="n">
        <v>8</v>
      </c>
      <c r="C264" s="3" t="inlineStr">
        <is>
          <t>Direct</t>
        </is>
      </c>
      <c r="D264" s="3" t="n">
        <v>4.5</v>
      </c>
      <c r="E264" s="3" t="n">
        <v>0</v>
      </c>
      <c r="F264" s="3" t="n">
        <v>4.75</v>
      </c>
      <c r="G264" s="3" t="n">
        <v>4.5</v>
      </c>
      <c r="H264" s="3" t="n">
        <v>5.875</v>
      </c>
      <c r="I264" s="3" t="n">
        <v>7</v>
      </c>
      <c r="J264" s="3" t="n">
        <v>8.125</v>
      </c>
      <c r="K264" s="3" t="n">
        <v>7.875</v>
      </c>
      <c r="L264" s="3" t="n">
        <v>4.625</v>
      </c>
      <c r="M264" s="3" t="n">
        <v>4.375</v>
      </c>
      <c r="N264" s="3" t="n">
        <v>3.625</v>
      </c>
    </row>
    <row r="265">
      <c r="A265" s="3" t="inlineStr">
        <is>
          <t>202130782</t>
        </is>
      </c>
      <c r="B265" s="3" t="n">
        <v>6</v>
      </c>
      <c r="C265" s="3" t="inlineStr">
        <is>
          <t>Direct</t>
        </is>
      </c>
      <c r="D265" s="3" t="n">
        <v>0.8333333333333334</v>
      </c>
      <c r="E265" s="3" t="n">
        <v>0</v>
      </c>
      <c r="F265" s="3" t="n">
        <v>2.333333333333333</v>
      </c>
      <c r="G265" s="3" t="n">
        <v>0</v>
      </c>
      <c r="H265" s="3" t="n">
        <v>0.3333333333333333</v>
      </c>
      <c r="I265" s="3" t="n">
        <v>0.8333333333333334</v>
      </c>
      <c r="J265" s="3" t="n">
        <v>0</v>
      </c>
      <c r="K265" s="3" t="n">
        <v>0</v>
      </c>
      <c r="L265" s="3" t="n">
        <v>0.5</v>
      </c>
      <c r="M265" s="3" t="n">
        <v>0</v>
      </c>
      <c r="N265" s="3" t="n">
        <v>0.6666666666666666</v>
      </c>
    </row>
    <row r="266">
      <c r="A266" s="3" t="inlineStr">
        <is>
          <t>202130913</t>
        </is>
      </c>
      <c r="B266" s="3" t="n">
        <v>8</v>
      </c>
      <c r="C266" s="3" t="inlineStr">
        <is>
          <t>Direct</t>
        </is>
      </c>
      <c r="D266" s="3" t="n">
        <v>1.875</v>
      </c>
      <c r="E266" s="3" t="n">
        <v>0</v>
      </c>
      <c r="F266" s="3" t="n">
        <v>1.25</v>
      </c>
      <c r="G266" s="3" t="n">
        <v>1.5</v>
      </c>
      <c r="H266" s="3" t="n">
        <v>0.375</v>
      </c>
      <c r="I266" s="3" t="n">
        <v>0.875</v>
      </c>
      <c r="J266" s="3" t="n">
        <v>0.875</v>
      </c>
      <c r="K266" s="3" t="n">
        <v>1.625</v>
      </c>
      <c r="L266" s="3" t="n">
        <v>1.5</v>
      </c>
      <c r="M266" s="3" t="n">
        <v>1.375</v>
      </c>
      <c r="N266" s="3" t="n">
        <v>1.25</v>
      </c>
    </row>
    <row r="267">
      <c r="A267" s="3" t="inlineStr">
        <is>
          <t>202131101</t>
        </is>
      </c>
      <c r="B267" s="3" t="n">
        <v>8</v>
      </c>
      <c r="C267" s="3" t="inlineStr">
        <is>
          <t>Direct</t>
        </is>
      </c>
      <c r="D267" s="3" t="n">
        <v>4.75</v>
      </c>
      <c r="E267" s="3" t="n">
        <v>0</v>
      </c>
      <c r="F267" s="3" t="n">
        <v>2.75</v>
      </c>
      <c r="G267" s="3" t="n">
        <v>3.125</v>
      </c>
      <c r="H267" s="3" t="n">
        <v>4.75</v>
      </c>
      <c r="I267" s="3" t="n">
        <v>3.75</v>
      </c>
      <c r="J267" s="3" t="n">
        <v>3.375</v>
      </c>
      <c r="K267" s="3" t="n">
        <v>3.75</v>
      </c>
      <c r="L267" s="3" t="n">
        <v>4.25</v>
      </c>
      <c r="M267" s="3" t="n">
        <v>3.75</v>
      </c>
      <c r="N267" s="3" t="n">
        <v>3.625</v>
      </c>
    </row>
    <row r="268">
      <c r="A268" s="3" t="inlineStr">
        <is>
          <t>202131427</t>
        </is>
      </c>
      <c r="B268" s="3" t="n">
        <v>3</v>
      </c>
      <c r="C268" s="3" t="inlineStr">
        <is>
          <t>Direct</t>
        </is>
      </c>
      <c r="D268" s="3" t="n">
        <v>0.6666666666666666</v>
      </c>
      <c r="E268" s="3" t="n">
        <v>0</v>
      </c>
      <c r="F268" s="3" t="n">
        <v>7.333333333333333</v>
      </c>
      <c r="G268" s="3" t="n">
        <v>0</v>
      </c>
      <c r="H268" s="3" t="n">
        <v>0</v>
      </c>
      <c r="I268" s="3" t="n">
        <v>0</v>
      </c>
      <c r="J268" s="3" t="n">
        <v>0</v>
      </c>
      <c r="K268" s="3" t="n">
        <v>0.6666666666666666</v>
      </c>
      <c r="L268" s="3" t="n">
        <v>0</v>
      </c>
      <c r="M268" s="3" t="n">
        <v>0</v>
      </c>
      <c r="N268" s="3" t="n">
        <v>0</v>
      </c>
    </row>
    <row r="269">
      <c r="A269" s="3" t="inlineStr">
        <is>
          <t>202132603</t>
        </is>
      </c>
      <c r="B269" s="3" t="n">
        <v>9</v>
      </c>
      <c r="C269" s="3" t="inlineStr">
        <is>
          <t>Direct</t>
        </is>
      </c>
      <c r="D269" s="3" t="n">
        <v>4.222222222222222</v>
      </c>
      <c r="E269" s="3" t="n">
        <v>0</v>
      </c>
      <c r="F269" s="3" t="n">
        <v>3.444444444444445</v>
      </c>
      <c r="G269" s="3" t="n">
        <v>4</v>
      </c>
      <c r="H269" s="3" t="n">
        <v>4.444444444444445</v>
      </c>
      <c r="I269" s="3" t="n">
        <v>4</v>
      </c>
      <c r="J269" s="3" t="n">
        <v>3.888888888888889</v>
      </c>
      <c r="K269" s="3" t="n">
        <v>4.111111111111111</v>
      </c>
      <c r="L269" s="3" t="n">
        <v>3.888888888888889</v>
      </c>
      <c r="M269" s="3" t="n">
        <v>5.666666666666667</v>
      </c>
      <c r="N269" s="3" t="n">
        <v>4.555555555555555</v>
      </c>
    </row>
    <row r="270">
      <c r="A270" s="3" t="inlineStr">
        <is>
          <t>202133344</t>
        </is>
      </c>
      <c r="B270" s="3" t="n">
        <v>10</v>
      </c>
      <c r="C270" s="3" t="inlineStr">
        <is>
          <t>Direct</t>
        </is>
      </c>
      <c r="D270" s="3" t="n">
        <v>2.6</v>
      </c>
      <c r="E270" s="3" t="n">
        <v>0</v>
      </c>
      <c r="F270" s="3" t="n">
        <v>4</v>
      </c>
      <c r="G270" s="3" t="n">
        <v>4</v>
      </c>
      <c r="H270" s="3" t="n">
        <v>3.5</v>
      </c>
      <c r="I270" s="3" t="n">
        <v>6.9</v>
      </c>
      <c r="J270" s="3" t="n">
        <v>6.6</v>
      </c>
      <c r="K270" s="3" t="n">
        <v>7.9</v>
      </c>
      <c r="L270" s="3" t="n">
        <v>3.2</v>
      </c>
      <c r="M270" s="3" t="n">
        <v>5.9</v>
      </c>
      <c r="N270" s="3" t="n">
        <v>3.8</v>
      </c>
    </row>
    <row r="271">
      <c r="A271" s="3" t="inlineStr">
        <is>
          <t>202133722</t>
        </is>
      </c>
      <c r="B271" s="3" t="n">
        <v>8</v>
      </c>
      <c r="C271" s="3" t="inlineStr">
        <is>
          <t>Direct</t>
        </is>
      </c>
      <c r="D271" s="3" t="n">
        <v>7.25</v>
      </c>
      <c r="E271" s="3" t="n">
        <v>0</v>
      </c>
      <c r="F271" s="3" t="n">
        <v>5.375</v>
      </c>
      <c r="G271" s="3" t="n">
        <v>6</v>
      </c>
      <c r="H271" s="3" t="n">
        <v>5.25</v>
      </c>
      <c r="I271" s="3" t="n">
        <v>5.75</v>
      </c>
      <c r="J271" s="3" t="n">
        <v>8.125</v>
      </c>
      <c r="K271" s="3" t="n">
        <v>6.75</v>
      </c>
      <c r="L271" s="3" t="n">
        <v>7.75</v>
      </c>
      <c r="M271" s="3" t="n">
        <v>6</v>
      </c>
      <c r="N271" s="3" t="n">
        <v>5.875</v>
      </c>
    </row>
    <row r="272">
      <c r="A272" s="3" t="inlineStr">
        <is>
          <t>202133943</t>
        </is>
      </c>
      <c r="B272" s="3" t="n">
        <v>8</v>
      </c>
      <c r="C272" s="3" t="inlineStr">
        <is>
          <t>Direct</t>
        </is>
      </c>
      <c r="D272" s="3" t="n">
        <v>3.625</v>
      </c>
      <c r="E272" s="3" t="n">
        <v>0</v>
      </c>
      <c r="F272" s="3" t="n">
        <v>1.625</v>
      </c>
      <c r="G272" s="3" t="n">
        <v>3.375</v>
      </c>
      <c r="H272" s="3" t="n">
        <v>3.375</v>
      </c>
      <c r="I272" s="3" t="n">
        <v>3.875</v>
      </c>
      <c r="J272" s="3" t="n">
        <v>4.25</v>
      </c>
      <c r="K272" s="3" t="n">
        <v>4.375</v>
      </c>
      <c r="L272" s="3" t="n">
        <v>4.5</v>
      </c>
      <c r="M272" s="3" t="n">
        <v>4.125</v>
      </c>
      <c r="N272" s="3" t="n">
        <v>3.875</v>
      </c>
    </row>
    <row r="273">
      <c r="A273" s="3" t="inlineStr">
        <is>
          <t>202134082</t>
        </is>
      </c>
      <c r="B273" s="3" t="n">
        <v>3</v>
      </c>
      <c r="C273" s="3" t="inlineStr">
        <is>
          <t>Direct</t>
        </is>
      </c>
      <c r="D273" s="3" t="n">
        <v>5</v>
      </c>
      <c r="E273" s="3" t="n">
        <v>0</v>
      </c>
      <c r="F273" s="3" t="n">
        <v>1</v>
      </c>
      <c r="G273" s="3" t="n">
        <v>1.666666666666667</v>
      </c>
      <c r="H273" s="3" t="n">
        <v>2.666666666666667</v>
      </c>
      <c r="I273" s="3" t="n">
        <v>1.666666666666667</v>
      </c>
      <c r="J273" s="3" t="n">
        <v>0.6666666666666666</v>
      </c>
      <c r="K273" s="3" t="n">
        <v>3.333333333333333</v>
      </c>
      <c r="L273" s="3" t="n">
        <v>3</v>
      </c>
      <c r="M273" s="3" t="n">
        <v>3.333333333333333</v>
      </c>
      <c r="N273" s="3" t="n">
        <v>3.333333333333333</v>
      </c>
    </row>
    <row r="274">
      <c r="A274" s="3" t="inlineStr">
        <is>
          <t>202134240</t>
        </is>
      </c>
      <c r="B274" s="3" t="n">
        <v>2</v>
      </c>
      <c r="C274" s="3" t="inlineStr">
        <is>
          <t>Direct</t>
        </is>
      </c>
      <c r="D274" s="3" t="n">
        <v>1</v>
      </c>
      <c r="E274" s="3" t="n">
        <v>0</v>
      </c>
      <c r="F274" s="3" t="n">
        <v>2</v>
      </c>
      <c r="G274" s="3" t="n">
        <v>0.5</v>
      </c>
      <c r="H274" s="3" t="n">
        <v>1</v>
      </c>
      <c r="I274" s="3" t="n">
        <v>0</v>
      </c>
      <c r="J274" s="3" t="n">
        <v>0</v>
      </c>
      <c r="K274" s="3" t="n">
        <v>0</v>
      </c>
      <c r="L274" s="3" t="n">
        <v>0</v>
      </c>
      <c r="M274" s="3" t="n">
        <v>0.5</v>
      </c>
      <c r="N274" s="3" t="n">
        <v>0</v>
      </c>
    </row>
    <row r="275">
      <c r="A275" s="3" t="inlineStr">
        <is>
          <t>202135203</t>
        </is>
      </c>
      <c r="B275" s="3" t="n">
        <v>3</v>
      </c>
      <c r="C275" s="3" t="inlineStr">
        <is>
          <t>Direct</t>
        </is>
      </c>
      <c r="D275" s="3" t="n">
        <v>0</v>
      </c>
      <c r="E275" s="3" t="n">
        <v>0</v>
      </c>
      <c r="F275" s="3" t="n">
        <v>0</v>
      </c>
      <c r="G275" s="3" t="n">
        <v>0</v>
      </c>
      <c r="H275" s="3" t="n">
        <v>0</v>
      </c>
      <c r="I275" s="3" t="n">
        <v>0</v>
      </c>
      <c r="J275" s="3" t="n">
        <v>0.3333333333333333</v>
      </c>
      <c r="K275" s="3" t="n">
        <v>0</v>
      </c>
      <c r="L275" s="3" t="n">
        <v>0.3333333333333333</v>
      </c>
      <c r="M275" s="3" t="n">
        <v>0</v>
      </c>
      <c r="N275" s="3" t="n">
        <v>0</v>
      </c>
    </row>
    <row r="276">
      <c r="A276" s="3" t="inlineStr">
        <is>
          <t>202135464</t>
        </is>
      </c>
      <c r="B276" s="3" t="n">
        <v>3</v>
      </c>
      <c r="C276" s="3" t="inlineStr">
        <is>
          <t>Direct</t>
        </is>
      </c>
      <c r="D276" s="3" t="n">
        <v>3</v>
      </c>
      <c r="E276" s="3" t="n">
        <v>0</v>
      </c>
      <c r="F276" s="3" t="n">
        <v>3</v>
      </c>
      <c r="G276" s="3" t="n">
        <v>0</v>
      </c>
      <c r="H276" s="3" t="n">
        <v>1.333333333333333</v>
      </c>
      <c r="I276" s="3" t="n">
        <v>1</v>
      </c>
      <c r="J276" s="3" t="n">
        <v>0.6666666666666666</v>
      </c>
      <c r="K276" s="3" t="n">
        <v>2.666666666666667</v>
      </c>
      <c r="L276" s="3" t="n">
        <v>3.333333333333333</v>
      </c>
      <c r="M276" s="3" t="n">
        <v>1</v>
      </c>
      <c r="N276" s="3" t="n">
        <v>3.333333333333333</v>
      </c>
    </row>
    <row r="277">
      <c r="A277" s="3" t="inlineStr">
        <is>
          <t>202135528</t>
        </is>
      </c>
      <c r="B277" s="3" t="n">
        <v>6</v>
      </c>
      <c r="C277" s="3" t="inlineStr">
        <is>
          <t>Direct</t>
        </is>
      </c>
      <c r="D277" s="3" t="n">
        <v>3.5</v>
      </c>
      <c r="E277" s="3" t="n">
        <v>0</v>
      </c>
      <c r="F277" s="3" t="n">
        <v>5</v>
      </c>
      <c r="G277" s="3" t="n">
        <v>4.666666666666667</v>
      </c>
      <c r="H277" s="3" t="n">
        <v>3.833333333333333</v>
      </c>
      <c r="I277" s="3" t="n">
        <v>4.5</v>
      </c>
      <c r="J277" s="3" t="n">
        <v>4.166666666666667</v>
      </c>
      <c r="K277" s="3" t="n">
        <v>3.5</v>
      </c>
      <c r="L277" s="3" t="n">
        <v>4.333333333333333</v>
      </c>
      <c r="M277" s="3" t="n">
        <v>4.833333333333333</v>
      </c>
      <c r="N277" s="3" t="n">
        <v>3.833333333333333</v>
      </c>
    </row>
    <row r="278">
      <c r="A278" s="3" t="inlineStr">
        <is>
          <t>202135719</t>
        </is>
      </c>
      <c r="B278" s="3" t="n">
        <v>3</v>
      </c>
      <c r="C278" s="3" t="inlineStr">
        <is>
          <t>Direct</t>
        </is>
      </c>
      <c r="D278" s="3" t="n">
        <v>3.333333333333333</v>
      </c>
      <c r="E278" s="3" t="n">
        <v>0</v>
      </c>
      <c r="F278" s="3" t="n">
        <v>1</v>
      </c>
      <c r="G278" s="3" t="n">
        <v>0.6666666666666666</v>
      </c>
      <c r="H278" s="3" t="n">
        <v>1.333333333333333</v>
      </c>
      <c r="I278" s="3" t="n">
        <v>0.6666666666666666</v>
      </c>
      <c r="J278" s="3" t="n">
        <v>3</v>
      </c>
      <c r="K278" s="3" t="n">
        <v>3.333333333333333</v>
      </c>
      <c r="L278" s="3" t="n">
        <v>3.333333333333333</v>
      </c>
      <c r="M278" s="3" t="n">
        <v>3</v>
      </c>
      <c r="N278" s="3" t="n">
        <v>3.333333333333333</v>
      </c>
    </row>
    <row r="279">
      <c r="A279" s="3" t="inlineStr">
        <is>
          <t>202136063</t>
        </is>
      </c>
      <c r="B279" s="3" t="n">
        <v>6</v>
      </c>
      <c r="C279" s="3" t="inlineStr">
        <is>
          <t>Direct</t>
        </is>
      </c>
      <c r="D279" s="3" t="n">
        <v>0.6666666666666666</v>
      </c>
      <c r="E279" s="3" t="n">
        <v>0</v>
      </c>
      <c r="F279" s="3" t="n">
        <v>0.5</v>
      </c>
      <c r="G279" s="3" t="n">
        <v>1.833333333333333</v>
      </c>
      <c r="H279" s="3" t="n">
        <v>1.166666666666667</v>
      </c>
      <c r="I279" s="3" t="n">
        <v>2.166666666666667</v>
      </c>
      <c r="J279" s="3" t="n">
        <v>3.333333333333333</v>
      </c>
      <c r="K279" s="3" t="n">
        <v>1.333333333333333</v>
      </c>
      <c r="L279" s="3" t="n">
        <v>3.666666666666667</v>
      </c>
      <c r="M279" s="3" t="n">
        <v>0.6666666666666666</v>
      </c>
      <c r="N279" s="3" t="n">
        <v>4.166666666666667</v>
      </c>
    </row>
    <row r="280">
      <c r="A280" s="3" t="inlineStr">
        <is>
          <t>202136153</t>
        </is>
      </c>
      <c r="B280" s="3" t="n">
        <v>5</v>
      </c>
      <c r="C280" s="3" t="inlineStr">
        <is>
          <t>Direct</t>
        </is>
      </c>
      <c r="D280" s="3" t="n">
        <v>4.8</v>
      </c>
      <c r="E280" s="3" t="n">
        <v>0</v>
      </c>
      <c r="F280" s="3" t="n">
        <v>6</v>
      </c>
      <c r="G280" s="3" t="n">
        <v>5.4</v>
      </c>
      <c r="H280" s="3" t="n">
        <v>5.6</v>
      </c>
      <c r="I280" s="3" t="n">
        <v>8.4</v>
      </c>
      <c r="J280" s="3" t="n">
        <v>9</v>
      </c>
      <c r="K280" s="3" t="n">
        <v>9</v>
      </c>
      <c r="L280" s="3" t="n">
        <v>8.4</v>
      </c>
      <c r="M280" s="3" t="n">
        <v>9.199999999999999</v>
      </c>
      <c r="N280" s="3" t="n">
        <v>8.6</v>
      </c>
    </row>
    <row r="281">
      <c r="A281" s="3" t="inlineStr">
        <is>
          <t>202136521</t>
        </is>
      </c>
      <c r="B281" s="3" t="n">
        <v>6</v>
      </c>
      <c r="C281" s="3" t="inlineStr">
        <is>
          <t>Direct</t>
        </is>
      </c>
      <c r="D281" s="3" t="n">
        <v>3</v>
      </c>
      <c r="E281" s="3" t="n">
        <v>0</v>
      </c>
      <c r="F281" s="3" t="n">
        <v>3.833333333333333</v>
      </c>
      <c r="G281" s="3" t="n">
        <v>4.666666666666667</v>
      </c>
      <c r="H281" s="3" t="n">
        <v>3.833333333333333</v>
      </c>
      <c r="I281" s="3" t="n">
        <v>3.666666666666667</v>
      </c>
      <c r="J281" s="3" t="n">
        <v>3.166666666666667</v>
      </c>
      <c r="K281" s="3" t="n">
        <v>3.833333333333333</v>
      </c>
      <c r="L281" s="3" t="n">
        <v>4</v>
      </c>
      <c r="M281" s="3" t="n">
        <v>3.833333333333333</v>
      </c>
      <c r="N281" s="3" t="n">
        <v>3.666666666666667</v>
      </c>
    </row>
    <row r="282">
      <c r="A282" s="3" t="inlineStr">
        <is>
          <t>202136551</t>
        </is>
      </c>
      <c r="B282" s="3" t="n">
        <v>8</v>
      </c>
      <c r="C282" s="3" t="inlineStr">
        <is>
          <t>Direct</t>
        </is>
      </c>
      <c r="D282" s="3" t="n">
        <v>3.875</v>
      </c>
      <c r="E282" s="3" t="n">
        <v>0</v>
      </c>
      <c r="F282" s="3" t="n">
        <v>5.25</v>
      </c>
      <c r="G282" s="3" t="n">
        <v>2.625</v>
      </c>
      <c r="H282" s="3" t="n">
        <v>4.25</v>
      </c>
      <c r="I282" s="3" t="n">
        <v>6.125</v>
      </c>
      <c r="J282" s="3" t="n">
        <v>5.75</v>
      </c>
      <c r="K282" s="3" t="n">
        <v>5.875</v>
      </c>
      <c r="L282" s="3" t="n">
        <v>7.625</v>
      </c>
      <c r="M282" s="3" t="n">
        <v>6</v>
      </c>
      <c r="N282" s="3" t="n">
        <v>5.875</v>
      </c>
    </row>
    <row r="283">
      <c r="A283" s="3" t="inlineStr">
        <is>
          <t>202136740</t>
        </is>
      </c>
      <c r="B283" s="3" t="n">
        <v>3</v>
      </c>
      <c r="C283" s="3" t="inlineStr">
        <is>
          <t>Direct</t>
        </is>
      </c>
      <c r="D283" s="3" t="n">
        <v>0.3333333333333333</v>
      </c>
      <c r="E283" s="3" t="n">
        <v>0</v>
      </c>
      <c r="F283" s="3" t="n">
        <v>0.3333333333333333</v>
      </c>
      <c r="G283" s="3" t="n">
        <v>0</v>
      </c>
      <c r="H283" s="3" t="n">
        <v>0</v>
      </c>
      <c r="I283" s="3" t="n">
        <v>0.6666666666666666</v>
      </c>
      <c r="J283" s="3" t="n">
        <v>0</v>
      </c>
      <c r="K283" s="3" t="n">
        <v>0.3333333333333333</v>
      </c>
      <c r="L283" s="3" t="n">
        <v>0.6666666666666666</v>
      </c>
      <c r="M283" s="3" t="n">
        <v>0</v>
      </c>
      <c r="N283" s="3" t="n">
        <v>0</v>
      </c>
    </row>
    <row r="284">
      <c r="A284" s="3" t="inlineStr">
        <is>
          <t>202136812</t>
        </is>
      </c>
      <c r="B284" s="3" t="n">
        <v>2</v>
      </c>
      <c r="C284" s="3" t="inlineStr">
        <is>
          <t>Direct</t>
        </is>
      </c>
      <c r="D284" s="3" t="n">
        <v>1</v>
      </c>
      <c r="E284" s="3" t="n">
        <v>0</v>
      </c>
      <c r="F284" s="3" t="n">
        <v>2</v>
      </c>
      <c r="G284" s="3" t="n">
        <v>0</v>
      </c>
      <c r="H284" s="3" t="n">
        <v>0</v>
      </c>
      <c r="I284" s="3" t="n">
        <v>1</v>
      </c>
      <c r="J284" s="3" t="n">
        <v>1</v>
      </c>
      <c r="K284" s="3" t="n">
        <v>2</v>
      </c>
      <c r="L284" s="3" t="n">
        <v>0</v>
      </c>
      <c r="M284" s="3" t="n">
        <v>0</v>
      </c>
      <c r="N284" s="3" t="n">
        <v>0</v>
      </c>
    </row>
    <row r="285">
      <c r="A285" s="3" t="inlineStr">
        <is>
          <t>202137021</t>
        </is>
      </c>
      <c r="B285" s="3" t="n">
        <v>3</v>
      </c>
      <c r="C285" s="3" t="inlineStr">
        <is>
          <t>Direct</t>
        </is>
      </c>
      <c r="D285" s="3" t="n">
        <v>0.3333333333333333</v>
      </c>
      <c r="E285" s="3" t="n">
        <v>0</v>
      </c>
      <c r="F285" s="3" t="n">
        <v>0</v>
      </c>
      <c r="G285" s="3" t="n">
        <v>2.333333333333333</v>
      </c>
      <c r="H285" s="3" t="n">
        <v>1.333333333333333</v>
      </c>
      <c r="I285" s="3" t="n">
        <v>0.3333333333333333</v>
      </c>
      <c r="J285" s="3" t="n">
        <v>0.3333333333333333</v>
      </c>
      <c r="K285" s="3" t="n">
        <v>0.6666666666666666</v>
      </c>
      <c r="L285" s="3" t="n">
        <v>0</v>
      </c>
      <c r="M285" s="3" t="n">
        <v>0</v>
      </c>
      <c r="N285" s="3" t="n">
        <v>1</v>
      </c>
    </row>
    <row r="286">
      <c r="A286" s="3" t="inlineStr">
        <is>
          <t>202137438</t>
        </is>
      </c>
      <c r="B286" s="3" t="n">
        <v>6</v>
      </c>
      <c r="C286" s="3" t="inlineStr">
        <is>
          <t>Direct</t>
        </is>
      </c>
      <c r="D286" s="3" t="n">
        <v>3.333333333333333</v>
      </c>
      <c r="E286" s="3" t="n">
        <v>0</v>
      </c>
      <c r="F286" s="3" t="n">
        <v>2.5</v>
      </c>
      <c r="G286" s="3" t="n">
        <v>3</v>
      </c>
      <c r="H286" s="3" t="n">
        <v>2.5</v>
      </c>
      <c r="I286" s="3" t="n">
        <v>3</v>
      </c>
      <c r="J286" s="3" t="n">
        <v>2.166666666666667</v>
      </c>
      <c r="K286" s="3" t="n">
        <v>2.833333333333333</v>
      </c>
      <c r="L286" s="3" t="n">
        <v>3</v>
      </c>
      <c r="M286" s="3" t="n">
        <v>3</v>
      </c>
      <c r="N286" s="3" t="n">
        <v>3</v>
      </c>
    </row>
    <row r="287">
      <c r="A287" s="3" t="inlineStr">
        <is>
          <t>202137623</t>
        </is>
      </c>
      <c r="B287" s="3" t="n">
        <v>2</v>
      </c>
      <c r="C287" s="3" t="inlineStr">
        <is>
          <t>Direct</t>
        </is>
      </c>
      <c r="D287" s="3" t="n">
        <v>0</v>
      </c>
      <c r="E287" s="3" t="n">
        <v>0</v>
      </c>
      <c r="F287" s="3" t="n">
        <v>0</v>
      </c>
      <c r="G287" s="3" t="n">
        <v>0</v>
      </c>
      <c r="H287" s="3" t="n">
        <v>0</v>
      </c>
      <c r="I287" s="3" t="n">
        <v>0</v>
      </c>
      <c r="J287" s="3" t="n">
        <v>0</v>
      </c>
      <c r="K287" s="3" t="n">
        <v>0</v>
      </c>
      <c r="L287" s="3" t="n">
        <v>0</v>
      </c>
      <c r="M287" s="3" t="n">
        <v>0</v>
      </c>
      <c r="N287" s="3" t="n">
        <v>0</v>
      </c>
    </row>
    <row r="288">
      <c r="A288" s="3" t="inlineStr">
        <is>
          <t>20213814</t>
        </is>
      </c>
      <c r="B288" s="3" t="n">
        <v>2</v>
      </c>
      <c r="C288" s="3" t="inlineStr">
        <is>
          <t>Direct</t>
        </is>
      </c>
      <c r="D288" s="3" t="n">
        <v>8</v>
      </c>
      <c r="E288" s="3" t="n">
        <v>0</v>
      </c>
      <c r="F288" s="3" t="n">
        <v>5</v>
      </c>
      <c r="G288" s="3" t="n">
        <v>5</v>
      </c>
      <c r="H288" s="3" t="n">
        <v>2</v>
      </c>
      <c r="I288" s="3" t="n">
        <v>4.5</v>
      </c>
      <c r="J288" s="3" t="n">
        <v>7</v>
      </c>
      <c r="K288" s="3" t="n">
        <v>6.5</v>
      </c>
      <c r="L288" s="3" t="n">
        <v>6</v>
      </c>
      <c r="M288" s="3" t="n">
        <v>6.5</v>
      </c>
      <c r="N288" s="3" t="n">
        <v>7</v>
      </c>
    </row>
    <row r="289">
      <c r="A289" s="3" t="inlineStr">
        <is>
          <t>202138575</t>
        </is>
      </c>
      <c r="B289" s="3" t="n">
        <v>6</v>
      </c>
      <c r="C289" s="3" t="inlineStr">
        <is>
          <t>Direct</t>
        </is>
      </c>
      <c r="D289" s="3" t="n">
        <v>0.6666666666666666</v>
      </c>
      <c r="E289" s="3" t="n">
        <v>0</v>
      </c>
      <c r="F289" s="3" t="n">
        <v>0.3333333333333333</v>
      </c>
      <c r="G289" s="3" t="n">
        <v>0</v>
      </c>
      <c r="H289" s="3" t="n">
        <v>0.1666666666666667</v>
      </c>
      <c r="I289" s="3" t="n">
        <v>0</v>
      </c>
      <c r="J289" s="3" t="n">
        <v>0</v>
      </c>
      <c r="K289" s="3" t="n">
        <v>0</v>
      </c>
      <c r="L289" s="3" t="n">
        <v>0</v>
      </c>
      <c r="M289" s="3" t="n">
        <v>0</v>
      </c>
      <c r="N289" s="3" t="n">
        <v>0</v>
      </c>
    </row>
    <row r="290">
      <c r="A290" s="3" t="inlineStr">
        <is>
          <t>202138808</t>
        </is>
      </c>
      <c r="B290" s="3" t="n">
        <v>6</v>
      </c>
      <c r="C290" s="3" t="inlineStr">
        <is>
          <t>Direct</t>
        </is>
      </c>
      <c r="D290" s="3" t="n">
        <v>0.6666666666666666</v>
      </c>
      <c r="E290" s="3" t="n">
        <v>0</v>
      </c>
      <c r="F290" s="3" t="n">
        <v>1.333333333333333</v>
      </c>
      <c r="G290" s="3" t="n">
        <v>1.333333333333333</v>
      </c>
      <c r="H290" s="3" t="n">
        <v>1.166666666666667</v>
      </c>
      <c r="I290" s="3" t="n">
        <v>1.166666666666667</v>
      </c>
      <c r="J290" s="3" t="n">
        <v>1</v>
      </c>
      <c r="K290" s="3" t="n">
        <v>1.5</v>
      </c>
      <c r="L290" s="3" t="n">
        <v>1.5</v>
      </c>
      <c r="M290" s="3" t="n">
        <v>1.666666666666667</v>
      </c>
      <c r="N290" s="3" t="n">
        <v>1.5</v>
      </c>
    </row>
    <row r="291">
      <c r="A291" s="3" t="inlineStr">
        <is>
          <t>202139006</t>
        </is>
      </c>
      <c r="B291" s="3" t="n">
        <v>5</v>
      </c>
      <c r="C291" s="3" t="inlineStr">
        <is>
          <t>Direct</t>
        </is>
      </c>
      <c r="D291" s="3" t="n">
        <v>1</v>
      </c>
      <c r="E291" s="3" t="n">
        <v>0</v>
      </c>
      <c r="F291" s="3" t="n">
        <v>2.2</v>
      </c>
      <c r="G291" s="3" t="n">
        <v>2.8</v>
      </c>
      <c r="H291" s="3" t="n">
        <v>1.2</v>
      </c>
      <c r="I291" s="3" t="n">
        <v>4.8</v>
      </c>
      <c r="J291" s="3" t="n">
        <v>3</v>
      </c>
      <c r="K291" s="3" t="n">
        <v>1.2</v>
      </c>
      <c r="L291" s="3" t="n">
        <v>2.4</v>
      </c>
      <c r="M291" s="3" t="n">
        <v>0.2</v>
      </c>
      <c r="N291" s="3" t="n">
        <v>0.8</v>
      </c>
    </row>
    <row r="292">
      <c r="A292" s="3" t="inlineStr">
        <is>
          <t>202139246</t>
        </is>
      </c>
      <c r="B292" s="3" t="n">
        <v>9</v>
      </c>
      <c r="C292" s="3" t="inlineStr">
        <is>
          <t>Direct</t>
        </is>
      </c>
      <c r="D292" s="3" t="n">
        <v>6.111111111111111</v>
      </c>
      <c r="E292" s="3" t="n">
        <v>0</v>
      </c>
      <c r="F292" s="3" t="n">
        <v>6.666666666666667</v>
      </c>
      <c r="G292" s="3" t="n">
        <v>6.555555555555555</v>
      </c>
      <c r="H292" s="3" t="n">
        <v>7.111111111111111</v>
      </c>
      <c r="I292" s="3" t="n">
        <v>8.555555555555555</v>
      </c>
      <c r="J292" s="3" t="n">
        <v>7.333333333333333</v>
      </c>
      <c r="K292" s="3" t="n">
        <v>8.444444444444445</v>
      </c>
      <c r="L292" s="3" t="n">
        <v>7.777777777777778</v>
      </c>
      <c r="M292" s="3" t="n">
        <v>8.444444444444445</v>
      </c>
      <c r="N292" s="3" t="n">
        <v>7.777777777777778</v>
      </c>
    </row>
    <row r="293">
      <c r="A293" s="3" t="inlineStr">
        <is>
          <t>202139407</t>
        </is>
      </c>
      <c r="B293" s="3" t="n">
        <v>8</v>
      </c>
      <c r="C293" s="3" t="inlineStr">
        <is>
          <t>Direct</t>
        </is>
      </c>
      <c r="D293" s="3" t="n">
        <v>4.375</v>
      </c>
      <c r="E293" s="3" t="n">
        <v>0</v>
      </c>
      <c r="F293" s="3" t="n">
        <v>5.5</v>
      </c>
      <c r="G293" s="3" t="n">
        <v>5.625</v>
      </c>
      <c r="H293" s="3" t="n">
        <v>5.5</v>
      </c>
      <c r="I293" s="3" t="n">
        <v>6.75</v>
      </c>
      <c r="J293" s="3" t="n">
        <v>5.625</v>
      </c>
      <c r="K293" s="3" t="n">
        <v>6.25</v>
      </c>
      <c r="L293" s="3" t="n">
        <v>6.25</v>
      </c>
      <c r="M293" s="3" t="n">
        <v>5.625</v>
      </c>
      <c r="N293" s="3" t="n">
        <v>6.375</v>
      </c>
    </row>
    <row r="294">
      <c r="A294" s="3" t="inlineStr">
        <is>
          <t>202139659</t>
        </is>
      </c>
      <c r="B294" s="3" t="n">
        <v>4</v>
      </c>
      <c r="C294" s="3" t="inlineStr">
        <is>
          <t>RQ</t>
        </is>
      </c>
      <c r="D294" s="3" t="n">
        <v>6.5</v>
      </c>
      <c r="E294" s="3" t="n">
        <v>0</v>
      </c>
      <c r="F294" s="3" t="n">
        <v>7.25</v>
      </c>
      <c r="G294" s="3" t="n">
        <v>6.5</v>
      </c>
      <c r="H294" s="3" t="n">
        <v>6</v>
      </c>
      <c r="I294" s="3" t="n">
        <v>7.25</v>
      </c>
      <c r="J294" s="3" t="n">
        <v>7.25</v>
      </c>
      <c r="K294" s="3" t="n">
        <v>7.5</v>
      </c>
      <c r="L294" s="3" t="n">
        <v>7.25</v>
      </c>
      <c r="M294" s="3" t="n">
        <v>7.5</v>
      </c>
      <c r="N294" s="3" t="n">
        <v>7.5</v>
      </c>
    </row>
    <row r="295">
      <c r="A295" s="3" t="inlineStr">
        <is>
          <t>20213966</t>
        </is>
      </c>
      <c r="B295" s="3" t="n">
        <v>4</v>
      </c>
      <c r="C295" s="3" t="inlineStr">
        <is>
          <t>Direct</t>
        </is>
      </c>
      <c r="D295" s="3" t="n">
        <v>3.5</v>
      </c>
      <c r="E295" s="3" t="n">
        <v>0</v>
      </c>
      <c r="F295" s="3" t="n">
        <v>4.25</v>
      </c>
      <c r="G295" s="3" t="n">
        <v>2.25</v>
      </c>
      <c r="H295" s="3" t="n">
        <v>1.75</v>
      </c>
      <c r="I295" s="3" t="n">
        <v>1.5</v>
      </c>
      <c r="J295" s="3" t="n">
        <v>0.75</v>
      </c>
      <c r="K295" s="3" t="n">
        <v>3.75</v>
      </c>
      <c r="L295" s="3" t="n">
        <v>2</v>
      </c>
      <c r="M295" s="3" t="n">
        <v>2.75</v>
      </c>
      <c r="N295" s="3" t="n">
        <v>3</v>
      </c>
    </row>
    <row r="296">
      <c r="A296" s="3" t="inlineStr">
        <is>
          <t>20214057</t>
        </is>
      </c>
      <c r="B296" s="3" t="n">
        <v>5</v>
      </c>
      <c r="C296" s="3" t="inlineStr">
        <is>
          <t>Direct</t>
        </is>
      </c>
      <c r="D296" s="3" t="n">
        <v>2.4</v>
      </c>
      <c r="E296" s="3" t="n">
        <v>0</v>
      </c>
      <c r="F296" s="3" t="n">
        <v>3.8</v>
      </c>
      <c r="G296" s="3" t="n">
        <v>3.6</v>
      </c>
      <c r="H296" s="3" t="n">
        <v>4.2</v>
      </c>
      <c r="I296" s="3" t="n">
        <v>4.6</v>
      </c>
      <c r="J296" s="3" t="n">
        <v>4.8</v>
      </c>
      <c r="K296" s="3" t="n">
        <v>4.4</v>
      </c>
      <c r="L296" s="3" t="n">
        <v>5</v>
      </c>
      <c r="M296" s="3" t="n">
        <v>5.6</v>
      </c>
      <c r="N296" s="3" t="n">
        <v>5</v>
      </c>
    </row>
    <row r="297">
      <c r="A297" s="3" t="inlineStr">
        <is>
          <t>202140839</t>
        </is>
      </c>
      <c r="B297" s="3" t="n">
        <v>6</v>
      </c>
      <c r="C297" s="3" t="inlineStr">
        <is>
          <t>Direct</t>
        </is>
      </c>
      <c r="D297" s="3" t="n">
        <v>3.5</v>
      </c>
      <c r="E297" s="3" t="n">
        <v>0</v>
      </c>
      <c r="F297" s="3" t="n">
        <v>4</v>
      </c>
      <c r="G297" s="3" t="n">
        <v>4</v>
      </c>
      <c r="H297" s="3" t="n">
        <v>3.666666666666667</v>
      </c>
      <c r="I297" s="3" t="n">
        <v>4.333333333333333</v>
      </c>
      <c r="J297" s="3" t="n">
        <v>5.166666666666667</v>
      </c>
      <c r="K297" s="3" t="n">
        <v>4.333333333333333</v>
      </c>
      <c r="L297" s="3" t="n">
        <v>4.833333333333333</v>
      </c>
      <c r="M297" s="3" t="n">
        <v>2.666666666666667</v>
      </c>
      <c r="N297" s="3" t="n">
        <v>5.5</v>
      </c>
    </row>
    <row r="298">
      <c r="A298" s="3" t="inlineStr">
        <is>
          <t>202140945</t>
        </is>
      </c>
      <c r="B298" s="3" t="n">
        <v>7</v>
      </c>
      <c r="C298" s="3" t="inlineStr">
        <is>
          <t>Direct</t>
        </is>
      </c>
      <c r="D298" s="3" t="n">
        <v>7.714285714285714</v>
      </c>
      <c r="E298" s="3" t="n">
        <v>0</v>
      </c>
      <c r="F298" s="3" t="n">
        <v>6.571428571428571</v>
      </c>
      <c r="G298" s="3" t="n">
        <v>6</v>
      </c>
      <c r="H298" s="3" t="n">
        <v>6.428571428571429</v>
      </c>
      <c r="I298" s="3" t="n">
        <v>7</v>
      </c>
      <c r="J298" s="3" t="n">
        <v>8.428571428571429</v>
      </c>
      <c r="K298" s="3" t="n">
        <v>8.142857142857142</v>
      </c>
      <c r="L298" s="3" t="n">
        <v>7.142857142857143</v>
      </c>
      <c r="M298" s="3" t="n">
        <v>7.714285714285714</v>
      </c>
      <c r="N298" s="3" t="n">
        <v>6.857142857142857</v>
      </c>
    </row>
    <row r="299">
      <c r="A299" s="3" t="inlineStr">
        <is>
          <t>20214127</t>
        </is>
      </c>
      <c r="B299" s="3" t="n">
        <v>8</v>
      </c>
      <c r="C299" s="3" t="inlineStr">
        <is>
          <t>Direct</t>
        </is>
      </c>
      <c r="D299" s="3" t="n">
        <v>2.125</v>
      </c>
      <c r="E299" s="3" t="n">
        <v>0</v>
      </c>
      <c r="F299" s="3" t="n">
        <v>2.625</v>
      </c>
      <c r="G299" s="3" t="n">
        <v>2.25</v>
      </c>
      <c r="H299" s="3" t="n">
        <v>2.125</v>
      </c>
      <c r="I299" s="3" t="n">
        <v>2</v>
      </c>
      <c r="J299" s="3" t="n">
        <v>2.75</v>
      </c>
      <c r="K299" s="3" t="n">
        <v>2.75</v>
      </c>
      <c r="L299" s="3" t="n">
        <v>1.75</v>
      </c>
      <c r="M299" s="3" t="n">
        <v>1.375</v>
      </c>
      <c r="N299" s="3" t="n">
        <v>1.75</v>
      </c>
    </row>
    <row r="300">
      <c r="A300" s="3" t="inlineStr">
        <is>
          <t>202141832</t>
        </is>
      </c>
      <c r="B300" s="3" t="n">
        <v>3</v>
      </c>
      <c r="C300" s="3" t="inlineStr">
        <is>
          <t>Direct</t>
        </is>
      </c>
      <c r="D300" s="3" t="n">
        <v>0</v>
      </c>
      <c r="E300" s="3" t="n">
        <v>0</v>
      </c>
      <c r="F300" s="3" t="n">
        <v>0</v>
      </c>
      <c r="G300" s="3" t="n">
        <v>0</v>
      </c>
      <c r="H300" s="3" t="n">
        <v>0</v>
      </c>
      <c r="I300" s="3" t="n">
        <v>0</v>
      </c>
      <c r="J300" s="3" t="n">
        <v>0</v>
      </c>
      <c r="K300" s="3" t="n">
        <v>0</v>
      </c>
      <c r="L300" s="3" t="n">
        <v>0</v>
      </c>
      <c r="M300" s="3" t="n">
        <v>0</v>
      </c>
      <c r="N300" s="3" t="n">
        <v>0</v>
      </c>
    </row>
    <row r="301">
      <c r="A301" s="3" t="inlineStr">
        <is>
          <t>202141970</t>
        </is>
      </c>
      <c r="B301" s="3" t="n">
        <v>2</v>
      </c>
      <c r="C301" s="3" t="inlineStr">
        <is>
          <t>Direct</t>
        </is>
      </c>
      <c r="D301" s="3" t="n">
        <v>5</v>
      </c>
      <c r="E301" s="3" t="n">
        <v>0</v>
      </c>
      <c r="F301" s="3" t="n">
        <v>2.5</v>
      </c>
      <c r="G301" s="3" t="n">
        <v>2.5</v>
      </c>
      <c r="H301" s="3" t="n">
        <v>2.5</v>
      </c>
      <c r="I301" s="3" t="n">
        <v>1.5</v>
      </c>
      <c r="J301" s="3" t="n">
        <v>0</v>
      </c>
      <c r="K301" s="3" t="n">
        <v>5</v>
      </c>
      <c r="L301" s="3" t="n">
        <v>5</v>
      </c>
      <c r="M301" s="3" t="n">
        <v>5</v>
      </c>
      <c r="N301" s="3" t="n">
        <v>5</v>
      </c>
    </row>
    <row r="302">
      <c r="A302" s="3" t="inlineStr">
        <is>
          <t>202142046</t>
        </is>
      </c>
      <c r="B302" s="3" t="n">
        <v>8</v>
      </c>
      <c r="C302" s="3" t="inlineStr">
        <is>
          <t>Direct</t>
        </is>
      </c>
      <c r="D302" s="3" t="n">
        <v>5.75</v>
      </c>
      <c r="E302" s="3" t="n">
        <v>0</v>
      </c>
      <c r="F302" s="3" t="n">
        <v>5.625</v>
      </c>
      <c r="G302" s="3" t="n">
        <v>6.5</v>
      </c>
      <c r="H302" s="3" t="n">
        <v>6.375</v>
      </c>
      <c r="I302" s="3" t="n">
        <v>7.5</v>
      </c>
      <c r="J302" s="3" t="n">
        <v>7.5</v>
      </c>
      <c r="K302" s="3" t="n">
        <v>8.125</v>
      </c>
      <c r="L302" s="3" t="n">
        <v>5</v>
      </c>
      <c r="M302" s="3" t="n">
        <v>6.625</v>
      </c>
      <c r="N302" s="3" t="n">
        <v>5.375</v>
      </c>
    </row>
    <row r="303">
      <c r="A303" s="3" t="inlineStr">
        <is>
          <t>202142076</t>
        </is>
      </c>
      <c r="B303" s="3" t="n">
        <v>4</v>
      </c>
      <c r="C303" s="3" t="inlineStr">
        <is>
          <t>Direct</t>
        </is>
      </c>
      <c r="D303" s="3" t="n">
        <v>4.25</v>
      </c>
      <c r="E303" s="3" t="n">
        <v>0</v>
      </c>
      <c r="F303" s="3" t="n">
        <v>2.5</v>
      </c>
      <c r="G303" s="3" t="n">
        <v>1</v>
      </c>
      <c r="H303" s="3" t="n">
        <v>1.75</v>
      </c>
      <c r="I303" s="3" t="n">
        <v>2.25</v>
      </c>
      <c r="J303" s="3" t="n">
        <v>2</v>
      </c>
      <c r="K303" s="3" t="n">
        <v>1.75</v>
      </c>
      <c r="L303" s="3" t="n">
        <v>0.25</v>
      </c>
      <c r="M303" s="3" t="n">
        <v>3</v>
      </c>
      <c r="N303" s="3" t="n">
        <v>3.25</v>
      </c>
    </row>
    <row r="304">
      <c r="A304" s="3" t="inlineStr">
        <is>
          <t>202143694</t>
        </is>
      </c>
      <c r="B304" s="3" t="n">
        <v>2</v>
      </c>
      <c r="C304" s="3" t="inlineStr">
        <is>
          <t>Direct</t>
        </is>
      </c>
      <c r="D304" s="3" t="n">
        <v>5</v>
      </c>
      <c r="E304" s="3" t="n">
        <v>0</v>
      </c>
      <c r="F304" s="3" t="n">
        <v>3.5</v>
      </c>
      <c r="G304" s="3" t="n">
        <v>4.5</v>
      </c>
      <c r="H304" s="3" t="n">
        <v>2</v>
      </c>
      <c r="I304" s="3" t="n">
        <v>5</v>
      </c>
      <c r="J304" s="3" t="n">
        <v>1</v>
      </c>
      <c r="K304" s="3" t="n">
        <v>0</v>
      </c>
      <c r="L304" s="3" t="n">
        <v>0</v>
      </c>
      <c r="M304" s="3" t="n">
        <v>0</v>
      </c>
      <c r="N304" s="3" t="n">
        <v>0</v>
      </c>
    </row>
    <row r="305">
      <c r="A305" s="3" t="inlineStr">
        <is>
          <t>20214390</t>
        </is>
      </c>
      <c r="B305" s="3" t="n">
        <v>4</v>
      </c>
      <c r="C305" s="3" t="inlineStr">
        <is>
          <t>Direct</t>
        </is>
      </c>
      <c r="D305" s="3" t="n">
        <v>1</v>
      </c>
      <c r="E305" s="3" t="n">
        <v>0</v>
      </c>
      <c r="F305" s="3" t="n">
        <v>5</v>
      </c>
      <c r="G305" s="3" t="n">
        <v>3.75</v>
      </c>
      <c r="H305" s="3" t="n">
        <v>0</v>
      </c>
      <c r="I305" s="3" t="n">
        <v>3.25</v>
      </c>
      <c r="J305" s="3" t="n">
        <v>0.25</v>
      </c>
      <c r="K305" s="3" t="n">
        <v>0</v>
      </c>
      <c r="L305" s="3" t="n">
        <v>0</v>
      </c>
      <c r="M305" s="3" t="n">
        <v>0.75</v>
      </c>
      <c r="N305" s="3" t="n">
        <v>0</v>
      </c>
    </row>
    <row r="306">
      <c r="A306" s="3" t="inlineStr">
        <is>
          <t>20214450</t>
        </is>
      </c>
      <c r="B306" s="3" t="n">
        <v>4</v>
      </c>
      <c r="C306" s="3" t="inlineStr">
        <is>
          <t>Direct</t>
        </is>
      </c>
      <c r="D306" s="3" t="n">
        <v>0.75</v>
      </c>
      <c r="E306" s="3" t="n">
        <v>0</v>
      </c>
      <c r="F306" s="3" t="n">
        <v>2.75</v>
      </c>
      <c r="G306" s="3" t="n">
        <v>0.75</v>
      </c>
      <c r="H306" s="3" t="n">
        <v>0.75</v>
      </c>
      <c r="I306" s="3" t="n">
        <v>0</v>
      </c>
      <c r="J306" s="3" t="n">
        <v>2.25</v>
      </c>
      <c r="K306" s="3" t="n">
        <v>1.25</v>
      </c>
      <c r="L306" s="3" t="n">
        <v>0</v>
      </c>
      <c r="M306" s="3" t="n">
        <v>0.25</v>
      </c>
      <c r="N306" s="3" t="n">
        <v>0</v>
      </c>
    </row>
    <row r="307">
      <c r="A307" s="3" t="inlineStr">
        <is>
          <t>202144660</t>
        </is>
      </c>
      <c r="B307" s="3" t="n">
        <v>3</v>
      </c>
      <c r="C307" s="3" t="inlineStr">
        <is>
          <t>Direct</t>
        </is>
      </c>
      <c r="D307" s="3" t="n">
        <v>4.666666666666667</v>
      </c>
      <c r="E307" s="3" t="n">
        <v>0</v>
      </c>
      <c r="F307" s="3" t="n">
        <v>7.666666666666667</v>
      </c>
      <c r="G307" s="3" t="n">
        <v>5</v>
      </c>
      <c r="H307" s="3" t="n">
        <v>5</v>
      </c>
      <c r="I307" s="3" t="n">
        <v>6</v>
      </c>
      <c r="J307" s="3" t="n">
        <v>6.666666666666667</v>
      </c>
      <c r="K307" s="3" t="n">
        <v>6.666666666666667</v>
      </c>
      <c r="L307" s="3" t="n">
        <v>6</v>
      </c>
      <c r="M307" s="3" t="n">
        <v>7.333333333333333</v>
      </c>
      <c r="N307" s="3" t="n">
        <v>5</v>
      </c>
    </row>
    <row r="308">
      <c r="A308" s="3" t="inlineStr">
        <is>
          <t>202144987</t>
        </is>
      </c>
      <c r="B308" s="3" t="n">
        <v>5</v>
      </c>
      <c r="C308" s="3" t="inlineStr">
        <is>
          <t>Direct</t>
        </is>
      </c>
      <c r="D308" s="3" t="n">
        <v>2.2</v>
      </c>
      <c r="E308" s="3" t="n">
        <v>0</v>
      </c>
      <c r="F308" s="3" t="n">
        <v>2</v>
      </c>
      <c r="G308" s="3" t="n">
        <v>1.8</v>
      </c>
      <c r="H308" s="3" t="n">
        <v>2.2</v>
      </c>
      <c r="I308" s="3" t="n">
        <v>3.2</v>
      </c>
      <c r="J308" s="3" t="n">
        <v>3.2</v>
      </c>
      <c r="K308" s="3" t="n">
        <v>2.6</v>
      </c>
      <c r="L308" s="3" t="n">
        <v>3.4</v>
      </c>
      <c r="M308" s="3" t="n">
        <v>2.4</v>
      </c>
      <c r="N308" s="3" t="n">
        <v>2.2</v>
      </c>
    </row>
    <row r="309">
      <c r="A309" s="3" t="inlineStr">
        <is>
          <t>202145257</t>
        </is>
      </c>
      <c r="B309" s="3" t="n">
        <v>6</v>
      </c>
      <c r="C309" s="3" t="inlineStr">
        <is>
          <t>Direct</t>
        </is>
      </c>
      <c r="D309" s="3" t="n">
        <v>4.5</v>
      </c>
      <c r="E309" s="3" t="n">
        <v>0</v>
      </c>
      <c r="F309" s="3" t="n">
        <v>4</v>
      </c>
      <c r="G309" s="3" t="n">
        <v>3.166666666666667</v>
      </c>
      <c r="H309" s="3" t="n">
        <v>3.166666666666667</v>
      </c>
      <c r="I309" s="3" t="n">
        <v>3.666666666666667</v>
      </c>
      <c r="J309" s="3" t="n">
        <v>3.5</v>
      </c>
      <c r="K309" s="3" t="n">
        <v>4</v>
      </c>
      <c r="L309" s="3" t="n">
        <v>4.333333333333333</v>
      </c>
      <c r="M309" s="3" t="n">
        <v>4</v>
      </c>
      <c r="N309" s="3" t="n">
        <v>4.333333333333333</v>
      </c>
    </row>
    <row r="310">
      <c r="A310" s="3" t="inlineStr">
        <is>
          <t>202146030</t>
        </is>
      </c>
      <c r="B310" s="3" t="n">
        <v>7</v>
      </c>
      <c r="C310" s="3" t="inlineStr">
        <is>
          <t>Direct</t>
        </is>
      </c>
      <c r="D310" s="3" t="n">
        <v>6.857142857142857</v>
      </c>
      <c r="E310" s="3" t="n">
        <v>0</v>
      </c>
      <c r="F310" s="3" t="n">
        <v>5.142857142857143</v>
      </c>
      <c r="G310" s="3" t="n">
        <v>5.857142857142857</v>
      </c>
      <c r="H310" s="3" t="n">
        <v>4</v>
      </c>
      <c r="I310" s="3" t="n">
        <v>7</v>
      </c>
      <c r="J310" s="3" t="n">
        <v>4.571428571428571</v>
      </c>
      <c r="K310" s="3" t="n">
        <v>7.714285714285714</v>
      </c>
      <c r="L310" s="3" t="n">
        <v>6.857142857142857</v>
      </c>
      <c r="M310" s="3" t="n">
        <v>6.571428571428571</v>
      </c>
      <c r="N310" s="3" t="n">
        <v>6.571428571428571</v>
      </c>
    </row>
    <row r="311">
      <c r="A311" s="3" t="inlineStr">
        <is>
          <t>202146829</t>
        </is>
      </c>
      <c r="B311" s="3" t="n">
        <v>6</v>
      </c>
      <c r="C311" s="3" t="inlineStr">
        <is>
          <t>Direct</t>
        </is>
      </c>
      <c r="D311" s="3" t="n">
        <v>6.333333333333333</v>
      </c>
      <c r="E311" s="3" t="n">
        <v>0</v>
      </c>
      <c r="F311" s="3" t="n">
        <v>6.166666666666667</v>
      </c>
      <c r="G311" s="3" t="n">
        <v>5.833333333333333</v>
      </c>
      <c r="H311" s="3" t="n">
        <v>4.666666666666667</v>
      </c>
      <c r="I311" s="3" t="n">
        <v>7.833333333333333</v>
      </c>
      <c r="J311" s="3" t="n">
        <v>9</v>
      </c>
      <c r="K311" s="3" t="n">
        <v>8.333333333333334</v>
      </c>
      <c r="L311" s="3" t="n">
        <v>8.333333333333334</v>
      </c>
      <c r="M311" s="3" t="n">
        <v>7.166666666666667</v>
      </c>
      <c r="N311" s="3" t="n">
        <v>5.666666666666667</v>
      </c>
    </row>
    <row r="312">
      <c r="A312" s="3" t="inlineStr">
        <is>
          <t>20214722</t>
        </is>
      </c>
      <c r="B312" s="3" t="n">
        <v>3</v>
      </c>
      <c r="C312" s="3" t="inlineStr">
        <is>
          <t>Direct</t>
        </is>
      </c>
      <c r="D312" s="3" t="n">
        <v>4.333333333333333</v>
      </c>
      <c r="E312" s="3" t="n">
        <v>0</v>
      </c>
      <c r="F312" s="3" t="n">
        <v>4.666666666666667</v>
      </c>
      <c r="G312" s="3" t="n">
        <v>5.333333333333333</v>
      </c>
      <c r="H312" s="3" t="n">
        <v>7</v>
      </c>
      <c r="I312" s="3" t="n">
        <v>0.6666666666666666</v>
      </c>
      <c r="J312" s="3" t="n">
        <v>1</v>
      </c>
      <c r="K312" s="3" t="n">
        <v>3</v>
      </c>
      <c r="L312" s="3" t="n">
        <v>1</v>
      </c>
      <c r="M312" s="3" t="n">
        <v>0.3333333333333333</v>
      </c>
      <c r="N312" s="3" t="n">
        <v>1.333333333333333</v>
      </c>
    </row>
    <row r="313">
      <c r="A313" s="3" t="inlineStr">
        <is>
          <t>202147519</t>
        </is>
      </c>
      <c r="B313" s="3" t="n">
        <v>3</v>
      </c>
      <c r="C313" s="3" t="inlineStr">
        <is>
          <t>Direct</t>
        </is>
      </c>
      <c r="D313" s="3" t="n">
        <v>9.333333333333334</v>
      </c>
      <c r="E313" s="3" t="n">
        <v>0</v>
      </c>
      <c r="F313" s="3" t="n">
        <v>2</v>
      </c>
      <c r="G313" s="3" t="n">
        <v>8</v>
      </c>
      <c r="H313" s="3" t="n">
        <v>7.666666666666667</v>
      </c>
      <c r="I313" s="3" t="n">
        <v>7</v>
      </c>
      <c r="J313" s="3" t="n">
        <v>6.333333333333333</v>
      </c>
      <c r="K313" s="3" t="n">
        <v>7</v>
      </c>
      <c r="L313" s="3" t="n">
        <v>1.666666666666667</v>
      </c>
      <c r="M313" s="3" t="n">
        <v>9.666666666666666</v>
      </c>
      <c r="N313" s="3" t="n">
        <v>6.666666666666667</v>
      </c>
    </row>
    <row r="314">
      <c r="A314" s="3" t="inlineStr">
        <is>
          <t>202147810</t>
        </is>
      </c>
      <c r="B314" s="3" t="n">
        <v>4</v>
      </c>
      <c r="C314" s="3" t="inlineStr">
        <is>
          <t>Direct</t>
        </is>
      </c>
      <c r="D314" s="3" t="n">
        <v>1.5</v>
      </c>
      <c r="E314" s="3" t="n">
        <v>0</v>
      </c>
      <c r="F314" s="3" t="n">
        <v>1.5</v>
      </c>
      <c r="G314" s="3" t="n">
        <v>1.5</v>
      </c>
      <c r="H314" s="3" t="n">
        <v>1.25</v>
      </c>
      <c r="I314" s="3" t="n">
        <v>1</v>
      </c>
      <c r="J314" s="3" t="n">
        <v>0</v>
      </c>
      <c r="K314" s="3" t="n">
        <v>0.5</v>
      </c>
      <c r="L314" s="3" t="n">
        <v>0</v>
      </c>
      <c r="M314" s="3" t="n">
        <v>0</v>
      </c>
      <c r="N314" s="3" t="n">
        <v>1.75</v>
      </c>
    </row>
    <row r="315">
      <c r="A315" s="3" t="inlineStr">
        <is>
          <t>202148485</t>
        </is>
      </c>
      <c r="B315" s="3" t="n">
        <v>5</v>
      </c>
      <c r="C315" s="3" t="inlineStr">
        <is>
          <t>Direct</t>
        </is>
      </c>
      <c r="D315" s="3" t="n">
        <v>0.8</v>
      </c>
      <c r="E315" s="3" t="n">
        <v>0</v>
      </c>
      <c r="F315" s="3" t="n">
        <v>0.8</v>
      </c>
      <c r="G315" s="3" t="n">
        <v>1.6</v>
      </c>
      <c r="H315" s="3" t="n">
        <v>1.6</v>
      </c>
      <c r="I315" s="3" t="n">
        <v>0.8</v>
      </c>
      <c r="J315" s="3" t="n">
        <v>1.2</v>
      </c>
      <c r="K315" s="3" t="n">
        <v>0.6</v>
      </c>
      <c r="L315" s="3" t="n">
        <v>1.2</v>
      </c>
      <c r="M315" s="3" t="n">
        <v>1.2</v>
      </c>
      <c r="N315" s="3" t="n">
        <v>0.6</v>
      </c>
    </row>
    <row r="316">
      <c r="A316" s="3" t="inlineStr">
        <is>
          <t>202148545</t>
        </is>
      </c>
      <c r="B316" s="3" t="n">
        <v>10</v>
      </c>
      <c r="C316" s="3" t="inlineStr">
        <is>
          <t>Direct</t>
        </is>
      </c>
      <c r="D316" s="3" t="n">
        <v>4.6</v>
      </c>
      <c r="E316" s="3" t="n">
        <v>0</v>
      </c>
      <c r="F316" s="3" t="n">
        <v>4.3</v>
      </c>
      <c r="G316" s="3" t="n">
        <v>4.5</v>
      </c>
      <c r="H316" s="3" t="n">
        <v>4.4</v>
      </c>
      <c r="I316" s="3" t="n">
        <v>5</v>
      </c>
      <c r="J316" s="3" t="n">
        <v>5.2</v>
      </c>
      <c r="K316" s="3" t="n">
        <v>5.2</v>
      </c>
      <c r="L316" s="3" t="n">
        <v>5.4</v>
      </c>
      <c r="M316" s="3" t="n">
        <v>5.8</v>
      </c>
      <c r="N316" s="3" t="n">
        <v>5.2</v>
      </c>
    </row>
    <row r="317">
      <c r="A317" s="3" t="inlineStr">
        <is>
          <t>202148895</t>
        </is>
      </c>
      <c r="B317" s="3" t="n">
        <v>9</v>
      </c>
      <c r="C317" s="3" t="inlineStr">
        <is>
          <t>Direct</t>
        </is>
      </c>
      <c r="D317" s="3" t="n">
        <v>5.666666666666667</v>
      </c>
      <c r="E317" s="3" t="n">
        <v>0</v>
      </c>
      <c r="F317" s="3" t="n">
        <v>5</v>
      </c>
      <c r="G317" s="3" t="n">
        <v>2.111111111111111</v>
      </c>
      <c r="H317" s="3" t="n">
        <v>2.666666666666667</v>
      </c>
      <c r="I317" s="3" t="n">
        <v>1.888888888888889</v>
      </c>
      <c r="J317" s="3" t="n">
        <v>4.555555555555555</v>
      </c>
      <c r="K317" s="3" t="n">
        <v>3.666666666666667</v>
      </c>
      <c r="L317" s="3" t="n">
        <v>4.888888888888889</v>
      </c>
      <c r="M317" s="3" t="n">
        <v>3.555555555555555</v>
      </c>
      <c r="N317" s="3" t="n">
        <v>2.555555555555555</v>
      </c>
    </row>
    <row r="318">
      <c r="A318" s="3" t="inlineStr">
        <is>
          <t>202149220</t>
        </is>
      </c>
      <c r="B318" s="3" t="n">
        <v>7</v>
      </c>
      <c r="C318" s="3" t="inlineStr">
        <is>
          <t>Direct</t>
        </is>
      </c>
      <c r="D318" s="3" t="n">
        <v>0</v>
      </c>
      <c r="E318" s="3" t="n">
        <v>0</v>
      </c>
      <c r="F318" s="3" t="n">
        <v>0</v>
      </c>
      <c r="G318" s="3" t="n">
        <v>0</v>
      </c>
      <c r="H318" s="3" t="n">
        <v>0</v>
      </c>
      <c r="I318" s="3" t="n">
        <v>0</v>
      </c>
      <c r="J318" s="3" t="n">
        <v>0.7142857142857143</v>
      </c>
      <c r="K318" s="3" t="n">
        <v>0</v>
      </c>
      <c r="L318" s="3" t="n">
        <v>0</v>
      </c>
      <c r="M318" s="3" t="n">
        <v>0</v>
      </c>
      <c r="N318" s="3" t="n">
        <v>0</v>
      </c>
    </row>
    <row r="319">
      <c r="A319" s="3" t="inlineStr">
        <is>
          <t>202150018</t>
        </is>
      </c>
      <c r="B319" s="3" t="n">
        <v>1</v>
      </c>
      <c r="C319" s="3" t="inlineStr">
        <is>
          <t>Direct</t>
        </is>
      </c>
      <c r="D319" s="3" t="n">
        <v>0</v>
      </c>
      <c r="E319" s="3" t="n">
        <v>0</v>
      </c>
      <c r="F319" s="3" t="n">
        <v>2</v>
      </c>
      <c r="G319" s="3" t="n">
        <v>0</v>
      </c>
      <c r="H319" s="3" t="n">
        <v>0</v>
      </c>
      <c r="I319" s="3" t="n">
        <v>1</v>
      </c>
      <c r="J319" s="3" t="n">
        <v>3</v>
      </c>
      <c r="K319" s="3" t="n">
        <v>0</v>
      </c>
      <c r="L319" s="3" t="n">
        <v>2</v>
      </c>
      <c r="M319" s="3" t="n">
        <v>2</v>
      </c>
      <c r="N319" s="3" t="n">
        <v>0</v>
      </c>
    </row>
    <row r="320">
      <c r="A320" s="3" t="inlineStr">
        <is>
          <t>202150155</t>
        </is>
      </c>
      <c r="B320" s="3" t="n">
        <v>6</v>
      </c>
      <c r="C320" s="3" t="inlineStr">
        <is>
          <t>Direct</t>
        </is>
      </c>
      <c r="D320" s="3" t="n">
        <v>1.333333333333333</v>
      </c>
      <c r="E320" s="3" t="n">
        <v>0</v>
      </c>
      <c r="F320" s="3" t="n">
        <v>0.1666666666666667</v>
      </c>
      <c r="G320" s="3" t="n">
        <v>0</v>
      </c>
      <c r="H320" s="3" t="n">
        <v>0.3333333333333333</v>
      </c>
      <c r="I320" s="3" t="n">
        <v>0.5</v>
      </c>
      <c r="J320" s="3" t="n">
        <v>0.3333333333333333</v>
      </c>
      <c r="K320" s="3" t="n">
        <v>0.6666666666666666</v>
      </c>
      <c r="L320" s="3" t="n">
        <v>0</v>
      </c>
      <c r="M320" s="3" t="n">
        <v>0</v>
      </c>
      <c r="N320" s="3" t="n">
        <v>0</v>
      </c>
    </row>
    <row r="321">
      <c r="A321" s="3" t="inlineStr">
        <is>
          <t>202150390</t>
        </is>
      </c>
      <c r="B321" s="3" t="n">
        <v>8</v>
      </c>
      <c r="C321" s="3" t="inlineStr">
        <is>
          <t>Direct</t>
        </is>
      </c>
      <c r="D321" s="3" t="n">
        <v>3.25</v>
      </c>
      <c r="E321" s="3" t="n">
        <v>0</v>
      </c>
      <c r="F321" s="3" t="n">
        <v>3.125</v>
      </c>
      <c r="G321" s="3" t="n">
        <v>2.125</v>
      </c>
      <c r="H321" s="3" t="n">
        <v>3.5</v>
      </c>
      <c r="I321" s="3" t="n">
        <v>3.75</v>
      </c>
      <c r="J321" s="3" t="n">
        <v>2.375</v>
      </c>
      <c r="K321" s="3" t="n">
        <v>3.25</v>
      </c>
      <c r="L321" s="3" t="n">
        <v>6.5</v>
      </c>
      <c r="M321" s="3" t="n">
        <v>6.25</v>
      </c>
      <c r="N321" s="3" t="n">
        <v>4.875</v>
      </c>
    </row>
    <row r="322">
      <c r="A322" s="3" t="inlineStr">
        <is>
          <t>202150889</t>
        </is>
      </c>
      <c r="B322" s="3" t="n">
        <v>7</v>
      </c>
      <c r="C322" s="3" t="inlineStr">
        <is>
          <t>Direct</t>
        </is>
      </c>
      <c r="D322" s="3" t="n">
        <v>4.857142857142857</v>
      </c>
      <c r="E322" s="3" t="n">
        <v>0</v>
      </c>
      <c r="F322" s="3" t="n">
        <v>4.714285714285714</v>
      </c>
      <c r="G322" s="3" t="n">
        <v>5.142857142857143</v>
      </c>
      <c r="H322" s="3" t="n">
        <v>4.142857142857143</v>
      </c>
      <c r="I322" s="3" t="n">
        <v>5.142857142857143</v>
      </c>
      <c r="J322" s="3" t="n">
        <v>5.428571428571429</v>
      </c>
      <c r="K322" s="3" t="n">
        <v>5.285714285714286</v>
      </c>
      <c r="L322" s="3" t="n">
        <v>5.428571428571429</v>
      </c>
      <c r="M322" s="3" t="n">
        <v>4.857142857142857</v>
      </c>
      <c r="N322" s="3" t="n">
        <v>5.571428571428571</v>
      </c>
    </row>
    <row r="323">
      <c r="A323" s="3" t="inlineStr">
        <is>
          <t>20215129</t>
        </is>
      </c>
      <c r="B323" s="3" t="n">
        <v>9</v>
      </c>
      <c r="C323" s="3" t="inlineStr">
        <is>
          <t>Direct</t>
        </is>
      </c>
      <c r="D323" s="3" t="n">
        <v>5.444444444444445</v>
      </c>
      <c r="E323" s="3" t="n">
        <v>0</v>
      </c>
      <c r="F323" s="3" t="n">
        <v>6</v>
      </c>
      <c r="G323" s="3" t="n">
        <v>6.777777777777778</v>
      </c>
      <c r="H323" s="3" t="n">
        <v>6.777777777777778</v>
      </c>
      <c r="I323" s="3" t="n">
        <v>7.666666666666667</v>
      </c>
      <c r="J323" s="3" t="n">
        <v>7.666666666666667</v>
      </c>
      <c r="K323" s="3" t="n">
        <v>7.222222222222222</v>
      </c>
      <c r="L323" s="3" t="n">
        <v>7.444444444444445</v>
      </c>
      <c r="M323" s="3" t="n">
        <v>7.555555555555555</v>
      </c>
      <c r="N323" s="3" t="n">
        <v>7.222222222222222</v>
      </c>
    </row>
    <row r="324">
      <c r="A324" s="3" t="inlineStr">
        <is>
          <t>202151436</t>
        </is>
      </c>
      <c r="B324" s="3" t="n">
        <v>8</v>
      </c>
      <c r="C324" s="3" t="inlineStr">
        <is>
          <t>Direct</t>
        </is>
      </c>
      <c r="D324" s="3" t="n">
        <v>8.375</v>
      </c>
      <c r="E324" s="3" t="n">
        <v>0</v>
      </c>
      <c r="F324" s="3" t="n">
        <v>4.875</v>
      </c>
      <c r="G324" s="3" t="n">
        <v>4.625</v>
      </c>
      <c r="H324" s="3" t="n">
        <v>5.125</v>
      </c>
      <c r="I324" s="3" t="n">
        <v>4.75</v>
      </c>
      <c r="J324" s="3" t="n">
        <v>5.375</v>
      </c>
      <c r="K324" s="3" t="n">
        <v>4.375</v>
      </c>
      <c r="L324" s="3" t="n">
        <v>4.625</v>
      </c>
      <c r="M324" s="3" t="n">
        <v>5.375</v>
      </c>
      <c r="N324" s="3" t="n">
        <v>5.875</v>
      </c>
    </row>
    <row r="325">
      <c r="A325" s="3" t="inlineStr">
        <is>
          <t>20215149</t>
        </is>
      </c>
      <c r="B325" s="3" t="n">
        <v>5</v>
      </c>
      <c r="C325" s="3" t="inlineStr">
        <is>
          <t>Direct</t>
        </is>
      </c>
      <c r="D325" s="3" t="n">
        <v>6.6</v>
      </c>
      <c r="E325" s="3" t="n">
        <v>0</v>
      </c>
      <c r="F325" s="3" t="n">
        <v>8.800000000000001</v>
      </c>
      <c r="G325" s="3" t="n">
        <v>6.4</v>
      </c>
      <c r="H325" s="3" t="n">
        <v>6.8</v>
      </c>
      <c r="I325" s="3" t="n">
        <v>7.6</v>
      </c>
      <c r="J325" s="3" t="n">
        <v>7.8</v>
      </c>
      <c r="K325" s="3" t="n">
        <v>7.8</v>
      </c>
      <c r="L325" s="3" t="n">
        <v>8</v>
      </c>
      <c r="M325" s="3" t="n">
        <v>8</v>
      </c>
      <c r="N325" s="3" t="n">
        <v>7.8</v>
      </c>
    </row>
    <row r="326">
      <c r="A326" s="3" t="inlineStr">
        <is>
          <t>202151504</t>
        </is>
      </c>
      <c r="B326" s="3" t="n">
        <v>8</v>
      </c>
      <c r="C326" s="3" t="inlineStr">
        <is>
          <t>Direct</t>
        </is>
      </c>
      <c r="D326" s="3" t="n">
        <v>3.125</v>
      </c>
      <c r="E326" s="3" t="n">
        <v>0</v>
      </c>
      <c r="F326" s="3" t="n">
        <v>3.25</v>
      </c>
      <c r="G326" s="3" t="n">
        <v>3.625</v>
      </c>
      <c r="H326" s="3" t="n">
        <v>5.25</v>
      </c>
      <c r="I326" s="3" t="n">
        <v>4.125</v>
      </c>
      <c r="J326" s="3" t="n">
        <v>4.625</v>
      </c>
      <c r="K326" s="3" t="n">
        <v>4.5</v>
      </c>
      <c r="L326" s="3" t="n">
        <v>6.25</v>
      </c>
      <c r="M326" s="3" t="n">
        <v>4.75</v>
      </c>
      <c r="N326" s="3" t="n">
        <v>5.625</v>
      </c>
    </row>
    <row r="327">
      <c r="A327" s="3" t="inlineStr">
        <is>
          <t>202151560</t>
        </is>
      </c>
      <c r="B327" s="3" t="n">
        <v>3</v>
      </c>
      <c r="C327" s="3" t="inlineStr">
        <is>
          <t>Direct</t>
        </is>
      </c>
      <c r="D327" s="3" t="n">
        <v>0</v>
      </c>
      <c r="E327" s="3" t="n">
        <v>0</v>
      </c>
      <c r="F327" s="3" t="n">
        <v>0</v>
      </c>
      <c r="G327" s="3" t="n">
        <v>0</v>
      </c>
      <c r="H327" s="3" t="n">
        <v>0</v>
      </c>
      <c r="I327" s="3" t="n">
        <v>0</v>
      </c>
      <c r="J327" s="3" t="n">
        <v>0</v>
      </c>
      <c r="K327" s="3" t="n">
        <v>1.333333333333333</v>
      </c>
      <c r="L327" s="3" t="n">
        <v>0</v>
      </c>
      <c r="M327" s="3" t="n">
        <v>0</v>
      </c>
      <c r="N327" s="3" t="n">
        <v>0</v>
      </c>
    </row>
    <row r="328">
      <c r="A328" s="3" t="inlineStr">
        <is>
          <t>202151671</t>
        </is>
      </c>
      <c r="B328" s="3" t="n">
        <v>8</v>
      </c>
      <c r="C328" s="3" t="inlineStr">
        <is>
          <t>Direct</t>
        </is>
      </c>
      <c r="D328" s="3" t="n">
        <v>3.5</v>
      </c>
      <c r="E328" s="3" t="n">
        <v>0</v>
      </c>
      <c r="F328" s="3" t="n">
        <v>2.25</v>
      </c>
      <c r="G328" s="3" t="n">
        <v>2</v>
      </c>
      <c r="H328" s="3" t="n">
        <v>2</v>
      </c>
      <c r="I328" s="3" t="n">
        <v>3.375</v>
      </c>
      <c r="J328" s="3" t="n">
        <v>3</v>
      </c>
      <c r="K328" s="3" t="n">
        <v>3.125</v>
      </c>
      <c r="L328" s="3" t="n">
        <v>1.25</v>
      </c>
      <c r="M328" s="3" t="n">
        <v>5.75</v>
      </c>
      <c r="N328" s="3" t="n">
        <v>3</v>
      </c>
    </row>
    <row r="329">
      <c r="A329" s="3" t="inlineStr">
        <is>
          <t>20215203</t>
        </is>
      </c>
      <c r="B329" s="3" t="n">
        <v>3</v>
      </c>
      <c r="C329" s="3" t="inlineStr">
        <is>
          <t>Direct</t>
        </is>
      </c>
      <c r="D329" s="3" t="n">
        <v>2.333333333333333</v>
      </c>
      <c r="E329" s="3" t="n">
        <v>0</v>
      </c>
      <c r="F329" s="3" t="n">
        <v>1.333333333333333</v>
      </c>
      <c r="G329" s="3" t="n">
        <v>0</v>
      </c>
      <c r="H329" s="3" t="n">
        <v>0</v>
      </c>
      <c r="I329" s="3" t="n">
        <v>2</v>
      </c>
      <c r="J329" s="3" t="n">
        <v>2</v>
      </c>
      <c r="K329" s="3" t="n">
        <v>2.333333333333333</v>
      </c>
      <c r="L329" s="3" t="n">
        <v>1</v>
      </c>
      <c r="M329" s="3" t="n">
        <v>0</v>
      </c>
      <c r="N329" s="3" t="n">
        <v>0.3333333333333333</v>
      </c>
    </row>
    <row r="330">
      <c r="A330" s="3" t="inlineStr">
        <is>
          <t>202152240</t>
        </is>
      </c>
      <c r="B330" s="3" t="n">
        <v>8</v>
      </c>
      <c r="C330" s="3" t="inlineStr">
        <is>
          <t>Direct</t>
        </is>
      </c>
      <c r="D330" s="3" t="n">
        <v>6.625</v>
      </c>
      <c r="E330" s="3" t="n">
        <v>0</v>
      </c>
      <c r="F330" s="3" t="n">
        <v>4.5</v>
      </c>
      <c r="G330" s="3" t="n">
        <v>5</v>
      </c>
      <c r="H330" s="3" t="n">
        <v>4.5</v>
      </c>
      <c r="I330" s="3" t="n">
        <v>6.25</v>
      </c>
      <c r="J330" s="3" t="n">
        <v>6.125</v>
      </c>
      <c r="K330" s="3" t="n">
        <v>5.75</v>
      </c>
      <c r="L330" s="3" t="n">
        <v>6</v>
      </c>
      <c r="M330" s="3" t="n">
        <v>6.625</v>
      </c>
      <c r="N330" s="3" t="n">
        <v>6.75</v>
      </c>
    </row>
    <row r="331">
      <c r="A331" s="3" t="inlineStr">
        <is>
          <t>20215245</t>
        </is>
      </c>
      <c r="B331" s="3" t="n">
        <v>5</v>
      </c>
      <c r="C331" s="3" t="inlineStr">
        <is>
          <t>Direct</t>
        </is>
      </c>
      <c r="D331" s="3" t="n">
        <v>2</v>
      </c>
      <c r="E331" s="3" t="n">
        <v>0</v>
      </c>
      <c r="F331" s="3" t="n">
        <v>4.4</v>
      </c>
      <c r="G331" s="3" t="n">
        <v>0.2</v>
      </c>
      <c r="H331" s="3" t="n">
        <v>0.2</v>
      </c>
      <c r="I331" s="3" t="n">
        <v>0.2</v>
      </c>
      <c r="J331" s="3" t="n">
        <v>0</v>
      </c>
      <c r="K331" s="3" t="n">
        <v>0</v>
      </c>
      <c r="L331" s="3" t="n">
        <v>0.4</v>
      </c>
      <c r="M331" s="3" t="n">
        <v>0.2</v>
      </c>
      <c r="N331" s="3" t="n">
        <v>0.4</v>
      </c>
    </row>
    <row r="332">
      <c r="A332" s="3" t="inlineStr">
        <is>
          <t>202152618</t>
        </is>
      </c>
      <c r="B332" s="3" t="n">
        <v>3</v>
      </c>
      <c r="C332" s="3" t="inlineStr">
        <is>
          <t>Direct</t>
        </is>
      </c>
      <c r="D332" s="3" t="n">
        <v>3.666666666666667</v>
      </c>
      <c r="E332" s="3" t="n">
        <v>0</v>
      </c>
      <c r="F332" s="3" t="n">
        <v>0</v>
      </c>
      <c r="G332" s="3" t="n">
        <v>0.6666666666666666</v>
      </c>
      <c r="H332" s="3" t="n">
        <v>0.6666666666666666</v>
      </c>
      <c r="I332" s="3" t="n">
        <v>0</v>
      </c>
      <c r="J332" s="3" t="n">
        <v>0</v>
      </c>
      <c r="K332" s="3" t="n">
        <v>0</v>
      </c>
      <c r="L332" s="3" t="n">
        <v>0.3333333333333333</v>
      </c>
      <c r="M332" s="3" t="n">
        <v>1.333333333333333</v>
      </c>
      <c r="N332" s="3" t="n">
        <v>0</v>
      </c>
    </row>
    <row r="333">
      <c r="A333" s="3" t="inlineStr">
        <is>
          <t>202152881</t>
        </is>
      </c>
      <c r="B333" s="3" t="n">
        <v>5</v>
      </c>
      <c r="C333" s="3" t="inlineStr">
        <is>
          <t>Direct</t>
        </is>
      </c>
      <c r="D333" s="3" t="n">
        <v>0.2</v>
      </c>
      <c r="E333" s="3" t="n">
        <v>0</v>
      </c>
      <c r="F333" s="3" t="n">
        <v>0</v>
      </c>
      <c r="G333" s="3" t="n">
        <v>0</v>
      </c>
      <c r="H333" s="3" t="n">
        <v>0</v>
      </c>
      <c r="I333" s="3" t="n">
        <v>0.2</v>
      </c>
      <c r="J333" s="3" t="n">
        <v>0</v>
      </c>
      <c r="K333" s="3" t="n">
        <v>0.2</v>
      </c>
      <c r="L333" s="3" t="n">
        <v>0.2</v>
      </c>
      <c r="M333" s="3" t="n">
        <v>0</v>
      </c>
      <c r="N333" s="3" t="n">
        <v>0</v>
      </c>
    </row>
    <row r="334">
      <c r="A334" s="3" t="inlineStr">
        <is>
          <t>202153409</t>
        </is>
      </c>
      <c r="B334" s="3" t="n">
        <v>6</v>
      </c>
      <c r="C334" s="3" t="inlineStr">
        <is>
          <t>Direct</t>
        </is>
      </c>
      <c r="D334" s="3" t="n">
        <v>7</v>
      </c>
      <c r="E334" s="3" t="n">
        <v>0</v>
      </c>
      <c r="F334" s="3" t="n">
        <v>5.5</v>
      </c>
      <c r="G334" s="3" t="n">
        <v>3.666666666666667</v>
      </c>
      <c r="H334" s="3" t="n">
        <v>1.5</v>
      </c>
      <c r="I334" s="3" t="n">
        <v>7.666666666666667</v>
      </c>
      <c r="J334" s="3" t="n">
        <v>9</v>
      </c>
      <c r="K334" s="3" t="n">
        <v>9</v>
      </c>
      <c r="L334" s="3" t="n">
        <v>8.5</v>
      </c>
      <c r="M334" s="3" t="n">
        <v>8.333333333333334</v>
      </c>
      <c r="N334" s="3" t="n">
        <v>7.833333333333333</v>
      </c>
    </row>
    <row r="335">
      <c r="A335" s="3" t="inlineStr">
        <is>
          <t>202153503</t>
        </is>
      </c>
      <c r="B335" s="3" t="n">
        <v>3</v>
      </c>
      <c r="C335" s="3" t="inlineStr">
        <is>
          <t>Direct</t>
        </is>
      </c>
      <c r="D335" s="3" t="n">
        <v>2.333333333333333</v>
      </c>
      <c r="E335" s="3" t="n">
        <v>0</v>
      </c>
      <c r="F335" s="3" t="n">
        <v>3.333333333333333</v>
      </c>
      <c r="G335" s="3" t="n">
        <v>2.333333333333333</v>
      </c>
      <c r="H335" s="3" t="n">
        <v>0.3333333333333333</v>
      </c>
      <c r="I335" s="3" t="n">
        <v>3</v>
      </c>
      <c r="J335" s="3" t="n">
        <v>3</v>
      </c>
      <c r="K335" s="3" t="n">
        <v>1</v>
      </c>
      <c r="L335" s="3" t="n">
        <v>0</v>
      </c>
      <c r="M335" s="3" t="n">
        <v>0</v>
      </c>
      <c r="N335" s="3" t="n">
        <v>0</v>
      </c>
    </row>
    <row r="336">
      <c r="A336" s="3" t="inlineStr">
        <is>
          <t>202153945</t>
        </is>
      </c>
      <c r="B336" s="3" t="n">
        <v>2</v>
      </c>
      <c r="C336" s="3" t="inlineStr">
        <is>
          <t>Direct</t>
        </is>
      </c>
      <c r="D336" s="3" t="n">
        <v>0</v>
      </c>
      <c r="E336" s="3" t="n">
        <v>0</v>
      </c>
      <c r="F336" s="3" t="n">
        <v>1.5</v>
      </c>
      <c r="G336" s="3" t="n">
        <v>0</v>
      </c>
      <c r="H336" s="3" t="n">
        <v>1</v>
      </c>
      <c r="I336" s="3" t="n">
        <v>0</v>
      </c>
      <c r="J336" s="3" t="n">
        <v>1</v>
      </c>
      <c r="K336" s="3" t="n">
        <v>0</v>
      </c>
      <c r="L336" s="3" t="n">
        <v>0</v>
      </c>
      <c r="M336" s="3" t="n">
        <v>0</v>
      </c>
      <c r="N336" s="3" t="n">
        <v>0</v>
      </c>
    </row>
    <row r="337">
      <c r="A337" s="3" t="inlineStr">
        <is>
          <t>202154105</t>
        </is>
      </c>
      <c r="B337" s="3" t="n">
        <v>3</v>
      </c>
      <c r="C337" s="3" t="inlineStr">
        <is>
          <t>Direct</t>
        </is>
      </c>
      <c r="D337" s="3" t="n">
        <v>0.3333333333333333</v>
      </c>
      <c r="E337" s="3" t="n">
        <v>0</v>
      </c>
      <c r="F337" s="3" t="n">
        <v>0</v>
      </c>
      <c r="G337" s="3" t="n">
        <v>0</v>
      </c>
      <c r="H337" s="3" t="n">
        <v>0</v>
      </c>
      <c r="I337" s="3" t="n">
        <v>0</v>
      </c>
      <c r="J337" s="3" t="n">
        <v>0</v>
      </c>
      <c r="K337" s="3" t="n">
        <v>0</v>
      </c>
      <c r="L337" s="3" t="n">
        <v>0</v>
      </c>
      <c r="M337" s="3" t="n">
        <v>0</v>
      </c>
      <c r="N337" s="3" t="n">
        <v>0</v>
      </c>
    </row>
    <row r="338">
      <c r="A338" s="3" t="inlineStr">
        <is>
          <t>202154679</t>
        </is>
      </c>
      <c r="B338" s="3" t="n">
        <v>5</v>
      </c>
      <c r="C338" s="3" t="inlineStr">
        <is>
          <t>Direct</t>
        </is>
      </c>
      <c r="D338" s="3" t="n">
        <v>3.2</v>
      </c>
      <c r="E338" s="3" t="n">
        <v>0</v>
      </c>
      <c r="F338" s="3" t="n">
        <v>4.6</v>
      </c>
      <c r="G338" s="3" t="n">
        <v>0.8</v>
      </c>
      <c r="H338" s="3" t="n">
        <v>1</v>
      </c>
      <c r="I338" s="3" t="n">
        <v>2</v>
      </c>
      <c r="J338" s="3" t="n">
        <v>1.4</v>
      </c>
      <c r="K338" s="3" t="n">
        <v>1.8</v>
      </c>
      <c r="L338" s="3" t="n">
        <v>4.6</v>
      </c>
      <c r="M338" s="3" t="n">
        <v>3.8</v>
      </c>
      <c r="N338" s="3" t="n">
        <v>2.8</v>
      </c>
    </row>
    <row r="339">
      <c r="A339" s="3" t="inlineStr">
        <is>
          <t>20215469</t>
        </is>
      </c>
      <c r="B339" s="3" t="n">
        <v>1</v>
      </c>
      <c r="C339" s="3" t="inlineStr">
        <is>
          <t>Direct</t>
        </is>
      </c>
      <c r="D339" s="3" t="n">
        <v>0</v>
      </c>
      <c r="E339" s="3" t="n">
        <v>0</v>
      </c>
      <c r="F339" s="3" t="n">
        <v>2</v>
      </c>
      <c r="G339" s="3" t="n">
        <v>0</v>
      </c>
      <c r="H339" s="3" t="n">
        <v>0</v>
      </c>
      <c r="I339" s="3" t="n">
        <v>1</v>
      </c>
      <c r="J339" s="3" t="n">
        <v>0</v>
      </c>
      <c r="K339" s="3" t="n">
        <v>2</v>
      </c>
      <c r="L339" s="3" t="n">
        <v>0</v>
      </c>
      <c r="M339" s="3" t="n">
        <v>0</v>
      </c>
      <c r="N339" s="3" t="n">
        <v>0</v>
      </c>
    </row>
    <row r="340">
      <c r="A340" s="3" t="inlineStr">
        <is>
          <t>202155075</t>
        </is>
      </c>
      <c r="B340" s="3" t="n">
        <v>4</v>
      </c>
      <c r="C340" s="3" t="inlineStr">
        <is>
          <t>Direct</t>
        </is>
      </c>
      <c r="D340" s="3" t="n">
        <v>9</v>
      </c>
      <c r="E340" s="3" t="n">
        <v>0</v>
      </c>
      <c r="F340" s="3" t="n">
        <v>8.25</v>
      </c>
      <c r="G340" s="3" t="n">
        <v>7.75</v>
      </c>
      <c r="H340" s="3" t="n">
        <v>6.5</v>
      </c>
      <c r="I340" s="3" t="n">
        <v>8.75</v>
      </c>
      <c r="J340" s="3" t="n">
        <v>8.25</v>
      </c>
      <c r="K340" s="3" t="n">
        <v>8.25</v>
      </c>
      <c r="L340" s="3" t="n">
        <v>8.75</v>
      </c>
      <c r="M340" s="3" t="n">
        <v>8.5</v>
      </c>
      <c r="N340" s="3" t="n">
        <v>9</v>
      </c>
    </row>
    <row r="341">
      <c r="A341" s="3" t="inlineStr">
        <is>
          <t>202155423</t>
        </is>
      </c>
      <c r="B341" s="3" t="n">
        <v>7</v>
      </c>
      <c r="C341" s="3" t="inlineStr">
        <is>
          <t>Direct</t>
        </is>
      </c>
      <c r="D341" s="3" t="n">
        <v>3.285714285714286</v>
      </c>
      <c r="E341" s="3" t="n">
        <v>0</v>
      </c>
      <c r="F341" s="3" t="n">
        <v>3.571428571428572</v>
      </c>
      <c r="G341" s="3" t="n">
        <v>2.571428571428572</v>
      </c>
      <c r="H341" s="3" t="n">
        <v>2.428571428571428</v>
      </c>
      <c r="I341" s="3" t="n">
        <v>4</v>
      </c>
      <c r="J341" s="3" t="n">
        <v>6</v>
      </c>
      <c r="K341" s="3" t="n">
        <v>4.714285714285714</v>
      </c>
      <c r="L341" s="3" t="n">
        <v>4.571428571428571</v>
      </c>
      <c r="M341" s="3" t="n">
        <v>6.571428571428571</v>
      </c>
      <c r="N341" s="3" t="n">
        <v>3.571428571428572</v>
      </c>
    </row>
    <row r="342">
      <c r="A342" s="3" t="inlineStr">
        <is>
          <t>202155919</t>
        </is>
      </c>
      <c r="B342" s="3" t="n">
        <v>4</v>
      </c>
      <c r="C342" s="3" t="inlineStr">
        <is>
          <t>Direct</t>
        </is>
      </c>
      <c r="D342" s="3" t="n">
        <v>0</v>
      </c>
      <c r="E342" s="3" t="n">
        <v>0</v>
      </c>
      <c r="F342" s="3" t="n">
        <v>0.75</v>
      </c>
      <c r="G342" s="3" t="n">
        <v>0.25</v>
      </c>
      <c r="H342" s="3" t="n">
        <v>0</v>
      </c>
      <c r="I342" s="3" t="n">
        <v>0</v>
      </c>
      <c r="J342" s="3" t="n">
        <v>0</v>
      </c>
      <c r="K342" s="3" t="n">
        <v>0.25</v>
      </c>
      <c r="L342" s="3" t="n">
        <v>0</v>
      </c>
      <c r="M342" s="3" t="n">
        <v>0</v>
      </c>
      <c r="N342" s="3" t="n">
        <v>0.25</v>
      </c>
    </row>
    <row r="343">
      <c r="A343" s="3" t="inlineStr">
        <is>
          <t>202156120</t>
        </is>
      </c>
      <c r="B343" s="3" t="n">
        <v>6</v>
      </c>
      <c r="C343" s="3" t="inlineStr">
        <is>
          <t>Direct</t>
        </is>
      </c>
      <c r="D343" s="3" t="n">
        <v>0</v>
      </c>
      <c r="E343" s="3" t="n">
        <v>0</v>
      </c>
      <c r="F343" s="3" t="n">
        <v>0</v>
      </c>
      <c r="G343" s="3" t="n">
        <v>0</v>
      </c>
      <c r="H343" s="3" t="n">
        <v>0</v>
      </c>
      <c r="I343" s="3" t="n">
        <v>0</v>
      </c>
      <c r="J343" s="3" t="n">
        <v>0</v>
      </c>
      <c r="K343" s="3" t="n">
        <v>0</v>
      </c>
      <c r="L343" s="3" t="n">
        <v>0</v>
      </c>
      <c r="M343" s="3" t="n">
        <v>0</v>
      </c>
      <c r="N343" s="3" t="n">
        <v>0</v>
      </c>
    </row>
    <row r="344">
      <c r="A344" s="3" t="inlineStr">
        <is>
          <t>202156406</t>
        </is>
      </c>
      <c r="B344" s="3" t="n">
        <v>5</v>
      </c>
      <c r="C344" s="3" t="inlineStr">
        <is>
          <t>Direct</t>
        </is>
      </c>
      <c r="D344" s="3" t="n">
        <v>7.2</v>
      </c>
      <c r="E344" s="3" t="n">
        <v>0</v>
      </c>
      <c r="F344" s="3" t="n">
        <v>4.2</v>
      </c>
      <c r="G344" s="3" t="n">
        <v>5.6</v>
      </c>
      <c r="H344" s="3" t="n">
        <v>4.8</v>
      </c>
      <c r="I344" s="3" t="n">
        <v>8.800000000000001</v>
      </c>
      <c r="J344" s="3" t="n">
        <v>8.199999999999999</v>
      </c>
      <c r="K344" s="3" t="n">
        <v>7.8</v>
      </c>
      <c r="L344" s="3" t="n">
        <v>7.4</v>
      </c>
      <c r="M344" s="3" t="n">
        <v>7.8</v>
      </c>
      <c r="N344" s="3" t="n">
        <v>6.4</v>
      </c>
    </row>
    <row r="345">
      <c r="A345" s="3" t="inlineStr">
        <is>
          <t>202156509</t>
        </is>
      </c>
      <c r="B345" s="3" t="n">
        <v>9</v>
      </c>
      <c r="C345" s="3" t="inlineStr">
        <is>
          <t>Direct</t>
        </is>
      </c>
      <c r="D345" s="3" t="n">
        <v>6.888888888888889</v>
      </c>
      <c r="E345" s="3" t="n">
        <v>0</v>
      </c>
      <c r="F345" s="3" t="n">
        <v>5.888888888888889</v>
      </c>
      <c r="G345" s="3" t="n">
        <v>7.111111111111111</v>
      </c>
      <c r="H345" s="3" t="n">
        <v>6</v>
      </c>
      <c r="I345" s="3" t="n">
        <v>8.111111111111111</v>
      </c>
      <c r="J345" s="3" t="n">
        <v>8.222222222222221</v>
      </c>
      <c r="K345" s="3" t="n">
        <v>9</v>
      </c>
      <c r="L345" s="3" t="n">
        <v>7.666666666666667</v>
      </c>
      <c r="M345" s="3" t="n">
        <v>8.111111111111111</v>
      </c>
      <c r="N345" s="3" t="n">
        <v>6.555555555555555</v>
      </c>
    </row>
    <row r="346">
      <c r="A346" s="3" t="inlineStr">
        <is>
          <t>2021576</t>
        </is>
      </c>
      <c r="B346" s="3" t="n">
        <v>6</v>
      </c>
      <c r="C346" s="3" t="inlineStr">
        <is>
          <t>Direct</t>
        </is>
      </c>
      <c r="D346" s="3" t="n">
        <v>3.5</v>
      </c>
      <c r="E346" s="3" t="n">
        <v>0</v>
      </c>
      <c r="F346" s="3" t="n">
        <v>3.166666666666667</v>
      </c>
      <c r="G346" s="3" t="n">
        <v>4.666666666666667</v>
      </c>
      <c r="H346" s="3" t="n">
        <v>3.666666666666667</v>
      </c>
      <c r="I346" s="3" t="n">
        <v>4.166666666666667</v>
      </c>
      <c r="J346" s="3" t="n">
        <v>4</v>
      </c>
      <c r="K346" s="3" t="n">
        <v>3.833333333333333</v>
      </c>
      <c r="L346" s="3" t="n">
        <v>3.5</v>
      </c>
      <c r="M346" s="3" t="n">
        <v>5.166666666666667</v>
      </c>
      <c r="N346" s="3" t="n">
        <v>3.5</v>
      </c>
    </row>
    <row r="347">
      <c r="A347" s="3" t="inlineStr">
        <is>
          <t>202157715</t>
        </is>
      </c>
      <c r="B347" s="3" t="n">
        <v>5</v>
      </c>
      <c r="C347" s="3" t="inlineStr">
        <is>
          <t>Direct</t>
        </is>
      </c>
      <c r="D347" s="3" t="n">
        <v>1.8</v>
      </c>
      <c r="E347" s="3" t="n">
        <v>0</v>
      </c>
      <c r="F347" s="3" t="n">
        <v>1.6</v>
      </c>
      <c r="G347" s="3" t="n">
        <v>1.6</v>
      </c>
      <c r="H347" s="3" t="n">
        <v>1.6</v>
      </c>
      <c r="I347" s="3" t="n">
        <v>1</v>
      </c>
      <c r="J347" s="3" t="n">
        <v>1</v>
      </c>
      <c r="K347" s="3" t="n">
        <v>2</v>
      </c>
      <c r="L347" s="3" t="n">
        <v>1.8</v>
      </c>
      <c r="M347" s="3" t="n">
        <v>2</v>
      </c>
      <c r="N347" s="3" t="n">
        <v>2</v>
      </c>
    </row>
    <row r="348">
      <c r="A348" s="3" t="inlineStr">
        <is>
          <t>20215775</t>
        </is>
      </c>
      <c r="B348" s="3" t="n">
        <v>4</v>
      </c>
      <c r="C348" s="3" t="inlineStr">
        <is>
          <t>RQ</t>
        </is>
      </c>
      <c r="D348" s="3" t="n">
        <v>7</v>
      </c>
      <c r="E348" s="3" t="n">
        <v>0</v>
      </c>
      <c r="F348" s="3" t="n">
        <v>3.75</v>
      </c>
      <c r="G348" s="3" t="n">
        <v>4.25</v>
      </c>
      <c r="H348" s="3" t="n">
        <v>3.75</v>
      </c>
      <c r="I348" s="3" t="n">
        <v>4</v>
      </c>
      <c r="J348" s="3" t="n">
        <v>2</v>
      </c>
      <c r="K348" s="3" t="n">
        <v>1.5</v>
      </c>
      <c r="L348" s="3" t="n">
        <v>0.25</v>
      </c>
      <c r="M348" s="3" t="n">
        <v>1.5</v>
      </c>
      <c r="N348" s="3" t="n">
        <v>0</v>
      </c>
    </row>
    <row r="349">
      <c r="A349" s="3" t="inlineStr">
        <is>
          <t>202158404</t>
        </is>
      </c>
      <c r="B349" s="3" t="n">
        <v>4</v>
      </c>
      <c r="C349" s="3" t="inlineStr">
        <is>
          <t>Direct</t>
        </is>
      </c>
      <c r="D349" s="3" t="n">
        <v>0.5</v>
      </c>
      <c r="E349" s="3" t="n">
        <v>0</v>
      </c>
      <c r="F349" s="3" t="n">
        <v>2.5</v>
      </c>
      <c r="G349" s="3" t="n">
        <v>2.5</v>
      </c>
      <c r="H349" s="3" t="n">
        <v>1.75</v>
      </c>
      <c r="I349" s="3" t="n">
        <v>2.75</v>
      </c>
      <c r="J349" s="3" t="n">
        <v>1.75</v>
      </c>
      <c r="K349" s="3" t="n">
        <v>3.25</v>
      </c>
      <c r="L349" s="3" t="n">
        <v>3</v>
      </c>
      <c r="M349" s="3" t="n">
        <v>1.5</v>
      </c>
      <c r="N349" s="3" t="n">
        <v>1</v>
      </c>
    </row>
    <row r="350">
      <c r="A350" s="3" t="inlineStr">
        <is>
          <t>202158594</t>
        </is>
      </c>
      <c r="B350" s="3" t="n">
        <v>4</v>
      </c>
      <c r="C350" s="3" t="inlineStr">
        <is>
          <t>Direct</t>
        </is>
      </c>
      <c r="D350" s="3" t="n">
        <v>3.25</v>
      </c>
      <c r="E350" s="3" t="n">
        <v>0</v>
      </c>
      <c r="F350" s="3" t="n">
        <v>2</v>
      </c>
      <c r="G350" s="3" t="n">
        <v>2</v>
      </c>
      <c r="H350" s="3" t="n">
        <v>2</v>
      </c>
      <c r="I350" s="3" t="n">
        <v>7</v>
      </c>
      <c r="J350" s="3" t="n">
        <v>6.75</v>
      </c>
      <c r="K350" s="3" t="n">
        <v>6.5</v>
      </c>
      <c r="L350" s="3" t="n">
        <v>7.5</v>
      </c>
      <c r="M350" s="3" t="n">
        <v>7.25</v>
      </c>
      <c r="N350" s="3" t="n">
        <v>8.5</v>
      </c>
    </row>
    <row r="351">
      <c r="A351" s="3" t="inlineStr">
        <is>
          <t>202158850</t>
        </is>
      </c>
      <c r="B351" s="3" t="n">
        <v>10</v>
      </c>
      <c r="C351" s="3" t="inlineStr">
        <is>
          <t>Direct</t>
        </is>
      </c>
      <c r="D351" s="3" t="n">
        <v>3.4</v>
      </c>
      <c r="E351" s="3" t="n">
        <v>0</v>
      </c>
      <c r="F351" s="3" t="n">
        <v>3</v>
      </c>
      <c r="G351" s="3" t="n">
        <v>4.2</v>
      </c>
      <c r="H351" s="3" t="n">
        <v>3.1</v>
      </c>
      <c r="I351" s="3" t="n">
        <v>1.3</v>
      </c>
      <c r="J351" s="3" t="n">
        <v>3.1</v>
      </c>
      <c r="K351" s="3" t="n">
        <v>1.1</v>
      </c>
      <c r="L351" s="3" t="n">
        <v>2.1</v>
      </c>
      <c r="M351" s="3" t="n">
        <v>4.3</v>
      </c>
      <c r="N351" s="3" t="n">
        <v>4.5</v>
      </c>
    </row>
    <row r="352">
      <c r="A352" s="3" t="inlineStr">
        <is>
          <t>202159006</t>
        </is>
      </c>
      <c r="B352" s="3" t="n">
        <v>3</v>
      </c>
      <c r="C352" s="3" t="inlineStr">
        <is>
          <t>Direct</t>
        </is>
      </c>
      <c r="D352" s="3" t="n">
        <v>0</v>
      </c>
      <c r="E352" s="3" t="n">
        <v>0</v>
      </c>
      <c r="F352" s="3" t="n">
        <v>3</v>
      </c>
      <c r="G352" s="3" t="n">
        <v>0.6666666666666666</v>
      </c>
      <c r="H352" s="3" t="n">
        <v>0</v>
      </c>
      <c r="I352" s="3" t="n">
        <v>1</v>
      </c>
      <c r="J352" s="3" t="n">
        <v>0.3333333333333333</v>
      </c>
      <c r="K352" s="3" t="n">
        <v>0</v>
      </c>
      <c r="L352" s="3" t="n">
        <v>0</v>
      </c>
      <c r="M352" s="3" t="n">
        <v>0.3333333333333333</v>
      </c>
      <c r="N352" s="3" t="n">
        <v>0.3333333333333333</v>
      </c>
    </row>
    <row r="353">
      <c r="A353" s="3" t="inlineStr">
        <is>
          <t>202159089</t>
        </is>
      </c>
      <c r="B353" s="3" t="n">
        <v>7</v>
      </c>
      <c r="C353" s="3" t="inlineStr">
        <is>
          <t>Direct</t>
        </is>
      </c>
      <c r="D353" s="3" t="n">
        <v>6.428571428571429</v>
      </c>
      <c r="E353" s="3" t="n">
        <v>0</v>
      </c>
      <c r="F353" s="3" t="n">
        <v>1.571428571428571</v>
      </c>
      <c r="G353" s="3" t="n">
        <v>3.571428571428572</v>
      </c>
      <c r="H353" s="3" t="n">
        <v>3.857142857142857</v>
      </c>
      <c r="I353" s="3" t="n">
        <v>1.857142857142857</v>
      </c>
      <c r="J353" s="3" t="n">
        <v>5.428571428571429</v>
      </c>
      <c r="K353" s="3" t="n">
        <v>7.857142857142857</v>
      </c>
      <c r="L353" s="3" t="n">
        <v>1.285714285714286</v>
      </c>
      <c r="M353" s="3" t="n">
        <v>1.714285714285714</v>
      </c>
      <c r="N353" s="3" t="n">
        <v>6.714285714285714</v>
      </c>
    </row>
    <row r="354">
      <c r="A354" s="3" t="inlineStr">
        <is>
          <t>20215990</t>
        </is>
      </c>
      <c r="B354" s="3" t="n">
        <v>6</v>
      </c>
      <c r="C354" s="3" t="inlineStr">
        <is>
          <t>Direct</t>
        </is>
      </c>
      <c r="D354" s="3" t="n">
        <v>7.5</v>
      </c>
      <c r="E354" s="3" t="n">
        <v>0</v>
      </c>
      <c r="F354" s="3" t="n">
        <v>6.666666666666667</v>
      </c>
      <c r="G354" s="3" t="n">
        <v>6.666666666666667</v>
      </c>
      <c r="H354" s="3" t="n">
        <v>4.666666666666667</v>
      </c>
      <c r="I354" s="3" t="n">
        <v>6.666666666666667</v>
      </c>
      <c r="J354" s="3" t="n">
        <v>7.333333333333333</v>
      </c>
      <c r="K354" s="3" t="n">
        <v>6.833333333333333</v>
      </c>
      <c r="L354" s="3" t="n">
        <v>5.666666666666667</v>
      </c>
      <c r="M354" s="3" t="n">
        <v>8</v>
      </c>
      <c r="N354" s="3" t="n">
        <v>8.166666666666666</v>
      </c>
    </row>
    <row r="355">
      <c r="A355" s="3" t="inlineStr">
        <is>
          <t>202160306</t>
        </is>
      </c>
      <c r="B355" s="3" t="n">
        <v>10</v>
      </c>
      <c r="C355" s="3" t="inlineStr">
        <is>
          <t>Direct</t>
        </is>
      </c>
      <c r="D355" s="3" t="n">
        <v>6.2</v>
      </c>
      <c r="E355" s="3" t="n">
        <v>0</v>
      </c>
      <c r="F355" s="3" t="n">
        <v>3.8</v>
      </c>
      <c r="G355" s="3" t="n">
        <v>4</v>
      </c>
      <c r="H355" s="3" t="n">
        <v>5.4</v>
      </c>
      <c r="I355" s="3" t="n">
        <v>5.1</v>
      </c>
      <c r="J355" s="3" t="n">
        <v>6</v>
      </c>
      <c r="K355" s="3" t="n">
        <v>4.7</v>
      </c>
      <c r="L355" s="3" t="n">
        <v>7</v>
      </c>
      <c r="M355" s="3" t="n">
        <v>5.5</v>
      </c>
      <c r="N355" s="3" t="n">
        <v>5</v>
      </c>
    </row>
    <row r="356">
      <c r="A356" s="3" t="inlineStr">
        <is>
          <t>202160720</t>
        </is>
      </c>
      <c r="B356" s="3" t="n">
        <v>5</v>
      </c>
      <c r="C356" s="3" t="inlineStr">
        <is>
          <t>Direct</t>
        </is>
      </c>
      <c r="D356" s="3" t="n">
        <v>6.2</v>
      </c>
      <c r="E356" s="3" t="n">
        <v>0</v>
      </c>
      <c r="F356" s="3" t="n">
        <v>5.2</v>
      </c>
      <c r="G356" s="3" t="n">
        <v>4.6</v>
      </c>
      <c r="H356" s="3" t="n">
        <v>4.8</v>
      </c>
      <c r="I356" s="3" t="n">
        <v>3.6</v>
      </c>
      <c r="J356" s="3" t="n">
        <v>4.6</v>
      </c>
      <c r="K356" s="3" t="n">
        <v>4</v>
      </c>
      <c r="L356" s="3" t="n">
        <v>5.4</v>
      </c>
      <c r="M356" s="3" t="n">
        <v>5.4</v>
      </c>
      <c r="N356" s="3" t="n">
        <v>6.4</v>
      </c>
    </row>
    <row r="357">
      <c r="A357" s="3" t="inlineStr">
        <is>
          <t>202161481</t>
        </is>
      </c>
      <c r="B357" s="3" t="n">
        <v>1</v>
      </c>
      <c r="C357" s="3" t="inlineStr">
        <is>
          <t>Direct</t>
        </is>
      </c>
      <c r="D357" s="3" t="n">
        <v>0</v>
      </c>
      <c r="E357" s="3" t="n">
        <v>0</v>
      </c>
      <c r="F357" s="3" t="n">
        <v>1</v>
      </c>
      <c r="G357" s="3" t="n">
        <v>0</v>
      </c>
      <c r="H357" s="3" t="n">
        <v>0</v>
      </c>
      <c r="I357" s="3" t="n">
        <v>0</v>
      </c>
      <c r="J357" s="3" t="n">
        <v>0</v>
      </c>
      <c r="K357" s="3" t="n">
        <v>0</v>
      </c>
      <c r="L357" s="3" t="n">
        <v>0</v>
      </c>
      <c r="M357" s="3" t="n">
        <v>0</v>
      </c>
      <c r="N357" s="3" t="n">
        <v>0</v>
      </c>
    </row>
    <row r="358">
      <c r="A358" s="3" t="inlineStr">
        <is>
          <t>202162105</t>
        </is>
      </c>
      <c r="B358" s="3" t="n">
        <v>3</v>
      </c>
      <c r="C358" s="3" t="inlineStr">
        <is>
          <t>Direct</t>
        </is>
      </c>
      <c r="D358" s="3" t="n">
        <v>7.666666666666667</v>
      </c>
      <c r="E358" s="3" t="n">
        <v>0</v>
      </c>
      <c r="F358" s="3" t="n">
        <v>3</v>
      </c>
      <c r="G358" s="3" t="n">
        <v>3</v>
      </c>
      <c r="H358" s="3" t="n">
        <v>2.666666666666667</v>
      </c>
      <c r="I358" s="3" t="n">
        <v>6.333333333333333</v>
      </c>
      <c r="J358" s="3" t="n">
        <v>4.333333333333333</v>
      </c>
      <c r="K358" s="3" t="n">
        <v>4.666666666666667</v>
      </c>
      <c r="L358" s="3" t="n">
        <v>6</v>
      </c>
      <c r="M358" s="3" t="n">
        <v>6</v>
      </c>
      <c r="N358" s="3" t="n">
        <v>5.333333333333333</v>
      </c>
    </row>
    <row r="359">
      <c r="A359" s="3" t="inlineStr">
        <is>
          <t>202162178</t>
        </is>
      </c>
      <c r="B359" s="3" t="n">
        <v>3</v>
      </c>
      <c r="C359" s="3" t="inlineStr">
        <is>
          <t>Direct</t>
        </is>
      </c>
      <c r="D359" s="3" t="n">
        <v>3.666666666666667</v>
      </c>
      <c r="E359" s="3" t="n">
        <v>0</v>
      </c>
      <c r="F359" s="3" t="n">
        <v>4.333333333333333</v>
      </c>
      <c r="G359" s="3" t="n">
        <v>3.333333333333333</v>
      </c>
      <c r="H359" s="3" t="n">
        <v>4.333333333333333</v>
      </c>
      <c r="I359" s="3" t="n">
        <v>0.6666666666666666</v>
      </c>
      <c r="J359" s="3" t="n">
        <v>2.666666666666667</v>
      </c>
      <c r="K359" s="3" t="n">
        <v>4.666666666666667</v>
      </c>
      <c r="L359" s="3" t="n">
        <v>6.666666666666667</v>
      </c>
      <c r="M359" s="3" t="n">
        <v>2.333333333333333</v>
      </c>
      <c r="N359" s="3" t="n">
        <v>7.333333333333333</v>
      </c>
    </row>
    <row r="360">
      <c r="A360" s="3" t="inlineStr">
        <is>
          <t>202162669</t>
        </is>
      </c>
      <c r="B360" s="3" t="n">
        <v>7</v>
      </c>
      <c r="C360" s="3" t="inlineStr">
        <is>
          <t>Direct</t>
        </is>
      </c>
      <c r="D360" s="3" t="n">
        <v>5.571428571428571</v>
      </c>
      <c r="E360" s="3" t="n">
        <v>0</v>
      </c>
      <c r="F360" s="3" t="n">
        <v>2.714285714285714</v>
      </c>
      <c r="G360" s="3" t="n">
        <v>4.428571428571429</v>
      </c>
      <c r="H360" s="3" t="n">
        <v>1.571428571428571</v>
      </c>
      <c r="I360" s="3" t="n">
        <v>4.428571428571429</v>
      </c>
      <c r="J360" s="3" t="n">
        <v>5.571428571428571</v>
      </c>
      <c r="K360" s="3" t="n">
        <v>4.571428571428571</v>
      </c>
      <c r="L360" s="3" t="n">
        <v>5.285714285714286</v>
      </c>
      <c r="M360" s="3" t="n">
        <v>5.714285714285714</v>
      </c>
      <c r="N360" s="3" t="n">
        <v>5.714285714285714</v>
      </c>
    </row>
    <row r="361">
      <c r="A361" s="3" t="inlineStr">
        <is>
          <t>202164199</t>
        </is>
      </c>
      <c r="B361" s="3" t="n">
        <v>1</v>
      </c>
      <c r="C361" s="3" t="inlineStr">
        <is>
          <t>Direct</t>
        </is>
      </c>
      <c r="D361" s="3" t="n">
        <v>0</v>
      </c>
      <c r="E361" s="3" t="n">
        <v>0</v>
      </c>
      <c r="F361" s="3" t="n">
        <v>1</v>
      </c>
      <c r="G361" s="3" t="n">
        <v>5</v>
      </c>
      <c r="H361" s="3" t="n">
        <v>0</v>
      </c>
      <c r="I361" s="3" t="n">
        <v>2</v>
      </c>
      <c r="J361" s="3" t="n">
        <v>0</v>
      </c>
      <c r="K361" s="3" t="n">
        <v>0</v>
      </c>
      <c r="L361" s="3" t="n">
        <v>2</v>
      </c>
      <c r="M361" s="3" t="n">
        <v>0</v>
      </c>
      <c r="N361" s="3" t="n">
        <v>2</v>
      </c>
    </row>
    <row r="362">
      <c r="A362" s="3" t="inlineStr">
        <is>
          <t>202164508</t>
        </is>
      </c>
      <c r="B362" s="3" t="n">
        <v>7</v>
      </c>
      <c r="C362" s="3" t="inlineStr">
        <is>
          <t>RQ</t>
        </is>
      </c>
      <c r="D362" s="3" t="n">
        <v>5.285714285714286</v>
      </c>
      <c r="E362" s="3" t="n">
        <v>0</v>
      </c>
      <c r="F362" s="3" t="n">
        <v>5.285714285714286</v>
      </c>
      <c r="G362" s="3" t="n">
        <v>4.428571428571429</v>
      </c>
      <c r="H362" s="3" t="n">
        <v>3.571428571428572</v>
      </c>
      <c r="I362" s="3" t="n">
        <v>6</v>
      </c>
      <c r="J362" s="3" t="n">
        <v>6.428571428571429</v>
      </c>
      <c r="K362" s="3" t="n">
        <v>6.428571428571429</v>
      </c>
      <c r="L362" s="3" t="n">
        <v>6</v>
      </c>
      <c r="M362" s="3" t="n">
        <v>6.428571428571429</v>
      </c>
      <c r="N362" s="3" t="n">
        <v>5.142857142857143</v>
      </c>
    </row>
    <row r="363">
      <c r="A363" s="3" t="inlineStr">
        <is>
          <t>202164558</t>
        </is>
      </c>
      <c r="B363" s="3" t="n">
        <v>9</v>
      </c>
      <c r="C363" s="3" t="inlineStr">
        <is>
          <t>Direct</t>
        </is>
      </c>
      <c r="D363" s="3" t="n">
        <v>4.888888888888889</v>
      </c>
      <c r="E363" s="3" t="n">
        <v>0</v>
      </c>
      <c r="F363" s="3" t="n">
        <v>4.888888888888889</v>
      </c>
      <c r="G363" s="3" t="n">
        <v>4.444444444444445</v>
      </c>
      <c r="H363" s="3" t="n">
        <v>3.777777777777778</v>
      </c>
      <c r="I363" s="3" t="n">
        <v>7.444444444444445</v>
      </c>
      <c r="J363" s="3" t="n">
        <v>7.555555555555555</v>
      </c>
      <c r="K363" s="3" t="n">
        <v>6.888888888888889</v>
      </c>
      <c r="L363" s="3" t="n">
        <v>7.444444444444445</v>
      </c>
      <c r="M363" s="3" t="n">
        <v>7.666666666666667</v>
      </c>
      <c r="N363" s="3" t="n">
        <v>6.333333333333333</v>
      </c>
    </row>
    <row r="364">
      <c r="A364" s="3" t="inlineStr">
        <is>
          <t>202164808</t>
        </is>
      </c>
      <c r="B364" s="3" t="n">
        <v>10</v>
      </c>
      <c r="C364" s="3" t="inlineStr">
        <is>
          <t>Direct</t>
        </is>
      </c>
      <c r="D364" s="3" t="n">
        <v>3.9</v>
      </c>
      <c r="E364" s="3" t="n">
        <v>0</v>
      </c>
      <c r="F364" s="3" t="n">
        <v>2.6</v>
      </c>
      <c r="G364" s="3" t="n">
        <v>1.5</v>
      </c>
      <c r="H364" s="3" t="n">
        <v>2.6</v>
      </c>
      <c r="I364" s="3" t="n">
        <v>1</v>
      </c>
      <c r="J364" s="3" t="n">
        <v>0.8</v>
      </c>
      <c r="K364" s="3" t="n">
        <v>1.4</v>
      </c>
      <c r="L364" s="3" t="n">
        <v>1.6</v>
      </c>
      <c r="M364" s="3" t="n">
        <v>1.3</v>
      </c>
      <c r="N364" s="3" t="n">
        <v>4.7</v>
      </c>
    </row>
    <row r="365">
      <c r="A365" s="3" t="inlineStr">
        <is>
          <t>202165653</t>
        </is>
      </c>
      <c r="B365" s="3" t="n">
        <v>8</v>
      </c>
      <c r="C365" s="3" t="inlineStr">
        <is>
          <t>Direct</t>
        </is>
      </c>
      <c r="D365" s="3" t="n">
        <v>7.875</v>
      </c>
      <c r="E365" s="3" t="n">
        <v>0</v>
      </c>
      <c r="F365" s="3" t="n">
        <v>7</v>
      </c>
      <c r="G365" s="3" t="n">
        <v>4.75</v>
      </c>
      <c r="H365" s="3" t="n">
        <v>4.375</v>
      </c>
      <c r="I365" s="3" t="n">
        <v>5.75</v>
      </c>
      <c r="J365" s="3" t="n">
        <v>7.25</v>
      </c>
      <c r="K365" s="3" t="n">
        <v>7.75</v>
      </c>
      <c r="L365" s="3" t="n">
        <v>7.25</v>
      </c>
      <c r="M365" s="3" t="n">
        <v>7.75</v>
      </c>
      <c r="N365" s="3" t="n">
        <v>6.875</v>
      </c>
    </row>
    <row r="366">
      <c r="A366" s="3" t="inlineStr">
        <is>
          <t>202165788</t>
        </is>
      </c>
      <c r="B366" s="3" t="n">
        <v>8</v>
      </c>
      <c r="C366" s="3" t="inlineStr">
        <is>
          <t>Direct</t>
        </is>
      </c>
      <c r="D366" s="3" t="n">
        <v>3.625</v>
      </c>
      <c r="E366" s="3" t="n">
        <v>0</v>
      </c>
      <c r="F366" s="3" t="n">
        <v>3.75</v>
      </c>
      <c r="G366" s="3" t="n">
        <v>4.25</v>
      </c>
      <c r="H366" s="3" t="n">
        <v>3.375</v>
      </c>
      <c r="I366" s="3" t="n">
        <v>7.375</v>
      </c>
      <c r="J366" s="3" t="n">
        <v>3.875</v>
      </c>
      <c r="K366" s="3" t="n">
        <v>3.25</v>
      </c>
      <c r="L366" s="3" t="n">
        <v>7</v>
      </c>
      <c r="M366" s="3" t="n">
        <v>4.125</v>
      </c>
      <c r="N366" s="3" t="n">
        <v>7.125</v>
      </c>
    </row>
    <row r="367">
      <c r="A367" s="3" t="inlineStr">
        <is>
          <t>20218215</t>
        </is>
      </c>
      <c r="B367" s="3" t="n">
        <v>4</v>
      </c>
      <c r="C367" s="3" t="inlineStr">
        <is>
          <t>Direct</t>
        </is>
      </c>
      <c r="D367" s="3" t="n">
        <v>1.25</v>
      </c>
      <c r="E367" s="3" t="n">
        <v>0</v>
      </c>
      <c r="F367" s="3" t="n">
        <v>2.25</v>
      </c>
      <c r="G367" s="3" t="n">
        <v>0.75</v>
      </c>
      <c r="H367" s="3" t="n">
        <v>1.25</v>
      </c>
      <c r="I367" s="3" t="n">
        <v>0</v>
      </c>
      <c r="J367" s="3" t="n">
        <v>0.75</v>
      </c>
      <c r="K367" s="3" t="n">
        <v>0</v>
      </c>
      <c r="L367" s="3" t="n">
        <v>0</v>
      </c>
      <c r="M367" s="3" t="n">
        <v>1.25</v>
      </c>
      <c r="N367" s="3" t="n">
        <v>2.25</v>
      </c>
    </row>
    <row r="368">
      <c r="A368" s="3" t="inlineStr">
        <is>
          <t>2021842</t>
        </is>
      </c>
      <c r="B368" s="3" t="n">
        <v>7</v>
      </c>
      <c r="C368" s="3" t="inlineStr">
        <is>
          <t>Direct</t>
        </is>
      </c>
      <c r="D368" s="3" t="n">
        <v>7</v>
      </c>
      <c r="E368" s="3" t="n">
        <v>0</v>
      </c>
      <c r="F368" s="3" t="n">
        <v>5.285714285714286</v>
      </c>
      <c r="G368" s="3" t="n">
        <v>4</v>
      </c>
      <c r="H368" s="3" t="n">
        <v>2.714285714285714</v>
      </c>
      <c r="I368" s="3" t="n">
        <v>5.142857142857143</v>
      </c>
      <c r="J368" s="3" t="n">
        <v>5.428571428571429</v>
      </c>
      <c r="K368" s="3" t="n">
        <v>5.142857142857143</v>
      </c>
      <c r="L368" s="3" t="n">
        <v>3</v>
      </c>
      <c r="M368" s="3" t="n">
        <v>6.142857142857143</v>
      </c>
      <c r="N368" s="3" t="n">
        <v>6.285714285714286</v>
      </c>
    </row>
    <row r="369">
      <c r="A369" s="3" t="inlineStr">
        <is>
          <t>20218434</t>
        </is>
      </c>
      <c r="B369" s="3" t="n">
        <v>4</v>
      </c>
      <c r="C369" s="3" t="inlineStr">
        <is>
          <t>Direct</t>
        </is>
      </c>
      <c r="D369" s="3" t="n">
        <v>2</v>
      </c>
      <c r="E369" s="3" t="n">
        <v>0</v>
      </c>
      <c r="F369" s="3" t="n">
        <v>1</v>
      </c>
      <c r="G369" s="3" t="n">
        <v>1</v>
      </c>
      <c r="H369" s="3" t="n">
        <v>1.5</v>
      </c>
      <c r="I369" s="3" t="n">
        <v>1</v>
      </c>
      <c r="J369" s="3" t="n">
        <v>2.25</v>
      </c>
      <c r="K369" s="3" t="n">
        <v>1.25</v>
      </c>
      <c r="L369" s="3" t="n">
        <v>1</v>
      </c>
      <c r="M369" s="3" t="n">
        <v>0.75</v>
      </c>
      <c r="N369" s="3" t="n">
        <v>0.5</v>
      </c>
    </row>
    <row r="370">
      <c r="A370" s="3" t="inlineStr">
        <is>
          <t>2021850</t>
        </is>
      </c>
      <c r="B370" s="3" t="n">
        <v>6</v>
      </c>
      <c r="C370" s="3" t="inlineStr">
        <is>
          <t>Direct</t>
        </is>
      </c>
      <c r="D370" s="3" t="n">
        <v>1.333333333333333</v>
      </c>
      <c r="E370" s="3" t="n">
        <v>0</v>
      </c>
      <c r="F370" s="3" t="n">
        <v>1.333333333333333</v>
      </c>
      <c r="G370" s="3" t="n">
        <v>0.8333333333333334</v>
      </c>
      <c r="H370" s="3" t="n">
        <v>0.8333333333333334</v>
      </c>
      <c r="I370" s="3" t="n">
        <v>1.5</v>
      </c>
      <c r="J370" s="3" t="n">
        <v>2.666666666666667</v>
      </c>
      <c r="K370" s="3" t="n">
        <v>3.333333333333333</v>
      </c>
      <c r="L370" s="3" t="n">
        <v>1</v>
      </c>
      <c r="M370" s="3" t="n">
        <v>0.8333333333333334</v>
      </c>
      <c r="N370" s="3" t="n">
        <v>0.1666666666666667</v>
      </c>
    </row>
    <row r="371">
      <c r="A371" s="3" t="inlineStr">
        <is>
          <t>20219925</t>
        </is>
      </c>
      <c r="B371" s="3" t="n">
        <v>1</v>
      </c>
      <c r="C371" s="3" t="inlineStr">
        <is>
          <t>Direct</t>
        </is>
      </c>
      <c r="D371" s="3" t="n">
        <v>0</v>
      </c>
      <c r="E371" s="3" t="n">
        <v>0</v>
      </c>
      <c r="F371" s="3" t="n">
        <v>0</v>
      </c>
      <c r="G371" s="3" t="n">
        <v>0</v>
      </c>
      <c r="H371" s="3" t="n">
        <v>0</v>
      </c>
      <c r="I371" s="3" t="n">
        <v>0</v>
      </c>
      <c r="J371" s="3" t="n">
        <v>0</v>
      </c>
      <c r="K371" s="3" t="n">
        <v>0</v>
      </c>
      <c r="L371" s="3" t="n">
        <v>0</v>
      </c>
      <c r="M371" s="3" t="n">
        <v>1</v>
      </c>
      <c r="N371" s="3" t="n">
        <v>0</v>
      </c>
    </row>
    <row r="372">
      <c r="A372" s="3" t="inlineStr">
        <is>
          <t>20219937</t>
        </is>
      </c>
      <c r="B372" s="3" t="n">
        <v>4</v>
      </c>
      <c r="C372" s="3" t="inlineStr">
        <is>
          <t>Direct</t>
        </is>
      </c>
      <c r="D372" s="3" t="n">
        <v>4</v>
      </c>
      <c r="E372" s="3" t="n">
        <v>0</v>
      </c>
      <c r="F372" s="3" t="n">
        <v>1.75</v>
      </c>
      <c r="G372" s="3" t="n">
        <v>2</v>
      </c>
      <c r="H372" s="3" t="n">
        <v>0</v>
      </c>
      <c r="I372" s="3" t="n">
        <v>1.25</v>
      </c>
      <c r="J372" s="3" t="n">
        <v>0.5</v>
      </c>
      <c r="K372" s="3" t="n">
        <v>0.5</v>
      </c>
      <c r="L372" s="3" t="n">
        <v>1</v>
      </c>
      <c r="M372" s="3" t="n">
        <v>0</v>
      </c>
      <c r="N372" s="3" t="n">
        <v>0.75</v>
      </c>
    </row>
    <row r="373">
      <c r="A373" s="3" t="inlineStr">
        <is>
          <t>2022100618</t>
        </is>
      </c>
      <c r="B373" s="3" t="n">
        <v>1</v>
      </c>
      <c r="C373" s="3" t="inlineStr">
        <is>
          <t>Direct</t>
        </is>
      </c>
      <c r="D373" s="3" t="n">
        <v>10</v>
      </c>
      <c r="E373" s="3" t="n">
        <v>0</v>
      </c>
      <c r="F373" s="3" t="n">
        <v>5</v>
      </c>
      <c r="G373" s="3" t="n">
        <v>0</v>
      </c>
      <c r="H373" s="3" t="n">
        <v>4</v>
      </c>
      <c r="I373" s="3" t="n">
        <v>2</v>
      </c>
      <c r="J373" s="3" t="n">
        <v>2</v>
      </c>
      <c r="K373" s="3" t="n">
        <v>5</v>
      </c>
      <c r="L373" s="3" t="n">
        <v>10</v>
      </c>
      <c r="M373" s="3" t="n">
        <v>10</v>
      </c>
      <c r="N373" s="3" t="n">
        <v>10</v>
      </c>
    </row>
    <row r="374">
      <c r="A374" s="3" t="inlineStr">
        <is>
          <t>202210492</t>
        </is>
      </c>
      <c r="B374" s="3" t="n">
        <v>1</v>
      </c>
      <c r="C374" s="3" t="inlineStr">
        <is>
          <t>Direct</t>
        </is>
      </c>
      <c r="D374" s="3" t="n">
        <v>0</v>
      </c>
      <c r="E374" s="3" t="n">
        <v>0</v>
      </c>
      <c r="F374" s="3" t="n">
        <v>0</v>
      </c>
      <c r="G374" s="3" t="n">
        <v>1</v>
      </c>
      <c r="H374" s="3" t="n">
        <v>0</v>
      </c>
      <c r="I374" s="3" t="n">
        <v>0</v>
      </c>
      <c r="J374" s="3" t="n">
        <v>0</v>
      </c>
      <c r="K374" s="3" t="n">
        <v>0</v>
      </c>
      <c r="L374" s="3" t="n">
        <v>1</v>
      </c>
      <c r="M374" s="3" t="n">
        <v>0</v>
      </c>
      <c r="N374" s="3" t="n">
        <v>0</v>
      </c>
    </row>
    <row r="375">
      <c r="A375" s="3" t="inlineStr">
        <is>
          <t>2022106362</t>
        </is>
      </c>
      <c r="B375" s="3" t="n">
        <v>6</v>
      </c>
      <c r="C375" s="3" t="inlineStr">
        <is>
          <t>Direct</t>
        </is>
      </c>
      <c r="D375" s="3" t="n">
        <v>4.666666666666667</v>
      </c>
      <c r="E375" s="3" t="n">
        <v>0</v>
      </c>
      <c r="F375" s="3" t="n">
        <v>1.833333333333333</v>
      </c>
      <c r="G375" s="3" t="n">
        <v>1.666666666666667</v>
      </c>
      <c r="H375" s="3" t="n">
        <v>0.3333333333333333</v>
      </c>
      <c r="I375" s="3" t="n">
        <v>2.166666666666667</v>
      </c>
      <c r="J375" s="3" t="n">
        <v>2.333333333333333</v>
      </c>
      <c r="K375" s="3" t="n">
        <v>3.5</v>
      </c>
      <c r="L375" s="3" t="n">
        <v>4.333333333333333</v>
      </c>
      <c r="M375" s="3" t="n">
        <v>3.166666666666667</v>
      </c>
      <c r="N375" s="3" t="n">
        <v>2.333333333333333</v>
      </c>
    </row>
    <row r="376">
      <c r="A376" s="3" t="inlineStr">
        <is>
          <t>2022108643</t>
        </is>
      </c>
      <c r="B376" s="3" t="n">
        <v>7</v>
      </c>
      <c r="C376" s="3" t="inlineStr">
        <is>
          <t>Direct</t>
        </is>
      </c>
      <c r="D376" s="3" t="n">
        <v>3.857142857142857</v>
      </c>
      <c r="E376" s="3" t="n">
        <v>0</v>
      </c>
      <c r="F376" s="3" t="n">
        <v>4</v>
      </c>
      <c r="G376" s="3" t="n">
        <v>5.714285714285714</v>
      </c>
      <c r="H376" s="3" t="n">
        <v>6.428571428571429</v>
      </c>
      <c r="I376" s="3" t="n">
        <v>2.285714285714286</v>
      </c>
      <c r="J376" s="3" t="n">
        <v>3.285714285714286</v>
      </c>
      <c r="K376" s="3" t="n">
        <v>3.857142857142857</v>
      </c>
      <c r="L376" s="3" t="n">
        <v>3.285714285714286</v>
      </c>
      <c r="M376" s="3" t="n">
        <v>2.142857142857143</v>
      </c>
      <c r="N376" s="3" t="n">
        <v>2.142857142857143</v>
      </c>
    </row>
    <row r="377">
      <c r="A377" s="3" t="inlineStr">
        <is>
          <t>2022108785</t>
        </is>
      </c>
      <c r="B377" s="3" t="n">
        <v>1</v>
      </c>
      <c r="C377" s="3" t="inlineStr">
        <is>
          <t>Direct</t>
        </is>
      </c>
      <c r="D377" s="3" t="n">
        <v>0</v>
      </c>
      <c r="E377" s="3" t="n">
        <v>0</v>
      </c>
      <c r="F377" s="3" t="n">
        <v>0</v>
      </c>
      <c r="G377" s="3" t="n">
        <v>0</v>
      </c>
      <c r="H377" s="3" t="n">
        <v>0</v>
      </c>
      <c r="I377" s="3" t="n">
        <v>1</v>
      </c>
      <c r="J377" s="3" t="n">
        <v>0</v>
      </c>
      <c r="K377" s="3" t="n">
        <v>1</v>
      </c>
      <c r="L377" s="3" t="n">
        <v>0</v>
      </c>
      <c r="M377" s="3" t="n">
        <v>0</v>
      </c>
      <c r="N377" s="3" t="n">
        <v>0</v>
      </c>
    </row>
    <row r="378">
      <c r="A378" s="3" t="inlineStr">
        <is>
          <t>2022109219</t>
        </is>
      </c>
      <c r="B378" s="3" t="n">
        <v>10</v>
      </c>
      <c r="C378" s="3" t="inlineStr">
        <is>
          <t>Direct</t>
        </is>
      </c>
      <c r="D378" s="3" t="n">
        <v>2.4</v>
      </c>
      <c r="E378" s="3" t="n">
        <v>0</v>
      </c>
      <c r="F378" s="3" t="n">
        <v>3.6</v>
      </c>
      <c r="G378" s="3" t="n">
        <v>2.4</v>
      </c>
      <c r="H378" s="3" t="n">
        <v>2.7</v>
      </c>
      <c r="I378" s="3" t="n">
        <v>2.4</v>
      </c>
      <c r="J378" s="3" t="n">
        <v>1.5</v>
      </c>
      <c r="K378" s="3" t="n">
        <v>1.7</v>
      </c>
      <c r="L378" s="3" t="n">
        <v>3</v>
      </c>
      <c r="M378" s="3" t="n">
        <v>1.4</v>
      </c>
      <c r="N378" s="3" t="n">
        <v>1.2</v>
      </c>
    </row>
    <row r="379">
      <c r="A379" s="3" t="inlineStr">
        <is>
          <t>202211475</t>
        </is>
      </c>
      <c r="B379" s="3" t="n">
        <v>3</v>
      </c>
      <c r="C379" s="3" t="inlineStr">
        <is>
          <t>Direct</t>
        </is>
      </c>
      <c r="D379" s="3" t="n">
        <v>0</v>
      </c>
      <c r="E379" s="3" t="n">
        <v>0</v>
      </c>
      <c r="F379" s="3" t="n">
        <v>2.333333333333333</v>
      </c>
      <c r="G379" s="3" t="n">
        <v>4.333333333333333</v>
      </c>
      <c r="H379" s="3" t="n">
        <v>1.666666666666667</v>
      </c>
      <c r="I379" s="3" t="n">
        <v>0</v>
      </c>
      <c r="J379" s="3" t="n">
        <v>1</v>
      </c>
      <c r="K379" s="3" t="n">
        <v>0.3333333333333333</v>
      </c>
      <c r="L379" s="3" t="n">
        <v>0.3333333333333333</v>
      </c>
      <c r="M379" s="3" t="n">
        <v>1.333333333333333</v>
      </c>
      <c r="N379" s="3" t="n">
        <v>1</v>
      </c>
    </row>
    <row r="380">
      <c r="A380" s="3" t="inlineStr">
        <is>
          <t>202211731</t>
        </is>
      </c>
      <c r="B380" s="3" t="n">
        <v>1</v>
      </c>
      <c r="C380" s="3" t="inlineStr">
        <is>
          <t>Direct</t>
        </is>
      </c>
      <c r="D380" s="3" t="n">
        <v>0</v>
      </c>
      <c r="E380" s="3" t="n">
        <v>0</v>
      </c>
      <c r="F380" s="3" t="n">
        <v>0</v>
      </c>
      <c r="G380" s="3" t="n">
        <v>0</v>
      </c>
      <c r="H380" s="3" t="n">
        <v>0</v>
      </c>
      <c r="I380" s="3" t="n">
        <v>0</v>
      </c>
      <c r="J380" s="3" t="n">
        <v>0</v>
      </c>
      <c r="K380" s="3" t="n">
        <v>0</v>
      </c>
      <c r="L380" s="3" t="n">
        <v>0</v>
      </c>
      <c r="M380" s="3" t="n">
        <v>0</v>
      </c>
      <c r="N380" s="3" t="n">
        <v>0</v>
      </c>
    </row>
    <row r="381">
      <c r="A381" s="3" t="inlineStr">
        <is>
          <t>202214506</t>
        </is>
      </c>
      <c r="B381" s="3" t="n">
        <v>10</v>
      </c>
      <c r="C381" s="3" t="inlineStr">
        <is>
          <t>Direct</t>
        </is>
      </c>
      <c r="D381" s="3" t="n">
        <v>7.2</v>
      </c>
      <c r="E381" s="3" t="n">
        <v>0</v>
      </c>
      <c r="F381" s="3" t="n">
        <v>3.9</v>
      </c>
      <c r="G381" s="3" t="n">
        <v>3.4</v>
      </c>
      <c r="H381" s="3" t="n">
        <v>4.5</v>
      </c>
      <c r="I381" s="3" t="n">
        <v>6.9</v>
      </c>
      <c r="J381" s="3" t="n">
        <v>7</v>
      </c>
      <c r="K381" s="3" t="n">
        <v>7</v>
      </c>
      <c r="L381" s="3" t="n">
        <v>7</v>
      </c>
      <c r="M381" s="3" t="n">
        <v>8.1</v>
      </c>
      <c r="N381" s="3" t="n">
        <v>7</v>
      </c>
    </row>
    <row r="382">
      <c r="A382" s="3" t="inlineStr">
        <is>
          <t>20221471</t>
        </is>
      </c>
      <c r="B382" s="3" t="n">
        <v>1</v>
      </c>
      <c r="C382" s="3" t="inlineStr">
        <is>
          <t>Direct</t>
        </is>
      </c>
      <c r="D382" s="3" t="n">
        <v>0</v>
      </c>
      <c r="E382" s="3" t="n">
        <v>0</v>
      </c>
      <c r="F382" s="3" t="n">
        <v>0</v>
      </c>
      <c r="G382" s="3" t="n">
        <v>0</v>
      </c>
      <c r="H382" s="3" t="n">
        <v>0</v>
      </c>
      <c r="I382" s="3" t="n">
        <v>0</v>
      </c>
      <c r="J382" s="3" t="n">
        <v>0</v>
      </c>
      <c r="K382" s="3" t="n">
        <v>0</v>
      </c>
      <c r="L382" s="3" t="n">
        <v>0</v>
      </c>
      <c r="M382" s="3" t="n">
        <v>0</v>
      </c>
      <c r="N382" s="3" t="n">
        <v>0</v>
      </c>
    </row>
    <row r="383">
      <c r="A383" s="3" t="inlineStr">
        <is>
          <t>202215062</t>
        </is>
      </c>
      <c r="B383" s="3" t="n">
        <v>1</v>
      </c>
      <c r="C383" s="3" t="inlineStr">
        <is>
          <t>Direct</t>
        </is>
      </c>
      <c r="D383" s="3" t="n">
        <v>9</v>
      </c>
      <c r="E383" s="3" t="n">
        <v>0</v>
      </c>
      <c r="F383" s="3" t="n">
        <v>0</v>
      </c>
      <c r="G383" s="3" t="n">
        <v>1</v>
      </c>
      <c r="H383" s="3" t="n">
        <v>0</v>
      </c>
      <c r="I383" s="3" t="n">
        <v>0</v>
      </c>
      <c r="J383" s="3" t="n">
        <v>1</v>
      </c>
      <c r="K383" s="3" t="n">
        <v>0</v>
      </c>
      <c r="L383" s="3" t="n">
        <v>0</v>
      </c>
      <c r="M383" s="3" t="n">
        <v>0</v>
      </c>
      <c r="N383" s="3" t="n">
        <v>0</v>
      </c>
    </row>
    <row r="384">
      <c r="A384" s="3" t="inlineStr">
        <is>
          <t>202215111</t>
        </is>
      </c>
      <c r="B384" s="3" t="n">
        <v>1</v>
      </c>
      <c r="C384" s="3" t="inlineStr">
        <is>
          <t>Direct</t>
        </is>
      </c>
      <c r="D384" s="3" t="n">
        <v>2</v>
      </c>
      <c r="E384" s="3" t="n">
        <v>0</v>
      </c>
      <c r="F384" s="3" t="n">
        <v>0</v>
      </c>
      <c r="G384" s="3" t="n">
        <v>0</v>
      </c>
      <c r="H384" s="3" t="n">
        <v>0</v>
      </c>
      <c r="I384" s="3" t="n">
        <v>0</v>
      </c>
      <c r="J384" s="3" t="n">
        <v>0</v>
      </c>
      <c r="K384" s="3" t="n">
        <v>0</v>
      </c>
      <c r="L384" s="3" t="n">
        <v>1</v>
      </c>
      <c r="M384" s="3" t="n">
        <v>0</v>
      </c>
      <c r="N384" s="3" t="n">
        <v>0</v>
      </c>
    </row>
    <row r="385">
      <c r="A385" s="3" t="inlineStr">
        <is>
          <t>202215209</t>
        </is>
      </c>
      <c r="B385" s="3" t="n">
        <v>1</v>
      </c>
      <c r="C385" s="3" t="inlineStr">
        <is>
          <t>Direct</t>
        </is>
      </c>
      <c r="D385" s="3" t="n">
        <v>0</v>
      </c>
      <c r="E385" s="3" t="n">
        <v>0</v>
      </c>
      <c r="F385" s="3" t="n">
        <v>0</v>
      </c>
      <c r="G385" s="3" t="n">
        <v>0</v>
      </c>
      <c r="H385" s="3" t="n">
        <v>0</v>
      </c>
      <c r="I385" s="3" t="n">
        <v>0</v>
      </c>
      <c r="J385" s="3" t="n">
        <v>0</v>
      </c>
      <c r="K385" s="3" t="n">
        <v>1</v>
      </c>
      <c r="L385" s="3" t="n">
        <v>1</v>
      </c>
      <c r="M385" s="3" t="n">
        <v>0</v>
      </c>
      <c r="N385" s="3" t="n">
        <v>0</v>
      </c>
    </row>
    <row r="386">
      <c r="A386" s="3" t="inlineStr">
        <is>
          <t>202215663</t>
        </is>
      </c>
      <c r="B386" s="3" t="n">
        <v>4</v>
      </c>
      <c r="C386" s="3" t="inlineStr">
        <is>
          <t>Direct</t>
        </is>
      </c>
      <c r="D386" s="3" t="n">
        <v>0</v>
      </c>
      <c r="E386" s="3" t="n">
        <v>0</v>
      </c>
      <c r="F386" s="3" t="n">
        <v>1</v>
      </c>
      <c r="G386" s="3" t="n">
        <v>0</v>
      </c>
      <c r="H386" s="3" t="n">
        <v>0</v>
      </c>
      <c r="I386" s="3" t="n">
        <v>0</v>
      </c>
      <c r="J386" s="3" t="n">
        <v>0</v>
      </c>
      <c r="K386" s="3" t="n">
        <v>0</v>
      </c>
      <c r="L386" s="3" t="n">
        <v>0</v>
      </c>
      <c r="M386" s="3" t="n">
        <v>0</v>
      </c>
      <c r="N386" s="3" t="n">
        <v>0</v>
      </c>
    </row>
    <row r="387">
      <c r="A387" s="3" t="inlineStr">
        <is>
          <t>202215697</t>
        </is>
      </c>
      <c r="B387" s="3" t="n">
        <v>1</v>
      </c>
      <c r="C387" s="3" t="inlineStr">
        <is>
          <t>Direct</t>
        </is>
      </c>
      <c r="D387" s="3" t="n">
        <v>8</v>
      </c>
      <c r="E387" s="3" t="n">
        <v>0</v>
      </c>
      <c r="F387" s="3" t="n">
        <v>1</v>
      </c>
      <c r="G387" s="3" t="n">
        <v>0</v>
      </c>
      <c r="H387" s="3" t="n">
        <v>0</v>
      </c>
      <c r="I387" s="3" t="n">
        <v>0</v>
      </c>
      <c r="J387" s="3" t="n">
        <v>1</v>
      </c>
      <c r="K387" s="3" t="n">
        <v>0</v>
      </c>
      <c r="L387" s="3" t="n">
        <v>0</v>
      </c>
      <c r="M387" s="3" t="n">
        <v>0</v>
      </c>
      <c r="N387" s="3" t="n">
        <v>1</v>
      </c>
    </row>
    <row r="388">
      <c r="A388" s="3" t="inlineStr">
        <is>
          <t>202215736</t>
        </is>
      </c>
      <c r="B388" s="3" t="n">
        <v>2</v>
      </c>
      <c r="C388" s="3" t="inlineStr">
        <is>
          <t>Direct</t>
        </is>
      </c>
      <c r="D388" s="3" t="n">
        <v>0</v>
      </c>
      <c r="E388" s="3" t="n">
        <v>0</v>
      </c>
      <c r="F388" s="3" t="n">
        <v>0</v>
      </c>
      <c r="G388" s="3" t="n">
        <v>0</v>
      </c>
      <c r="H388" s="3" t="n">
        <v>0</v>
      </c>
      <c r="I388" s="3" t="n">
        <v>0</v>
      </c>
      <c r="J388" s="3" t="n">
        <v>0.5</v>
      </c>
      <c r="K388" s="3" t="n">
        <v>0</v>
      </c>
      <c r="L388" s="3" t="n">
        <v>0</v>
      </c>
      <c r="M388" s="3" t="n">
        <v>0</v>
      </c>
      <c r="N388" s="3" t="n">
        <v>0</v>
      </c>
    </row>
    <row r="389">
      <c r="A389" s="3" t="inlineStr">
        <is>
          <t>202217238</t>
        </is>
      </c>
      <c r="B389" s="3" t="n">
        <v>2</v>
      </c>
      <c r="C389" s="3" t="inlineStr">
        <is>
          <t>Direct</t>
        </is>
      </c>
      <c r="D389" s="3" t="n">
        <v>0</v>
      </c>
      <c r="E389" s="3" t="n">
        <v>0</v>
      </c>
      <c r="F389" s="3" t="n">
        <v>0</v>
      </c>
      <c r="G389" s="3" t="n">
        <v>0</v>
      </c>
      <c r="H389" s="3" t="n">
        <v>0</v>
      </c>
      <c r="I389" s="3" t="n">
        <v>0</v>
      </c>
      <c r="J389" s="3" t="n">
        <v>0</v>
      </c>
      <c r="K389" s="3" t="n">
        <v>0</v>
      </c>
      <c r="L389" s="3" t="n">
        <v>0</v>
      </c>
      <c r="M389" s="3" t="n">
        <v>0</v>
      </c>
      <c r="N389" s="3" t="n">
        <v>0</v>
      </c>
    </row>
    <row r="390">
      <c r="A390" s="3" t="inlineStr">
        <is>
          <t>202217772</t>
        </is>
      </c>
      <c r="B390" s="3" t="n">
        <v>4</v>
      </c>
      <c r="C390" s="3" t="inlineStr">
        <is>
          <t>Direct</t>
        </is>
      </c>
      <c r="D390" s="3" t="n">
        <v>0</v>
      </c>
      <c r="E390" s="3" t="n">
        <v>0</v>
      </c>
      <c r="F390" s="3" t="n">
        <v>3.5</v>
      </c>
      <c r="G390" s="3" t="n">
        <v>4.25</v>
      </c>
      <c r="H390" s="3" t="n">
        <v>4</v>
      </c>
      <c r="I390" s="3" t="n">
        <v>4.5</v>
      </c>
      <c r="J390" s="3" t="n">
        <v>4.75</v>
      </c>
      <c r="K390" s="3" t="n">
        <v>3.75</v>
      </c>
      <c r="L390" s="3" t="n">
        <v>4.25</v>
      </c>
      <c r="M390" s="3" t="n">
        <v>4</v>
      </c>
      <c r="N390" s="3" t="n">
        <v>4.25</v>
      </c>
    </row>
    <row r="391">
      <c r="A391" s="3" t="inlineStr">
        <is>
          <t>202217941</t>
        </is>
      </c>
      <c r="B391" s="3" t="n">
        <v>4</v>
      </c>
      <c r="C391" s="3" t="inlineStr">
        <is>
          <t>Direct</t>
        </is>
      </c>
      <c r="D391" s="3" t="n">
        <v>3.75</v>
      </c>
      <c r="E391" s="3" t="n">
        <v>0</v>
      </c>
      <c r="F391" s="3" t="n">
        <v>5.25</v>
      </c>
      <c r="G391" s="3" t="n">
        <v>6</v>
      </c>
      <c r="H391" s="3" t="n">
        <v>6.5</v>
      </c>
      <c r="I391" s="3" t="n">
        <v>5.5</v>
      </c>
      <c r="J391" s="3" t="n">
        <v>9</v>
      </c>
      <c r="K391" s="3" t="n">
        <v>9</v>
      </c>
      <c r="L391" s="3" t="n">
        <v>9.75</v>
      </c>
      <c r="M391" s="3" t="n">
        <v>5</v>
      </c>
      <c r="N391" s="3" t="n">
        <v>5.25</v>
      </c>
    </row>
    <row r="392">
      <c r="A392" s="3" t="inlineStr">
        <is>
          <t>202218407</t>
        </is>
      </c>
      <c r="B392" s="3" t="n">
        <v>2</v>
      </c>
      <c r="C392" s="3" t="inlineStr">
        <is>
          <t>Direct</t>
        </is>
      </c>
      <c r="D392" s="3" t="n">
        <v>6</v>
      </c>
      <c r="E392" s="3" t="n">
        <v>0</v>
      </c>
      <c r="F392" s="3" t="n">
        <v>0</v>
      </c>
      <c r="G392" s="3" t="n">
        <v>0</v>
      </c>
      <c r="H392" s="3" t="n">
        <v>0</v>
      </c>
      <c r="I392" s="3" t="n">
        <v>2.5</v>
      </c>
      <c r="J392" s="3" t="n">
        <v>1.5</v>
      </c>
      <c r="K392" s="3" t="n">
        <v>0</v>
      </c>
      <c r="L392" s="3" t="n">
        <v>0.5</v>
      </c>
      <c r="M392" s="3" t="n">
        <v>0</v>
      </c>
      <c r="N392" s="3" t="n">
        <v>0</v>
      </c>
    </row>
    <row r="393">
      <c r="A393" s="3" t="inlineStr">
        <is>
          <t>202218432</t>
        </is>
      </c>
      <c r="B393" s="3" t="n">
        <v>3</v>
      </c>
      <c r="C393" s="3" t="inlineStr">
        <is>
          <t>Direct</t>
        </is>
      </c>
      <c r="D393" s="3" t="n">
        <v>0</v>
      </c>
      <c r="E393" s="3" t="n">
        <v>0</v>
      </c>
      <c r="F393" s="3" t="n">
        <v>1.333333333333333</v>
      </c>
      <c r="G393" s="3" t="n">
        <v>0</v>
      </c>
      <c r="H393" s="3" t="n">
        <v>0</v>
      </c>
      <c r="I393" s="3" t="n">
        <v>2.333333333333333</v>
      </c>
      <c r="J393" s="3" t="n">
        <v>1</v>
      </c>
      <c r="K393" s="3" t="n">
        <v>0</v>
      </c>
      <c r="L393" s="3" t="n">
        <v>0</v>
      </c>
      <c r="M393" s="3" t="n">
        <v>0</v>
      </c>
      <c r="N393" s="3" t="n">
        <v>0</v>
      </c>
    </row>
    <row r="394">
      <c r="A394" s="3" t="inlineStr">
        <is>
          <t>202218483</t>
        </is>
      </c>
      <c r="B394" s="3" t="n">
        <v>2</v>
      </c>
      <c r="C394" s="3" t="inlineStr">
        <is>
          <t>Direct</t>
        </is>
      </c>
      <c r="D394" s="3" t="n">
        <v>0</v>
      </c>
      <c r="E394" s="3" t="n">
        <v>0</v>
      </c>
      <c r="F394" s="3" t="n">
        <v>1.5</v>
      </c>
      <c r="G394" s="3" t="n">
        <v>0</v>
      </c>
      <c r="H394" s="3" t="n">
        <v>0</v>
      </c>
      <c r="I394" s="3" t="n">
        <v>1.5</v>
      </c>
      <c r="J394" s="3" t="n">
        <v>2</v>
      </c>
      <c r="K394" s="3" t="n">
        <v>1</v>
      </c>
      <c r="L394" s="3" t="n">
        <v>0</v>
      </c>
      <c r="M394" s="3" t="n">
        <v>0.5</v>
      </c>
      <c r="N394" s="3" t="n">
        <v>0</v>
      </c>
    </row>
    <row r="395">
      <c r="A395" s="3" t="inlineStr">
        <is>
          <t>202218503</t>
        </is>
      </c>
      <c r="B395" s="3" t="n">
        <v>2</v>
      </c>
      <c r="C395" s="3" t="inlineStr">
        <is>
          <t>Direct</t>
        </is>
      </c>
      <c r="D395" s="3" t="n">
        <v>0</v>
      </c>
      <c r="E395" s="3" t="n">
        <v>0</v>
      </c>
      <c r="F395" s="3" t="n">
        <v>1</v>
      </c>
      <c r="G395" s="3" t="n">
        <v>1</v>
      </c>
      <c r="H395" s="3" t="n">
        <v>0</v>
      </c>
      <c r="I395" s="3" t="n">
        <v>0</v>
      </c>
      <c r="J395" s="3" t="n">
        <v>1</v>
      </c>
      <c r="K395" s="3" t="n">
        <v>0</v>
      </c>
      <c r="L395" s="3" t="n">
        <v>0</v>
      </c>
      <c r="M395" s="3" t="n">
        <v>0</v>
      </c>
      <c r="N395" s="3" t="n">
        <v>0</v>
      </c>
    </row>
    <row r="396">
      <c r="A396" s="3" t="inlineStr">
        <is>
          <t>202218523</t>
        </is>
      </c>
      <c r="B396" s="3" t="n">
        <v>1</v>
      </c>
      <c r="C396" s="3" t="inlineStr">
        <is>
          <t>Direct</t>
        </is>
      </c>
      <c r="D396" s="3" t="n">
        <v>0</v>
      </c>
      <c r="E396" s="3" t="n">
        <v>0</v>
      </c>
      <c r="F396" s="3" t="n">
        <v>2</v>
      </c>
      <c r="G396" s="3" t="n">
        <v>2</v>
      </c>
      <c r="H396" s="3" t="n">
        <v>1</v>
      </c>
      <c r="I396" s="3" t="n">
        <v>0</v>
      </c>
      <c r="J396" s="3" t="n">
        <v>2</v>
      </c>
      <c r="K396" s="3" t="n">
        <v>0</v>
      </c>
      <c r="L396" s="3" t="n">
        <v>0</v>
      </c>
      <c r="M396" s="3" t="n">
        <v>0</v>
      </c>
      <c r="N396" s="3" t="n">
        <v>0</v>
      </c>
    </row>
    <row r="397">
      <c r="A397" s="3" t="inlineStr">
        <is>
          <t>202218563</t>
        </is>
      </c>
      <c r="B397" s="3" t="n">
        <v>1</v>
      </c>
      <c r="C397" s="3" t="inlineStr">
        <is>
          <t>Direct</t>
        </is>
      </c>
      <c r="D397" s="3" t="n">
        <v>8</v>
      </c>
      <c r="E397" s="3" t="n">
        <v>0</v>
      </c>
      <c r="F397" s="3" t="n">
        <v>1</v>
      </c>
      <c r="G397" s="3" t="n">
        <v>0</v>
      </c>
      <c r="H397" s="3" t="n">
        <v>0</v>
      </c>
      <c r="I397" s="3" t="n">
        <v>1</v>
      </c>
      <c r="J397" s="3" t="n">
        <v>0</v>
      </c>
      <c r="K397" s="3" t="n">
        <v>0</v>
      </c>
      <c r="L397" s="3" t="n">
        <v>0</v>
      </c>
      <c r="M397" s="3" t="n">
        <v>1</v>
      </c>
      <c r="N397" s="3" t="n">
        <v>0</v>
      </c>
    </row>
    <row r="398">
      <c r="A398" s="3" t="inlineStr">
        <is>
          <t>202218862</t>
        </is>
      </c>
      <c r="B398" s="3" t="n">
        <v>4</v>
      </c>
      <c r="C398" s="3" t="inlineStr">
        <is>
          <t>Direct</t>
        </is>
      </c>
      <c r="D398" s="3" t="n">
        <v>0</v>
      </c>
      <c r="E398" s="3" t="n">
        <v>0</v>
      </c>
      <c r="F398" s="3" t="n">
        <v>0</v>
      </c>
      <c r="G398" s="3" t="n">
        <v>0</v>
      </c>
      <c r="H398" s="3" t="n">
        <v>0</v>
      </c>
      <c r="I398" s="3" t="n">
        <v>0</v>
      </c>
      <c r="J398" s="3" t="n">
        <v>0.25</v>
      </c>
      <c r="K398" s="3" t="n">
        <v>0</v>
      </c>
      <c r="L398" s="3" t="n">
        <v>0</v>
      </c>
      <c r="M398" s="3" t="n">
        <v>0</v>
      </c>
      <c r="N398" s="3" t="n">
        <v>5.25</v>
      </c>
    </row>
    <row r="399">
      <c r="A399" s="3" t="inlineStr">
        <is>
          <t>202219234</t>
        </is>
      </c>
      <c r="B399" s="3" t="n">
        <v>9</v>
      </c>
      <c r="C399" s="3" t="inlineStr">
        <is>
          <t>RQ</t>
        </is>
      </c>
      <c r="D399" s="3" t="n">
        <v>6.222222222222222</v>
      </c>
      <c r="E399" s="3" t="n">
        <v>0</v>
      </c>
      <c r="F399" s="3" t="n">
        <v>3.666666666666667</v>
      </c>
      <c r="G399" s="3" t="n">
        <v>2.888888888888889</v>
      </c>
      <c r="H399" s="3" t="n">
        <v>2.111111111111111</v>
      </c>
      <c r="I399" s="3" t="n">
        <v>4.888888888888889</v>
      </c>
      <c r="J399" s="3" t="n">
        <v>6.333333333333333</v>
      </c>
      <c r="K399" s="3" t="n">
        <v>3.222222222222222</v>
      </c>
      <c r="L399" s="3" t="n">
        <v>6.777777777777778</v>
      </c>
      <c r="M399" s="3" t="n">
        <v>6.777777777777778</v>
      </c>
      <c r="N399" s="3" t="n">
        <v>6.888888888888889</v>
      </c>
    </row>
    <row r="400">
      <c r="A400" s="3" t="inlineStr">
        <is>
          <t>202221079</t>
        </is>
      </c>
      <c r="B400" s="3" t="n">
        <v>8</v>
      </c>
      <c r="C400" s="3" t="inlineStr">
        <is>
          <t>Direct</t>
        </is>
      </c>
      <c r="D400" s="3" t="n">
        <v>2.875</v>
      </c>
      <c r="E400" s="3" t="n">
        <v>0</v>
      </c>
      <c r="F400" s="3" t="n">
        <v>3.625</v>
      </c>
      <c r="G400" s="3" t="n">
        <v>2.75</v>
      </c>
      <c r="H400" s="3" t="n">
        <v>2.5</v>
      </c>
      <c r="I400" s="3" t="n">
        <v>4.25</v>
      </c>
      <c r="J400" s="3" t="n">
        <v>4.625</v>
      </c>
      <c r="K400" s="3" t="n">
        <v>3.875</v>
      </c>
      <c r="L400" s="3" t="n">
        <v>4.375</v>
      </c>
      <c r="M400" s="3" t="n">
        <v>5.375</v>
      </c>
      <c r="N400" s="3" t="n">
        <v>4.5</v>
      </c>
    </row>
    <row r="401">
      <c r="A401" s="3" t="inlineStr">
        <is>
          <t>202221108</t>
        </is>
      </c>
      <c r="B401" s="3" t="n">
        <v>8</v>
      </c>
      <c r="C401" s="3" t="inlineStr">
        <is>
          <t>Direct</t>
        </is>
      </c>
      <c r="D401" s="3" t="n">
        <v>8.125</v>
      </c>
      <c r="E401" s="3" t="n">
        <v>0</v>
      </c>
      <c r="F401" s="3" t="n">
        <v>5.25</v>
      </c>
      <c r="G401" s="3" t="n">
        <v>8</v>
      </c>
      <c r="H401" s="3" t="n">
        <v>7</v>
      </c>
      <c r="I401" s="3" t="n">
        <v>8.25</v>
      </c>
      <c r="J401" s="3" t="n">
        <v>9.375</v>
      </c>
      <c r="K401" s="3" t="n">
        <v>7.875</v>
      </c>
      <c r="L401" s="3" t="n">
        <v>8.125</v>
      </c>
      <c r="M401" s="3" t="n">
        <v>7.5</v>
      </c>
      <c r="N401" s="3" t="n">
        <v>8</v>
      </c>
    </row>
    <row r="402">
      <c r="A402" s="3" t="inlineStr">
        <is>
          <t>202221689</t>
        </is>
      </c>
      <c r="B402" s="3" t="n">
        <v>9</v>
      </c>
      <c r="C402" s="3" t="inlineStr">
        <is>
          <t>Direct</t>
        </is>
      </c>
      <c r="D402" s="3" t="n">
        <v>4.111111111111111</v>
      </c>
      <c r="E402" s="3" t="n">
        <v>0</v>
      </c>
      <c r="F402" s="3" t="n">
        <v>3.333333333333333</v>
      </c>
      <c r="G402" s="3" t="n">
        <v>3.333333333333333</v>
      </c>
      <c r="H402" s="3" t="n">
        <v>3.333333333333333</v>
      </c>
      <c r="I402" s="3" t="n">
        <v>3.888888888888889</v>
      </c>
      <c r="J402" s="3" t="n">
        <v>5.222222222222222</v>
      </c>
      <c r="K402" s="3" t="n">
        <v>4.111111111111111</v>
      </c>
      <c r="L402" s="3" t="n">
        <v>3</v>
      </c>
      <c r="M402" s="3" t="n">
        <v>3.888888888888889</v>
      </c>
      <c r="N402" s="3" t="n">
        <v>3.444444444444445</v>
      </c>
    </row>
    <row r="403">
      <c r="A403" s="3" t="inlineStr">
        <is>
          <t>202221958</t>
        </is>
      </c>
      <c r="B403" s="3" t="n">
        <v>6</v>
      </c>
      <c r="C403" s="3" t="inlineStr">
        <is>
          <t>Direct</t>
        </is>
      </c>
      <c r="D403" s="3" t="n">
        <v>1.333333333333333</v>
      </c>
      <c r="E403" s="3" t="n">
        <v>0</v>
      </c>
      <c r="F403" s="3" t="n">
        <v>1.5</v>
      </c>
      <c r="G403" s="3" t="n">
        <v>0.3333333333333333</v>
      </c>
      <c r="H403" s="3" t="n">
        <v>1</v>
      </c>
      <c r="I403" s="3" t="n">
        <v>1.333333333333333</v>
      </c>
      <c r="J403" s="3" t="n">
        <v>0.5</v>
      </c>
      <c r="K403" s="3" t="n">
        <v>0.8333333333333334</v>
      </c>
      <c r="L403" s="3" t="n">
        <v>1</v>
      </c>
      <c r="M403" s="3" t="n">
        <v>1</v>
      </c>
      <c r="N403" s="3" t="n">
        <v>1</v>
      </c>
    </row>
    <row r="404">
      <c r="A404" s="3" t="inlineStr">
        <is>
          <t>202223039</t>
        </is>
      </c>
      <c r="B404" s="3" t="n">
        <v>3</v>
      </c>
      <c r="C404" s="3" t="inlineStr">
        <is>
          <t>Direct</t>
        </is>
      </c>
      <c r="D404" s="3" t="n">
        <v>3.666666666666667</v>
      </c>
      <c r="E404" s="3" t="n">
        <v>0</v>
      </c>
      <c r="F404" s="3" t="n">
        <v>1</v>
      </c>
      <c r="G404" s="3" t="n">
        <v>3.333333333333333</v>
      </c>
      <c r="H404" s="3" t="n">
        <v>4</v>
      </c>
      <c r="I404" s="3" t="n">
        <v>1.333333333333333</v>
      </c>
      <c r="J404" s="3" t="n">
        <v>2.333333333333333</v>
      </c>
      <c r="K404" s="3" t="n">
        <v>3.333333333333333</v>
      </c>
      <c r="L404" s="3" t="n">
        <v>3.333333333333333</v>
      </c>
      <c r="M404" s="3" t="n">
        <v>3.333333333333333</v>
      </c>
      <c r="N404" s="3" t="n">
        <v>3.333333333333333</v>
      </c>
    </row>
    <row r="405">
      <c r="A405" s="3" t="inlineStr">
        <is>
          <t>202224342</t>
        </is>
      </c>
      <c r="B405" s="3" t="n">
        <v>10</v>
      </c>
      <c r="C405" s="3" t="inlineStr">
        <is>
          <t>Direct</t>
        </is>
      </c>
      <c r="D405" s="3" t="n">
        <v>5.6</v>
      </c>
      <c r="E405" s="3" t="n">
        <v>0</v>
      </c>
      <c r="F405" s="3" t="n">
        <v>5.4</v>
      </c>
      <c r="G405" s="3" t="n">
        <v>2.6</v>
      </c>
      <c r="H405" s="3" t="n">
        <v>3.3</v>
      </c>
      <c r="I405" s="3" t="n">
        <v>5.8</v>
      </c>
      <c r="J405" s="3" t="n">
        <v>3.1</v>
      </c>
      <c r="K405" s="3" t="n">
        <v>5.4</v>
      </c>
      <c r="L405" s="3" t="n">
        <v>5.8</v>
      </c>
      <c r="M405" s="3" t="n">
        <v>4.7</v>
      </c>
      <c r="N405" s="3" t="n">
        <v>5.5</v>
      </c>
    </row>
    <row r="406">
      <c r="A406" s="3" t="inlineStr">
        <is>
          <t>202224783</t>
        </is>
      </c>
      <c r="B406" s="3" t="n">
        <v>1</v>
      </c>
      <c r="C406" s="3" t="inlineStr">
        <is>
          <t>Direct</t>
        </is>
      </c>
      <c r="D406" s="3" t="n">
        <v>0</v>
      </c>
      <c r="E406" s="3" t="n">
        <v>0</v>
      </c>
      <c r="F406" s="3" t="n">
        <v>0</v>
      </c>
      <c r="G406" s="3" t="n">
        <v>0</v>
      </c>
      <c r="H406" s="3" t="n">
        <v>1</v>
      </c>
      <c r="I406" s="3" t="n">
        <v>0</v>
      </c>
      <c r="J406" s="3" t="n">
        <v>0</v>
      </c>
      <c r="K406" s="3" t="n">
        <v>0</v>
      </c>
      <c r="L406" s="3" t="n">
        <v>0</v>
      </c>
      <c r="M406" s="3" t="n">
        <v>0</v>
      </c>
      <c r="N406" s="3" t="n">
        <v>0</v>
      </c>
    </row>
    <row r="407">
      <c r="A407" s="3" t="inlineStr">
        <is>
          <t>202226271</t>
        </is>
      </c>
      <c r="B407" s="3" t="n">
        <v>7</v>
      </c>
      <c r="C407" s="3" t="inlineStr">
        <is>
          <t>Direct</t>
        </is>
      </c>
      <c r="D407" s="3" t="n">
        <v>5.428571428571429</v>
      </c>
      <c r="E407" s="3" t="n">
        <v>0</v>
      </c>
      <c r="F407" s="3" t="n">
        <v>2.857142857142857</v>
      </c>
      <c r="G407" s="3" t="n">
        <v>4.142857142857143</v>
      </c>
      <c r="H407" s="3" t="n">
        <v>5</v>
      </c>
      <c r="I407" s="3" t="n">
        <v>4</v>
      </c>
      <c r="J407" s="3" t="n">
        <v>3.571428571428572</v>
      </c>
      <c r="K407" s="3" t="n">
        <v>4</v>
      </c>
      <c r="L407" s="3" t="n">
        <v>6.142857142857143</v>
      </c>
      <c r="M407" s="3" t="n">
        <v>7.285714285714286</v>
      </c>
      <c r="N407" s="3" t="n">
        <v>6.857142857142857</v>
      </c>
    </row>
    <row r="408">
      <c r="A408" s="3" t="inlineStr">
        <is>
          <t>202227607</t>
        </is>
      </c>
      <c r="B408" s="3" t="n">
        <v>2</v>
      </c>
      <c r="C408" s="3" t="inlineStr">
        <is>
          <t>Direct</t>
        </is>
      </c>
      <c r="D408" s="3" t="n">
        <v>0</v>
      </c>
      <c r="E408" s="3" t="n">
        <v>0</v>
      </c>
      <c r="F408" s="3" t="n">
        <v>0.5</v>
      </c>
      <c r="G408" s="3" t="n">
        <v>0</v>
      </c>
      <c r="H408" s="3" t="n">
        <v>0</v>
      </c>
      <c r="I408" s="3" t="n">
        <v>0</v>
      </c>
      <c r="J408" s="3" t="n">
        <v>0</v>
      </c>
      <c r="K408" s="3" t="n">
        <v>0</v>
      </c>
      <c r="L408" s="3" t="n">
        <v>0</v>
      </c>
      <c r="M408" s="3" t="n">
        <v>0</v>
      </c>
      <c r="N408" s="3" t="n">
        <v>0</v>
      </c>
    </row>
    <row r="409">
      <c r="A409" s="3" t="inlineStr">
        <is>
          <t>202227930</t>
        </is>
      </c>
      <c r="B409" s="3" t="n">
        <v>10</v>
      </c>
      <c r="C409" s="3" t="inlineStr">
        <is>
          <t>Direct</t>
        </is>
      </c>
      <c r="D409" s="3" t="n">
        <v>3.6</v>
      </c>
      <c r="E409" s="3" t="n">
        <v>0</v>
      </c>
      <c r="F409" s="3" t="n">
        <v>3.4</v>
      </c>
      <c r="G409" s="3" t="n">
        <v>3.5</v>
      </c>
      <c r="H409" s="3" t="n">
        <v>2.7</v>
      </c>
      <c r="I409" s="3" t="n">
        <v>5.8</v>
      </c>
      <c r="J409" s="3" t="n">
        <v>5.1</v>
      </c>
      <c r="K409" s="3" t="n">
        <v>5.4</v>
      </c>
      <c r="L409" s="3" t="n">
        <v>5.9</v>
      </c>
      <c r="M409" s="3" t="n">
        <v>6</v>
      </c>
      <c r="N409" s="3" t="n">
        <v>5.6</v>
      </c>
    </row>
    <row r="410">
      <c r="A410" s="3" t="inlineStr">
        <is>
          <t>202228907</t>
        </is>
      </c>
      <c r="B410" s="3" t="n">
        <v>2</v>
      </c>
      <c r="C410" s="3" t="inlineStr">
        <is>
          <t>Direct</t>
        </is>
      </c>
      <c r="D410" s="3" t="n">
        <v>0</v>
      </c>
      <c r="E410" s="3" t="n">
        <v>0</v>
      </c>
      <c r="F410" s="3" t="n">
        <v>1.5</v>
      </c>
      <c r="G410" s="3" t="n">
        <v>1.5</v>
      </c>
      <c r="H410" s="3" t="n">
        <v>2</v>
      </c>
      <c r="I410" s="3" t="n">
        <v>1.5</v>
      </c>
      <c r="J410" s="3" t="n">
        <v>1</v>
      </c>
      <c r="K410" s="3" t="n">
        <v>0</v>
      </c>
      <c r="L410" s="3" t="n">
        <v>0</v>
      </c>
      <c r="M410" s="3" t="n">
        <v>1</v>
      </c>
      <c r="N410" s="3" t="n">
        <v>0</v>
      </c>
    </row>
    <row r="411">
      <c r="A411" s="3" t="inlineStr">
        <is>
          <t>202228933</t>
        </is>
      </c>
      <c r="B411" s="3" t="n">
        <v>2</v>
      </c>
      <c r="C411" s="3" t="inlineStr">
        <is>
          <t>Direct</t>
        </is>
      </c>
      <c r="D411" s="3" t="n">
        <v>5</v>
      </c>
      <c r="E411" s="3" t="n">
        <v>0</v>
      </c>
      <c r="F411" s="3" t="n">
        <v>2.5</v>
      </c>
      <c r="G411" s="3" t="n">
        <v>2.5</v>
      </c>
      <c r="H411" s="3" t="n">
        <v>1.5</v>
      </c>
      <c r="I411" s="3" t="n">
        <v>5</v>
      </c>
      <c r="J411" s="3" t="n">
        <v>1</v>
      </c>
      <c r="K411" s="3" t="n">
        <v>5</v>
      </c>
      <c r="L411" s="3" t="n">
        <v>5</v>
      </c>
      <c r="M411" s="3" t="n">
        <v>4</v>
      </c>
      <c r="N411" s="3" t="n">
        <v>5</v>
      </c>
    </row>
    <row r="412">
      <c r="A412" s="3" t="inlineStr">
        <is>
          <t>202229767</t>
        </is>
      </c>
      <c r="B412" s="3" t="n">
        <v>1</v>
      </c>
      <c r="C412" s="3" t="inlineStr">
        <is>
          <t>Direct</t>
        </is>
      </c>
      <c r="D412" s="3" t="n">
        <v>0</v>
      </c>
      <c r="E412" s="3" t="n">
        <v>0</v>
      </c>
      <c r="F412" s="3" t="n">
        <v>0</v>
      </c>
      <c r="G412" s="3" t="n">
        <v>0</v>
      </c>
      <c r="H412" s="3" t="n">
        <v>0</v>
      </c>
      <c r="I412" s="3" t="n">
        <v>0</v>
      </c>
      <c r="J412" s="3" t="n">
        <v>0</v>
      </c>
      <c r="K412" s="3" t="n">
        <v>0</v>
      </c>
      <c r="L412" s="3" t="n">
        <v>0</v>
      </c>
      <c r="M412" s="3" t="n">
        <v>0</v>
      </c>
      <c r="N412" s="3" t="n">
        <v>0</v>
      </c>
    </row>
    <row r="413">
      <c r="A413" s="3" t="inlineStr">
        <is>
          <t>202229775</t>
        </is>
      </c>
      <c r="B413" s="3" t="n">
        <v>4</v>
      </c>
      <c r="C413" s="3" t="inlineStr">
        <is>
          <t>Direct</t>
        </is>
      </c>
      <c r="D413" s="3" t="n">
        <v>2.5</v>
      </c>
      <c r="E413" s="3" t="n">
        <v>0</v>
      </c>
      <c r="F413" s="3" t="n">
        <v>1.5</v>
      </c>
      <c r="G413" s="3" t="n">
        <v>1</v>
      </c>
      <c r="H413" s="3" t="n">
        <v>0.25</v>
      </c>
      <c r="I413" s="3" t="n">
        <v>0.5</v>
      </c>
      <c r="J413" s="3" t="n">
        <v>0.5</v>
      </c>
      <c r="K413" s="3" t="n">
        <v>0.5</v>
      </c>
      <c r="L413" s="3" t="n">
        <v>1.25</v>
      </c>
      <c r="M413" s="3" t="n">
        <v>2.25</v>
      </c>
      <c r="N413" s="3" t="n">
        <v>2</v>
      </c>
    </row>
    <row r="414">
      <c r="A414" s="3" t="inlineStr">
        <is>
          <t>202229895</t>
        </is>
      </c>
      <c r="B414" s="3" t="n">
        <v>1</v>
      </c>
      <c r="C414" s="3" t="inlineStr">
        <is>
          <t>Direct</t>
        </is>
      </c>
      <c r="D414" s="3" t="n">
        <v>1</v>
      </c>
      <c r="E414" s="3" t="n">
        <v>0</v>
      </c>
      <c r="F414" s="3" t="n">
        <v>0</v>
      </c>
      <c r="G414" s="3" t="n">
        <v>0</v>
      </c>
      <c r="H414" s="3" t="n">
        <v>0</v>
      </c>
      <c r="I414" s="3" t="n">
        <v>0</v>
      </c>
      <c r="J414" s="3" t="n">
        <v>0</v>
      </c>
      <c r="K414" s="3" t="n">
        <v>0</v>
      </c>
      <c r="L414" s="3" t="n">
        <v>0</v>
      </c>
      <c r="M414" s="3" t="n">
        <v>0</v>
      </c>
      <c r="N414" s="3" t="n">
        <v>0</v>
      </c>
    </row>
    <row r="415">
      <c r="A415" s="3" t="inlineStr">
        <is>
          <t>202230487</t>
        </is>
      </c>
      <c r="B415" s="3" t="n">
        <v>1</v>
      </c>
      <c r="C415" s="3" t="inlineStr">
        <is>
          <t>Direct</t>
        </is>
      </c>
      <c r="D415" s="3" t="n">
        <v>0</v>
      </c>
      <c r="E415" s="3" t="n">
        <v>0</v>
      </c>
      <c r="F415" s="3" t="n">
        <v>0</v>
      </c>
      <c r="G415" s="3" t="n">
        <v>0</v>
      </c>
      <c r="H415" s="3" t="n">
        <v>0</v>
      </c>
      <c r="I415" s="3" t="n">
        <v>0</v>
      </c>
      <c r="J415" s="3" t="n">
        <v>1</v>
      </c>
      <c r="K415" s="3" t="n">
        <v>0</v>
      </c>
      <c r="L415" s="3" t="n">
        <v>0</v>
      </c>
      <c r="M415" s="3" t="n">
        <v>0</v>
      </c>
      <c r="N415" s="3" t="n">
        <v>0</v>
      </c>
    </row>
    <row r="416">
      <c r="A416" s="3" t="inlineStr">
        <is>
          <t>202230796</t>
        </is>
      </c>
      <c r="B416" s="3" t="n">
        <v>2</v>
      </c>
      <c r="C416" s="3" t="inlineStr">
        <is>
          <t>Direct</t>
        </is>
      </c>
      <c r="D416" s="3" t="n">
        <v>0</v>
      </c>
      <c r="E416" s="3" t="n">
        <v>0</v>
      </c>
      <c r="F416" s="3" t="n">
        <v>0</v>
      </c>
      <c r="G416" s="3" t="n">
        <v>0</v>
      </c>
      <c r="H416" s="3" t="n">
        <v>0</v>
      </c>
      <c r="I416" s="3" t="n">
        <v>0</v>
      </c>
      <c r="J416" s="3" t="n">
        <v>0</v>
      </c>
      <c r="K416" s="3" t="n">
        <v>0</v>
      </c>
      <c r="L416" s="3" t="n">
        <v>0</v>
      </c>
      <c r="M416" s="3" t="n">
        <v>0</v>
      </c>
      <c r="N416" s="3" t="n">
        <v>0</v>
      </c>
    </row>
    <row r="417">
      <c r="A417" s="3" t="inlineStr">
        <is>
          <t>202230839</t>
        </is>
      </c>
      <c r="B417" s="3" t="n">
        <v>3</v>
      </c>
      <c r="C417" s="3" t="inlineStr">
        <is>
          <t>Direct</t>
        </is>
      </c>
      <c r="D417" s="3" t="n">
        <v>3</v>
      </c>
      <c r="E417" s="3" t="n">
        <v>0</v>
      </c>
      <c r="F417" s="3" t="n">
        <v>3</v>
      </c>
      <c r="G417" s="3" t="n">
        <v>1.666666666666667</v>
      </c>
      <c r="H417" s="3" t="n">
        <v>2.333333333333333</v>
      </c>
      <c r="I417" s="3" t="n">
        <v>1.333333333333333</v>
      </c>
      <c r="J417" s="3" t="n">
        <v>0.6666666666666666</v>
      </c>
      <c r="K417" s="3" t="n">
        <v>1.333333333333333</v>
      </c>
      <c r="L417" s="3" t="n">
        <v>5</v>
      </c>
      <c r="M417" s="3" t="n">
        <v>2.333333333333333</v>
      </c>
      <c r="N417" s="3" t="n">
        <v>3.333333333333333</v>
      </c>
    </row>
    <row r="418">
      <c r="A418" s="3" t="inlineStr">
        <is>
          <t>202231114</t>
        </is>
      </c>
      <c r="B418" s="3" t="n">
        <v>5</v>
      </c>
      <c r="C418" s="3" t="inlineStr">
        <is>
          <t>Direct</t>
        </is>
      </c>
      <c r="D418" s="3" t="n">
        <v>1.4</v>
      </c>
      <c r="E418" s="3" t="n">
        <v>0</v>
      </c>
      <c r="F418" s="3" t="n">
        <v>2.6</v>
      </c>
      <c r="G418" s="3" t="n">
        <v>1.4</v>
      </c>
      <c r="H418" s="3" t="n">
        <v>1.2</v>
      </c>
      <c r="I418" s="3" t="n">
        <v>1.6</v>
      </c>
      <c r="J418" s="3" t="n">
        <v>2.8</v>
      </c>
      <c r="K418" s="3" t="n">
        <v>1.6</v>
      </c>
      <c r="L418" s="3" t="n">
        <v>4</v>
      </c>
      <c r="M418" s="3" t="n">
        <v>3</v>
      </c>
      <c r="N418" s="3" t="n">
        <v>1.6</v>
      </c>
    </row>
    <row r="419">
      <c r="A419" s="3" t="inlineStr">
        <is>
          <t>202231715</t>
        </is>
      </c>
      <c r="B419" s="3" t="n">
        <v>3</v>
      </c>
      <c r="C419" s="3" t="inlineStr">
        <is>
          <t>Direct</t>
        </is>
      </c>
      <c r="D419" s="3" t="n">
        <v>0.3333333333333333</v>
      </c>
      <c r="E419" s="3" t="n">
        <v>0</v>
      </c>
      <c r="F419" s="3" t="n">
        <v>0.3333333333333333</v>
      </c>
      <c r="G419" s="3" t="n">
        <v>0.3333333333333333</v>
      </c>
      <c r="H419" s="3" t="n">
        <v>0.3333333333333333</v>
      </c>
      <c r="I419" s="3" t="n">
        <v>0.3333333333333333</v>
      </c>
      <c r="J419" s="3" t="n">
        <v>0.3333333333333333</v>
      </c>
      <c r="K419" s="3" t="n">
        <v>0.3333333333333333</v>
      </c>
      <c r="L419" s="3" t="n">
        <v>0.3333333333333333</v>
      </c>
      <c r="M419" s="3" t="n">
        <v>0</v>
      </c>
      <c r="N419" s="3" t="n">
        <v>0.3333333333333333</v>
      </c>
    </row>
    <row r="420">
      <c r="A420" s="3" t="inlineStr">
        <is>
          <t>202231730</t>
        </is>
      </c>
      <c r="B420" s="3" t="n">
        <v>5</v>
      </c>
      <c r="C420" s="3" t="inlineStr">
        <is>
          <t>Direct</t>
        </is>
      </c>
      <c r="D420" s="3" t="n">
        <v>2.6</v>
      </c>
      <c r="E420" s="3" t="n">
        <v>0</v>
      </c>
      <c r="F420" s="3" t="n">
        <v>1.6</v>
      </c>
      <c r="G420" s="3" t="n">
        <v>1.2</v>
      </c>
      <c r="H420" s="3" t="n">
        <v>1.2</v>
      </c>
      <c r="I420" s="3" t="n">
        <v>0.8</v>
      </c>
      <c r="J420" s="3" t="n">
        <v>0.8</v>
      </c>
      <c r="K420" s="3" t="n">
        <v>3</v>
      </c>
      <c r="L420" s="3" t="n">
        <v>2.6</v>
      </c>
      <c r="M420" s="3" t="n">
        <v>2.6</v>
      </c>
      <c r="N420" s="3" t="n">
        <v>2.6</v>
      </c>
    </row>
    <row r="421">
      <c r="A421" s="3" t="inlineStr">
        <is>
          <t>202231895</t>
        </is>
      </c>
      <c r="B421" s="3" t="n">
        <v>5</v>
      </c>
      <c r="C421" s="3" t="inlineStr">
        <is>
          <t>Direct</t>
        </is>
      </c>
      <c r="D421" s="3" t="n">
        <v>0</v>
      </c>
      <c r="E421" s="3" t="n">
        <v>0</v>
      </c>
      <c r="F421" s="3" t="n">
        <v>0</v>
      </c>
      <c r="G421" s="3" t="n">
        <v>0</v>
      </c>
      <c r="H421" s="3" t="n">
        <v>0</v>
      </c>
      <c r="I421" s="3" t="n">
        <v>0</v>
      </c>
      <c r="J421" s="3" t="n">
        <v>0</v>
      </c>
      <c r="K421" s="3" t="n">
        <v>0</v>
      </c>
      <c r="L421" s="3" t="n">
        <v>0</v>
      </c>
      <c r="M421" s="3" t="n">
        <v>0</v>
      </c>
      <c r="N421" s="3" t="n">
        <v>0</v>
      </c>
    </row>
    <row r="422">
      <c r="A422" s="3" t="inlineStr">
        <is>
          <t>202236179</t>
        </is>
      </c>
      <c r="B422" s="3" t="n">
        <v>4</v>
      </c>
      <c r="C422" s="3" t="inlineStr">
        <is>
          <t>Direct</t>
        </is>
      </c>
      <c r="D422" s="3" t="n">
        <v>2</v>
      </c>
      <c r="E422" s="3" t="n">
        <v>0</v>
      </c>
      <c r="F422" s="3" t="n">
        <v>1.75</v>
      </c>
      <c r="G422" s="3" t="n">
        <v>1.75</v>
      </c>
      <c r="H422" s="3" t="n">
        <v>2.25</v>
      </c>
      <c r="I422" s="3" t="n">
        <v>0.5</v>
      </c>
      <c r="J422" s="3" t="n">
        <v>1.25</v>
      </c>
      <c r="K422" s="3" t="n">
        <v>3</v>
      </c>
      <c r="L422" s="3" t="n">
        <v>3</v>
      </c>
      <c r="M422" s="3" t="n">
        <v>3.5</v>
      </c>
      <c r="N422" s="3" t="n">
        <v>2.5</v>
      </c>
    </row>
    <row r="423">
      <c r="A423" s="3" t="inlineStr">
        <is>
          <t>202236277</t>
        </is>
      </c>
      <c r="B423" s="3" t="n">
        <v>6</v>
      </c>
      <c r="C423" s="3" t="inlineStr">
        <is>
          <t>Direct</t>
        </is>
      </c>
      <c r="D423" s="3" t="n">
        <v>1.166666666666667</v>
      </c>
      <c r="E423" s="3" t="n">
        <v>0</v>
      </c>
      <c r="F423" s="3" t="n">
        <v>0.3333333333333333</v>
      </c>
      <c r="G423" s="3" t="n">
        <v>1</v>
      </c>
      <c r="H423" s="3" t="n">
        <v>1.166666666666667</v>
      </c>
      <c r="I423" s="3" t="n">
        <v>1.333333333333333</v>
      </c>
      <c r="J423" s="3" t="n">
        <v>0.6666666666666666</v>
      </c>
      <c r="K423" s="3" t="n">
        <v>1</v>
      </c>
      <c r="L423" s="3" t="n">
        <v>0.6666666666666666</v>
      </c>
      <c r="M423" s="3" t="n">
        <v>2.5</v>
      </c>
      <c r="N423" s="3" t="n">
        <v>0.6666666666666666</v>
      </c>
    </row>
    <row r="424">
      <c r="A424" s="3" t="inlineStr">
        <is>
          <t>202236423</t>
        </is>
      </c>
      <c r="B424" s="3" t="n">
        <v>3</v>
      </c>
      <c r="C424" s="3" t="inlineStr">
        <is>
          <t>Direct</t>
        </is>
      </c>
      <c r="D424" s="3" t="n">
        <v>2.333333333333333</v>
      </c>
      <c r="E424" s="3" t="n">
        <v>0</v>
      </c>
      <c r="F424" s="3" t="n">
        <v>1</v>
      </c>
      <c r="G424" s="3" t="n">
        <v>2.333333333333333</v>
      </c>
      <c r="H424" s="3" t="n">
        <v>1.333333333333333</v>
      </c>
      <c r="I424" s="3" t="n">
        <v>0</v>
      </c>
      <c r="J424" s="3" t="n">
        <v>2</v>
      </c>
      <c r="K424" s="3" t="n">
        <v>0</v>
      </c>
      <c r="L424" s="3" t="n">
        <v>2.333333333333333</v>
      </c>
      <c r="M424" s="3" t="n">
        <v>2.333333333333333</v>
      </c>
      <c r="N424" s="3" t="n">
        <v>0</v>
      </c>
    </row>
    <row r="425">
      <c r="A425" s="3" t="inlineStr">
        <is>
          <t>202236982</t>
        </is>
      </c>
      <c r="B425" s="3" t="n">
        <v>3</v>
      </c>
      <c r="C425" s="3" t="inlineStr">
        <is>
          <t>Direct</t>
        </is>
      </c>
      <c r="D425" s="3" t="n">
        <v>3.333333333333333</v>
      </c>
      <c r="E425" s="3" t="n">
        <v>0</v>
      </c>
      <c r="F425" s="3" t="n">
        <v>1.666666666666667</v>
      </c>
      <c r="G425" s="3" t="n">
        <v>1</v>
      </c>
      <c r="H425" s="3" t="n">
        <v>3</v>
      </c>
      <c r="I425" s="3" t="n">
        <v>3.333333333333333</v>
      </c>
      <c r="J425" s="3" t="n">
        <v>3.333333333333333</v>
      </c>
      <c r="K425" s="3" t="n">
        <v>3.333333333333333</v>
      </c>
      <c r="L425" s="3" t="n">
        <v>3.333333333333333</v>
      </c>
      <c r="M425" s="3" t="n">
        <v>3.333333333333333</v>
      </c>
      <c r="N425" s="3" t="n">
        <v>3.333333333333333</v>
      </c>
    </row>
    <row r="426">
      <c r="A426" s="3" t="inlineStr">
        <is>
          <t>202237088</t>
        </is>
      </c>
      <c r="B426" s="3" t="n">
        <v>3</v>
      </c>
      <c r="C426" s="3" t="inlineStr">
        <is>
          <t>Direct</t>
        </is>
      </c>
      <c r="D426" s="3" t="n">
        <v>2.333333333333333</v>
      </c>
      <c r="E426" s="3" t="n">
        <v>0</v>
      </c>
      <c r="F426" s="3" t="n">
        <v>1.666666666666667</v>
      </c>
      <c r="G426" s="3" t="n">
        <v>2.666666666666667</v>
      </c>
      <c r="H426" s="3" t="n">
        <v>2.333333333333333</v>
      </c>
      <c r="I426" s="3" t="n">
        <v>1.333333333333333</v>
      </c>
      <c r="J426" s="3" t="n">
        <v>1.666666666666667</v>
      </c>
      <c r="K426" s="3" t="n">
        <v>1.333333333333333</v>
      </c>
      <c r="L426" s="3" t="n">
        <v>1</v>
      </c>
      <c r="M426" s="3" t="n">
        <v>0.6666666666666666</v>
      </c>
      <c r="N426" s="3" t="n">
        <v>0</v>
      </c>
    </row>
    <row r="427">
      <c r="A427" s="3" t="inlineStr">
        <is>
          <t>202237547</t>
        </is>
      </c>
      <c r="B427" s="3" t="n">
        <v>2</v>
      </c>
      <c r="C427" s="3" t="inlineStr">
        <is>
          <t>Direct</t>
        </is>
      </c>
      <c r="D427" s="3" t="n">
        <v>4.5</v>
      </c>
      <c r="E427" s="3" t="n">
        <v>0</v>
      </c>
      <c r="F427" s="3" t="n">
        <v>1.5</v>
      </c>
      <c r="G427" s="3" t="n">
        <v>1</v>
      </c>
      <c r="H427" s="3" t="n">
        <v>1.5</v>
      </c>
      <c r="I427" s="3" t="n">
        <v>5</v>
      </c>
      <c r="J427" s="3" t="n">
        <v>2</v>
      </c>
      <c r="K427" s="3" t="n">
        <v>5</v>
      </c>
      <c r="L427" s="3" t="n">
        <v>5</v>
      </c>
      <c r="M427" s="3" t="n">
        <v>5</v>
      </c>
      <c r="N427" s="3" t="n">
        <v>5</v>
      </c>
    </row>
    <row r="428">
      <c r="A428" s="3" t="inlineStr">
        <is>
          <t>202239138</t>
        </is>
      </c>
      <c r="B428" s="3" t="n">
        <v>3</v>
      </c>
      <c r="C428" s="3" t="inlineStr">
        <is>
          <t>Direct</t>
        </is>
      </c>
      <c r="D428" s="3" t="n">
        <v>0</v>
      </c>
      <c r="E428" s="3" t="n">
        <v>0</v>
      </c>
      <c r="F428" s="3" t="n">
        <v>0</v>
      </c>
      <c r="G428" s="3" t="n">
        <v>0</v>
      </c>
      <c r="H428" s="3" t="n">
        <v>0</v>
      </c>
      <c r="I428" s="3" t="n">
        <v>0</v>
      </c>
      <c r="J428" s="3" t="n">
        <v>0</v>
      </c>
      <c r="K428" s="3" t="n">
        <v>0</v>
      </c>
      <c r="L428" s="3" t="n">
        <v>0</v>
      </c>
      <c r="M428" s="3" t="n">
        <v>0</v>
      </c>
      <c r="N428" s="3" t="n">
        <v>0</v>
      </c>
    </row>
    <row r="429">
      <c r="A429" s="3" t="inlineStr">
        <is>
          <t>202239704</t>
        </is>
      </c>
      <c r="B429" s="3" t="n">
        <v>10</v>
      </c>
      <c r="C429" s="3" t="inlineStr">
        <is>
          <t>Direct</t>
        </is>
      </c>
      <c r="D429" s="3" t="n">
        <v>2.5</v>
      </c>
      <c r="E429" s="3" t="n">
        <v>0</v>
      </c>
      <c r="F429" s="3" t="n">
        <v>3.4</v>
      </c>
      <c r="G429" s="3" t="n">
        <v>2.6</v>
      </c>
      <c r="H429" s="3" t="n">
        <v>2.3</v>
      </c>
      <c r="I429" s="3" t="n">
        <v>2</v>
      </c>
      <c r="J429" s="3" t="n">
        <v>3.3</v>
      </c>
      <c r="K429" s="3" t="n">
        <v>2.6</v>
      </c>
      <c r="L429" s="3" t="n">
        <v>2.5</v>
      </c>
      <c r="M429" s="3" t="n">
        <v>3.4</v>
      </c>
      <c r="N429" s="3" t="n">
        <v>2.9</v>
      </c>
    </row>
    <row r="430">
      <c r="A430" s="3" t="inlineStr">
        <is>
          <t>202241955</t>
        </is>
      </c>
      <c r="B430" s="3" t="n">
        <v>3</v>
      </c>
      <c r="C430" s="3" t="inlineStr">
        <is>
          <t>Direct</t>
        </is>
      </c>
      <c r="D430" s="3" t="n">
        <v>4</v>
      </c>
      <c r="E430" s="3" t="n">
        <v>0</v>
      </c>
      <c r="F430" s="3" t="n">
        <v>2.333333333333333</v>
      </c>
      <c r="G430" s="3" t="n">
        <v>3</v>
      </c>
      <c r="H430" s="3" t="n">
        <v>2.666666666666667</v>
      </c>
      <c r="I430" s="3" t="n">
        <v>1.333333333333333</v>
      </c>
      <c r="J430" s="3" t="n">
        <v>2.333333333333333</v>
      </c>
      <c r="K430" s="3" t="n">
        <v>3.666666666666667</v>
      </c>
      <c r="L430" s="3" t="n">
        <v>3.333333333333333</v>
      </c>
      <c r="M430" s="3" t="n">
        <v>3</v>
      </c>
      <c r="N430" s="3" t="n">
        <v>1.333333333333333</v>
      </c>
    </row>
    <row r="431">
      <c r="A431" s="3" t="inlineStr">
        <is>
          <t>202242623</t>
        </is>
      </c>
      <c r="B431" s="3" t="n">
        <v>6</v>
      </c>
      <c r="C431" s="3" t="inlineStr">
        <is>
          <t>Direct</t>
        </is>
      </c>
      <c r="D431" s="3" t="n">
        <v>2.833333333333333</v>
      </c>
      <c r="E431" s="3" t="n">
        <v>0</v>
      </c>
      <c r="F431" s="3" t="n">
        <v>2</v>
      </c>
      <c r="G431" s="3" t="n">
        <v>8</v>
      </c>
      <c r="H431" s="3" t="n">
        <v>7.166666666666667</v>
      </c>
      <c r="I431" s="3" t="n">
        <v>1.5</v>
      </c>
      <c r="J431" s="3" t="n">
        <v>1.5</v>
      </c>
      <c r="K431" s="3" t="n">
        <v>1.833333333333333</v>
      </c>
      <c r="L431" s="3" t="n">
        <v>1.5</v>
      </c>
      <c r="M431" s="3" t="n">
        <v>1.666666666666667</v>
      </c>
      <c r="N431" s="3" t="n">
        <v>2.666666666666667</v>
      </c>
    </row>
    <row r="432">
      <c r="A432" s="3" t="inlineStr">
        <is>
          <t>202243909</t>
        </is>
      </c>
      <c r="B432" s="3" t="n">
        <v>2</v>
      </c>
      <c r="C432" s="3" t="inlineStr">
        <is>
          <t>Direct</t>
        </is>
      </c>
      <c r="D432" s="3" t="n">
        <v>3.5</v>
      </c>
      <c r="E432" s="3" t="n">
        <v>0</v>
      </c>
      <c r="F432" s="3" t="n">
        <v>1.5</v>
      </c>
      <c r="G432" s="3" t="n">
        <v>4</v>
      </c>
      <c r="H432" s="3" t="n">
        <v>2.5</v>
      </c>
      <c r="I432" s="3" t="n">
        <v>0</v>
      </c>
      <c r="J432" s="3" t="n">
        <v>4</v>
      </c>
      <c r="K432" s="3" t="n">
        <v>3.5</v>
      </c>
      <c r="L432" s="3" t="n">
        <v>4.5</v>
      </c>
      <c r="M432" s="3" t="n">
        <v>4</v>
      </c>
      <c r="N432" s="3" t="n">
        <v>4.5</v>
      </c>
    </row>
    <row r="433">
      <c r="A433" s="3" t="inlineStr">
        <is>
          <t>202244415</t>
        </is>
      </c>
      <c r="B433" s="3" t="n">
        <v>10</v>
      </c>
      <c r="C433" s="3" t="inlineStr">
        <is>
          <t>Direct</t>
        </is>
      </c>
      <c r="D433" s="3" t="n">
        <v>1.7</v>
      </c>
      <c r="E433" s="3" t="n">
        <v>0</v>
      </c>
      <c r="F433" s="3" t="n">
        <v>1.9</v>
      </c>
      <c r="G433" s="3" t="n">
        <v>2.2</v>
      </c>
      <c r="H433" s="3" t="n">
        <v>2.4</v>
      </c>
      <c r="I433" s="3" t="n">
        <v>2</v>
      </c>
      <c r="J433" s="3" t="n">
        <v>2</v>
      </c>
      <c r="K433" s="3" t="n">
        <v>1.9</v>
      </c>
      <c r="L433" s="3" t="n">
        <v>2.3</v>
      </c>
      <c r="M433" s="3" t="n">
        <v>2.2</v>
      </c>
      <c r="N433" s="3" t="n">
        <v>1.9</v>
      </c>
    </row>
    <row r="434">
      <c r="A434" s="3" t="inlineStr">
        <is>
          <t>202244461</t>
        </is>
      </c>
      <c r="B434" s="3" t="n">
        <v>5</v>
      </c>
      <c r="C434" s="3" t="inlineStr">
        <is>
          <t>Direct</t>
        </is>
      </c>
      <c r="D434" s="3" t="n">
        <v>4.4</v>
      </c>
      <c r="E434" s="3" t="n">
        <v>0</v>
      </c>
      <c r="F434" s="3" t="n">
        <v>1.4</v>
      </c>
      <c r="G434" s="3" t="n">
        <v>5.6</v>
      </c>
      <c r="H434" s="3" t="n">
        <v>5</v>
      </c>
      <c r="I434" s="3" t="n">
        <v>4</v>
      </c>
      <c r="J434" s="3" t="n">
        <v>7.2</v>
      </c>
      <c r="K434" s="3" t="n">
        <v>6</v>
      </c>
      <c r="L434" s="3" t="n">
        <v>7.2</v>
      </c>
      <c r="M434" s="3" t="n">
        <v>7.2</v>
      </c>
      <c r="N434" s="3" t="n">
        <v>6.6</v>
      </c>
    </row>
    <row r="435">
      <c r="A435" s="3" t="inlineStr">
        <is>
          <t>202246333</t>
        </is>
      </c>
      <c r="B435" s="3" t="n">
        <v>3</v>
      </c>
      <c r="C435" s="3" t="inlineStr">
        <is>
          <t>Direct</t>
        </is>
      </c>
      <c r="D435" s="3" t="n">
        <v>3</v>
      </c>
      <c r="E435" s="3" t="n">
        <v>0</v>
      </c>
      <c r="F435" s="3" t="n">
        <v>1.333333333333333</v>
      </c>
      <c r="G435" s="3" t="n">
        <v>1.333333333333333</v>
      </c>
      <c r="H435" s="3" t="n">
        <v>0.6666666666666666</v>
      </c>
      <c r="I435" s="3" t="n">
        <v>1.666666666666667</v>
      </c>
      <c r="J435" s="3" t="n">
        <v>3.333333333333333</v>
      </c>
      <c r="K435" s="3" t="n">
        <v>3</v>
      </c>
      <c r="L435" s="3" t="n">
        <v>3.333333333333333</v>
      </c>
      <c r="M435" s="3" t="n">
        <v>3.333333333333333</v>
      </c>
      <c r="N435" s="3" t="n">
        <v>3.333333333333333</v>
      </c>
    </row>
    <row r="436">
      <c r="A436" s="3" t="inlineStr">
        <is>
          <t>202247209</t>
        </is>
      </c>
      <c r="B436" s="3" t="n">
        <v>1</v>
      </c>
      <c r="C436" s="3" t="inlineStr">
        <is>
          <t>Direct</t>
        </is>
      </c>
      <c r="D436" s="3" t="n">
        <v>0</v>
      </c>
      <c r="E436" s="3" t="n">
        <v>0</v>
      </c>
      <c r="F436" s="3" t="n">
        <v>0</v>
      </c>
      <c r="G436" s="3" t="n">
        <v>0</v>
      </c>
      <c r="H436" s="3" t="n">
        <v>0</v>
      </c>
      <c r="I436" s="3" t="n">
        <v>0</v>
      </c>
      <c r="J436" s="3" t="n">
        <v>0</v>
      </c>
      <c r="K436" s="3" t="n">
        <v>0</v>
      </c>
      <c r="L436" s="3" t="n">
        <v>0</v>
      </c>
      <c r="M436" s="3" t="n">
        <v>0</v>
      </c>
      <c r="N436" s="3" t="n">
        <v>0</v>
      </c>
    </row>
    <row r="437">
      <c r="A437" s="3" t="inlineStr">
        <is>
          <t>202248231</t>
        </is>
      </c>
      <c r="B437" s="3" t="n">
        <v>4</v>
      </c>
      <c r="C437" s="3" t="inlineStr">
        <is>
          <t>Direct</t>
        </is>
      </c>
      <c r="D437" s="3" t="n">
        <v>4.5</v>
      </c>
      <c r="E437" s="3" t="n">
        <v>0</v>
      </c>
      <c r="F437" s="3" t="n">
        <v>4</v>
      </c>
      <c r="G437" s="3" t="n">
        <v>3.75</v>
      </c>
      <c r="H437" s="3" t="n">
        <v>3.25</v>
      </c>
      <c r="I437" s="3" t="n">
        <v>0.75</v>
      </c>
      <c r="J437" s="3" t="n">
        <v>1</v>
      </c>
      <c r="K437" s="3" t="n">
        <v>1.25</v>
      </c>
      <c r="L437" s="3" t="n">
        <v>0.5</v>
      </c>
      <c r="M437" s="3" t="n">
        <v>0</v>
      </c>
      <c r="N437" s="3" t="n">
        <v>0.25</v>
      </c>
    </row>
    <row r="438">
      <c r="A438" s="3" t="inlineStr">
        <is>
          <t>202249086</t>
        </is>
      </c>
      <c r="B438" s="3" t="n">
        <v>2</v>
      </c>
      <c r="C438" s="3" t="inlineStr">
        <is>
          <t>Direct</t>
        </is>
      </c>
      <c r="D438" s="3" t="n">
        <v>5</v>
      </c>
      <c r="E438" s="3" t="n">
        <v>0</v>
      </c>
      <c r="F438" s="3" t="n">
        <v>4</v>
      </c>
      <c r="G438" s="3" t="n">
        <v>2</v>
      </c>
      <c r="H438" s="3" t="n">
        <v>4</v>
      </c>
      <c r="I438" s="3" t="n">
        <v>1.5</v>
      </c>
      <c r="J438" s="3" t="n">
        <v>5</v>
      </c>
      <c r="K438" s="3" t="n">
        <v>4</v>
      </c>
      <c r="L438" s="3" t="n">
        <v>5</v>
      </c>
      <c r="M438" s="3" t="n">
        <v>5</v>
      </c>
      <c r="N438" s="3" t="n">
        <v>5</v>
      </c>
    </row>
    <row r="439">
      <c r="A439" s="3" t="inlineStr">
        <is>
          <t>202249094</t>
        </is>
      </c>
      <c r="B439" s="3" t="n">
        <v>2</v>
      </c>
      <c r="C439" s="3" t="inlineStr">
        <is>
          <t>Direct</t>
        </is>
      </c>
      <c r="D439" s="3" t="n">
        <v>4.5</v>
      </c>
      <c r="E439" s="3" t="n">
        <v>0</v>
      </c>
      <c r="F439" s="3" t="n">
        <v>3.5</v>
      </c>
      <c r="G439" s="3" t="n">
        <v>3.5</v>
      </c>
      <c r="H439" s="3" t="n">
        <v>2.5</v>
      </c>
      <c r="I439" s="3" t="n">
        <v>2</v>
      </c>
      <c r="J439" s="3" t="n">
        <v>0</v>
      </c>
      <c r="K439" s="3" t="n">
        <v>4.5</v>
      </c>
      <c r="L439" s="3" t="n">
        <v>4</v>
      </c>
      <c r="M439" s="3" t="n">
        <v>4.5</v>
      </c>
      <c r="N439" s="3" t="n">
        <v>4.5</v>
      </c>
    </row>
    <row r="440">
      <c r="A440" s="3" t="inlineStr">
        <is>
          <t>202249620</t>
        </is>
      </c>
      <c r="B440" s="3" t="n">
        <v>4</v>
      </c>
      <c r="C440" s="3" t="inlineStr">
        <is>
          <t>Direct</t>
        </is>
      </c>
      <c r="D440" s="3" t="n">
        <v>3.5</v>
      </c>
      <c r="E440" s="3" t="n">
        <v>0</v>
      </c>
      <c r="F440" s="3" t="n">
        <v>1.5</v>
      </c>
      <c r="G440" s="3" t="n">
        <v>1.5</v>
      </c>
      <c r="H440" s="3" t="n">
        <v>2.25</v>
      </c>
      <c r="I440" s="3" t="n">
        <v>2.25</v>
      </c>
      <c r="J440" s="3" t="n">
        <v>0.75</v>
      </c>
      <c r="K440" s="3" t="n">
        <v>2.5</v>
      </c>
      <c r="L440" s="3" t="n">
        <v>2.5</v>
      </c>
      <c r="M440" s="3" t="n">
        <v>2.5</v>
      </c>
      <c r="N440" s="3" t="n">
        <v>2.5</v>
      </c>
    </row>
    <row r="441">
      <c r="A441" s="3" t="inlineStr">
        <is>
          <t>202249737</t>
        </is>
      </c>
      <c r="B441" s="3" t="n">
        <v>5</v>
      </c>
      <c r="C441" s="3" t="inlineStr">
        <is>
          <t>Direct</t>
        </is>
      </c>
      <c r="D441" s="3" t="n">
        <v>1.2</v>
      </c>
      <c r="E441" s="3" t="n">
        <v>0</v>
      </c>
      <c r="F441" s="3" t="n">
        <v>0</v>
      </c>
      <c r="G441" s="3" t="n">
        <v>0.2</v>
      </c>
      <c r="H441" s="3" t="n">
        <v>0</v>
      </c>
      <c r="I441" s="3" t="n">
        <v>0</v>
      </c>
      <c r="J441" s="3" t="n">
        <v>0</v>
      </c>
      <c r="K441" s="3" t="n">
        <v>0</v>
      </c>
      <c r="L441" s="3" t="n">
        <v>0</v>
      </c>
      <c r="M441" s="3" t="n">
        <v>0</v>
      </c>
      <c r="N441" s="3" t="n">
        <v>0</v>
      </c>
    </row>
    <row r="442">
      <c r="A442" s="3" t="inlineStr">
        <is>
          <t>202254029</t>
        </is>
      </c>
      <c r="B442" s="3" t="n">
        <v>5</v>
      </c>
      <c r="C442" s="3" t="inlineStr">
        <is>
          <t>Direct</t>
        </is>
      </c>
      <c r="D442" s="3" t="n">
        <v>3.2</v>
      </c>
      <c r="E442" s="3" t="n">
        <v>0</v>
      </c>
      <c r="F442" s="3" t="n">
        <v>1.4</v>
      </c>
      <c r="G442" s="3" t="n">
        <v>2</v>
      </c>
      <c r="H442" s="3" t="n">
        <v>4.2</v>
      </c>
      <c r="I442" s="3" t="n">
        <v>0.4</v>
      </c>
      <c r="J442" s="3" t="n">
        <v>0.4</v>
      </c>
      <c r="K442" s="3" t="n">
        <v>3</v>
      </c>
      <c r="L442" s="3" t="n">
        <v>3</v>
      </c>
      <c r="M442" s="3" t="n">
        <v>3</v>
      </c>
      <c r="N442" s="3" t="n">
        <v>3.4</v>
      </c>
    </row>
    <row r="443">
      <c r="A443" s="3" t="inlineStr">
        <is>
          <t>202255372</t>
        </is>
      </c>
      <c r="B443" s="3" t="n">
        <v>3</v>
      </c>
      <c r="C443" s="3" t="inlineStr">
        <is>
          <t>Direct</t>
        </is>
      </c>
      <c r="D443" s="3" t="n">
        <v>3.333333333333333</v>
      </c>
      <c r="E443" s="3" t="n">
        <v>0</v>
      </c>
      <c r="F443" s="3" t="n">
        <v>1.666666666666667</v>
      </c>
      <c r="G443" s="3" t="n">
        <v>1.666666666666667</v>
      </c>
      <c r="H443" s="3" t="n">
        <v>2</v>
      </c>
      <c r="I443" s="3" t="n">
        <v>2.666666666666667</v>
      </c>
      <c r="J443" s="3" t="n">
        <v>0.6666666666666666</v>
      </c>
      <c r="K443" s="3" t="n">
        <v>3</v>
      </c>
      <c r="L443" s="3" t="n">
        <v>3</v>
      </c>
      <c r="M443" s="3" t="n">
        <v>3.333333333333333</v>
      </c>
      <c r="N443" s="3" t="n">
        <v>3.333333333333333</v>
      </c>
    </row>
    <row r="444">
      <c r="A444" s="3" t="inlineStr">
        <is>
          <t>202256422</t>
        </is>
      </c>
      <c r="B444" s="3" t="n">
        <v>8</v>
      </c>
      <c r="C444" s="3" t="inlineStr">
        <is>
          <t>Direct</t>
        </is>
      </c>
      <c r="D444" s="3" t="n">
        <v>6.125</v>
      </c>
      <c r="E444" s="3" t="n">
        <v>0</v>
      </c>
      <c r="F444" s="3" t="n">
        <v>3.125</v>
      </c>
      <c r="G444" s="3" t="n">
        <v>5.875</v>
      </c>
      <c r="H444" s="3" t="n">
        <v>4.375</v>
      </c>
      <c r="I444" s="3" t="n">
        <v>6.75</v>
      </c>
      <c r="J444" s="3" t="n">
        <v>7.75</v>
      </c>
      <c r="K444" s="3" t="n">
        <v>5.875</v>
      </c>
      <c r="L444" s="3" t="n">
        <v>6</v>
      </c>
      <c r="M444" s="3" t="n">
        <v>7.5</v>
      </c>
      <c r="N444" s="3" t="n">
        <v>6.25</v>
      </c>
    </row>
    <row r="445">
      <c r="A445" s="3" t="inlineStr">
        <is>
          <t>202258736</t>
        </is>
      </c>
      <c r="B445" s="3" t="n">
        <v>4</v>
      </c>
      <c r="C445" s="3" t="inlineStr">
        <is>
          <t>Direct</t>
        </is>
      </c>
      <c r="D445" s="3" t="n">
        <v>0</v>
      </c>
      <c r="E445" s="3" t="n">
        <v>0</v>
      </c>
      <c r="F445" s="3" t="n">
        <v>0</v>
      </c>
      <c r="G445" s="3" t="n">
        <v>0</v>
      </c>
      <c r="H445" s="3" t="n">
        <v>0</v>
      </c>
      <c r="I445" s="3" t="n">
        <v>0</v>
      </c>
      <c r="J445" s="3" t="n">
        <v>0</v>
      </c>
      <c r="K445" s="3" t="n">
        <v>0</v>
      </c>
      <c r="L445" s="3" t="n">
        <v>0</v>
      </c>
      <c r="M445" s="3" t="n">
        <v>0</v>
      </c>
      <c r="N445" s="3" t="n">
        <v>0</v>
      </c>
    </row>
    <row r="446">
      <c r="A446" s="3" t="inlineStr">
        <is>
          <t>202260278</t>
        </is>
      </c>
      <c r="B446" s="3" t="n">
        <v>2</v>
      </c>
      <c r="C446" s="3" t="inlineStr">
        <is>
          <t>Direct</t>
        </is>
      </c>
      <c r="D446" s="3" t="n">
        <v>0.5</v>
      </c>
      <c r="E446" s="3" t="n">
        <v>0</v>
      </c>
      <c r="F446" s="3" t="n">
        <v>0.5</v>
      </c>
      <c r="G446" s="3" t="n">
        <v>1</v>
      </c>
      <c r="H446" s="3" t="n">
        <v>0.5</v>
      </c>
      <c r="I446" s="3" t="n">
        <v>0</v>
      </c>
      <c r="J446" s="3" t="n">
        <v>0</v>
      </c>
      <c r="K446" s="3" t="n">
        <v>0</v>
      </c>
      <c r="L446" s="3" t="n">
        <v>3</v>
      </c>
      <c r="M446" s="3" t="n">
        <v>0</v>
      </c>
      <c r="N446" s="3" t="n">
        <v>0</v>
      </c>
    </row>
    <row r="447">
      <c r="A447" s="3" t="inlineStr">
        <is>
          <t>202267250</t>
        </is>
      </c>
      <c r="B447" s="3" t="n">
        <v>4</v>
      </c>
      <c r="C447" s="3" t="inlineStr">
        <is>
          <t>Direct</t>
        </is>
      </c>
      <c r="D447" s="3" t="n">
        <v>6</v>
      </c>
      <c r="E447" s="3" t="n">
        <v>0</v>
      </c>
      <c r="F447" s="3" t="n">
        <v>5.25</v>
      </c>
      <c r="G447" s="3" t="n">
        <v>9</v>
      </c>
      <c r="H447" s="3" t="n">
        <v>7.5</v>
      </c>
      <c r="I447" s="3" t="n">
        <v>9.25</v>
      </c>
      <c r="J447" s="3" t="n">
        <v>3.25</v>
      </c>
      <c r="K447" s="3" t="n">
        <v>9</v>
      </c>
      <c r="L447" s="3" t="n">
        <v>10</v>
      </c>
      <c r="M447" s="3" t="n">
        <v>9.75</v>
      </c>
      <c r="N447" s="3" t="n">
        <v>9.75</v>
      </c>
    </row>
    <row r="448">
      <c r="A448" s="3" t="inlineStr">
        <is>
          <t>20226873</t>
        </is>
      </c>
      <c r="B448" s="3" t="n">
        <v>6</v>
      </c>
      <c r="C448" s="3" t="inlineStr">
        <is>
          <t>Direct</t>
        </is>
      </c>
      <c r="D448" s="3" t="n">
        <v>7</v>
      </c>
      <c r="E448" s="3" t="n">
        <v>0</v>
      </c>
      <c r="F448" s="3" t="n">
        <v>3.833333333333333</v>
      </c>
      <c r="G448" s="3" t="n">
        <v>4.833333333333333</v>
      </c>
      <c r="H448" s="3" t="n">
        <v>6.833333333333333</v>
      </c>
      <c r="I448" s="3" t="n">
        <v>4</v>
      </c>
      <c r="J448" s="3" t="n">
        <v>4</v>
      </c>
      <c r="K448" s="3" t="n">
        <v>6.166666666666667</v>
      </c>
      <c r="L448" s="3" t="n">
        <v>5.166666666666667</v>
      </c>
      <c r="M448" s="3" t="n">
        <v>3.833333333333333</v>
      </c>
      <c r="N448" s="3" t="n">
        <v>3.166666666666667</v>
      </c>
    </row>
    <row r="449">
      <c r="A449" s="3" t="inlineStr">
        <is>
          <t>20227270</t>
        </is>
      </c>
      <c r="B449" s="3" t="n">
        <v>5</v>
      </c>
      <c r="C449" s="3" t="inlineStr">
        <is>
          <t>Direct</t>
        </is>
      </c>
      <c r="D449" s="3" t="n">
        <v>5</v>
      </c>
      <c r="E449" s="3" t="n">
        <v>0</v>
      </c>
      <c r="F449" s="3" t="n">
        <v>5.2</v>
      </c>
      <c r="G449" s="3" t="n">
        <v>5</v>
      </c>
      <c r="H449" s="3" t="n">
        <v>4.8</v>
      </c>
      <c r="I449" s="3" t="n">
        <v>2.8</v>
      </c>
      <c r="J449" s="3" t="n">
        <v>4</v>
      </c>
      <c r="K449" s="3" t="n">
        <v>4.6</v>
      </c>
      <c r="L449" s="3" t="n">
        <v>4.4</v>
      </c>
      <c r="M449" s="3" t="n">
        <v>4</v>
      </c>
      <c r="N449" s="3" t="n">
        <v>4.8</v>
      </c>
    </row>
    <row r="450">
      <c r="A450" s="3" t="inlineStr">
        <is>
          <t>20227316</t>
        </is>
      </c>
      <c r="B450" s="3" t="n">
        <v>5</v>
      </c>
      <c r="C450" s="3" t="inlineStr">
        <is>
          <t>Direct</t>
        </is>
      </c>
      <c r="D450" s="3" t="n">
        <v>0.4</v>
      </c>
      <c r="E450" s="3" t="n">
        <v>0</v>
      </c>
      <c r="F450" s="3" t="n">
        <v>3.8</v>
      </c>
      <c r="G450" s="3" t="n">
        <v>2.8</v>
      </c>
      <c r="H450" s="3" t="n">
        <v>6</v>
      </c>
      <c r="I450" s="3" t="n">
        <v>5.8</v>
      </c>
      <c r="J450" s="3" t="n">
        <v>7.4</v>
      </c>
      <c r="K450" s="3" t="n">
        <v>8.199999999999999</v>
      </c>
      <c r="L450" s="3" t="n">
        <v>8.800000000000001</v>
      </c>
      <c r="M450" s="3" t="n">
        <v>6.4</v>
      </c>
      <c r="N450" s="3" t="n">
        <v>6.8</v>
      </c>
    </row>
    <row r="451">
      <c r="A451" s="3" t="inlineStr">
        <is>
          <t>202274477</t>
        </is>
      </c>
      <c r="B451" s="3" t="n">
        <v>5</v>
      </c>
      <c r="C451" s="3" t="inlineStr">
        <is>
          <t>Direct</t>
        </is>
      </c>
      <c r="D451" s="3" t="n">
        <v>0.8</v>
      </c>
      <c r="E451" s="3" t="n">
        <v>0</v>
      </c>
      <c r="F451" s="3" t="n">
        <v>3.8</v>
      </c>
      <c r="G451" s="3" t="n">
        <v>3.4</v>
      </c>
      <c r="H451" s="3" t="n">
        <v>1.8</v>
      </c>
      <c r="I451" s="3" t="n">
        <v>1.6</v>
      </c>
      <c r="J451" s="3" t="n">
        <v>1.6</v>
      </c>
      <c r="K451" s="3" t="n">
        <v>0.4</v>
      </c>
      <c r="L451" s="3" t="n">
        <v>0.2</v>
      </c>
      <c r="M451" s="3" t="n">
        <v>0.6</v>
      </c>
      <c r="N451" s="3" t="n">
        <v>0</v>
      </c>
    </row>
    <row r="452">
      <c r="A452" s="3" t="inlineStr">
        <is>
          <t>202274760</t>
        </is>
      </c>
      <c r="B452" s="3" t="n">
        <v>8</v>
      </c>
      <c r="C452" s="3" t="inlineStr">
        <is>
          <t>RQ</t>
        </is>
      </c>
      <c r="D452" s="3" t="n">
        <v>6.125</v>
      </c>
      <c r="E452" s="3" t="n">
        <v>0</v>
      </c>
      <c r="F452" s="3" t="n">
        <v>3.75</v>
      </c>
      <c r="G452" s="3" t="n">
        <v>3.5</v>
      </c>
      <c r="H452" s="3" t="n">
        <v>4.875</v>
      </c>
      <c r="I452" s="3" t="n">
        <v>2.5</v>
      </c>
      <c r="J452" s="3" t="n">
        <v>3.75</v>
      </c>
      <c r="K452" s="3" t="n">
        <v>3.125</v>
      </c>
      <c r="L452" s="3" t="n">
        <v>3.375</v>
      </c>
      <c r="M452" s="3" t="n">
        <v>7.125</v>
      </c>
      <c r="N452" s="3" t="n">
        <v>2.875</v>
      </c>
    </row>
    <row r="453">
      <c r="A453" s="3" t="inlineStr">
        <is>
          <t>202275342</t>
        </is>
      </c>
      <c r="B453" s="3" t="n">
        <v>2</v>
      </c>
      <c r="C453" s="3" t="inlineStr">
        <is>
          <t>Direct</t>
        </is>
      </c>
      <c r="D453" s="3" t="n">
        <v>0.5</v>
      </c>
      <c r="E453" s="3" t="n">
        <v>0</v>
      </c>
      <c r="F453" s="3" t="n">
        <v>2</v>
      </c>
      <c r="G453" s="3" t="n">
        <v>7</v>
      </c>
      <c r="H453" s="3" t="n">
        <v>5</v>
      </c>
      <c r="I453" s="3" t="n">
        <v>5</v>
      </c>
      <c r="J453" s="3" t="n">
        <v>5</v>
      </c>
      <c r="K453" s="3" t="n">
        <v>3.5</v>
      </c>
      <c r="L453" s="3" t="n">
        <v>6.5</v>
      </c>
      <c r="M453" s="3" t="n">
        <v>5.5</v>
      </c>
      <c r="N453" s="3" t="n">
        <v>5</v>
      </c>
    </row>
    <row r="454">
      <c r="A454" s="3" t="inlineStr">
        <is>
          <t>20227771</t>
        </is>
      </c>
      <c r="B454" s="3" t="n">
        <v>5</v>
      </c>
      <c r="C454" s="3" t="inlineStr">
        <is>
          <t>Direct</t>
        </is>
      </c>
      <c r="D454" s="3" t="n">
        <v>4.2</v>
      </c>
      <c r="E454" s="3" t="n">
        <v>0</v>
      </c>
      <c r="F454" s="3" t="n">
        <v>3</v>
      </c>
      <c r="G454" s="3" t="n">
        <v>4.6</v>
      </c>
      <c r="H454" s="3" t="n">
        <v>1.4</v>
      </c>
      <c r="I454" s="3" t="n">
        <v>7.4</v>
      </c>
      <c r="J454" s="3" t="n">
        <v>7.2</v>
      </c>
      <c r="K454" s="3" t="n">
        <v>7.6</v>
      </c>
      <c r="L454" s="3" t="n">
        <v>1.4</v>
      </c>
      <c r="M454" s="3" t="n">
        <v>1.8</v>
      </c>
      <c r="N454" s="3" t="n">
        <v>1</v>
      </c>
    </row>
    <row r="455">
      <c r="A455" s="3" t="inlineStr">
        <is>
          <t>202277806</t>
        </is>
      </c>
      <c r="B455" s="3" t="n">
        <v>4</v>
      </c>
      <c r="C455" s="3" t="inlineStr">
        <is>
          <t>Direct</t>
        </is>
      </c>
      <c r="D455" s="3" t="n">
        <v>4</v>
      </c>
      <c r="E455" s="3" t="n">
        <v>0</v>
      </c>
      <c r="F455" s="3" t="n">
        <v>3.25</v>
      </c>
      <c r="G455" s="3" t="n">
        <v>2.25</v>
      </c>
      <c r="H455" s="3" t="n">
        <v>2.25</v>
      </c>
      <c r="I455" s="3" t="n">
        <v>2</v>
      </c>
      <c r="J455" s="3" t="n">
        <v>1.75</v>
      </c>
      <c r="K455" s="3" t="n">
        <v>1.5</v>
      </c>
      <c r="L455" s="3" t="n">
        <v>2.75</v>
      </c>
      <c r="M455" s="3" t="n">
        <v>2.5</v>
      </c>
      <c r="N455" s="3" t="n">
        <v>3</v>
      </c>
    </row>
    <row r="456">
      <c r="A456" s="3" t="inlineStr">
        <is>
          <t>202277907</t>
        </is>
      </c>
      <c r="B456" s="3" t="n">
        <v>3</v>
      </c>
      <c r="C456" s="3" t="inlineStr">
        <is>
          <t>Direct</t>
        </is>
      </c>
      <c r="D456" s="3" t="n">
        <v>3.333333333333333</v>
      </c>
      <c r="E456" s="3" t="n">
        <v>0</v>
      </c>
      <c r="F456" s="3" t="n">
        <v>3</v>
      </c>
      <c r="G456" s="3" t="n">
        <v>2</v>
      </c>
      <c r="H456" s="3" t="n">
        <v>2.333333333333333</v>
      </c>
      <c r="I456" s="3" t="n">
        <v>1.666666666666667</v>
      </c>
      <c r="J456" s="3" t="n">
        <v>3.333333333333333</v>
      </c>
      <c r="K456" s="3" t="n">
        <v>3.333333333333333</v>
      </c>
      <c r="L456" s="3" t="n">
        <v>3.333333333333333</v>
      </c>
      <c r="M456" s="3" t="n">
        <v>3.333333333333333</v>
      </c>
      <c r="N456" s="3" t="n">
        <v>3.333333333333333</v>
      </c>
    </row>
    <row r="457">
      <c r="A457" s="3" t="inlineStr">
        <is>
          <t>202278623</t>
        </is>
      </c>
      <c r="B457" s="3" t="n">
        <v>2</v>
      </c>
      <c r="C457" s="3" t="inlineStr">
        <is>
          <t>Direct</t>
        </is>
      </c>
      <c r="D457" s="3" t="n">
        <v>1.5</v>
      </c>
      <c r="E457" s="3" t="n">
        <v>0</v>
      </c>
      <c r="F457" s="3" t="n">
        <v>1.5</v>
      </c>
      <c r="G457" s="3" t="n">
        <v>1.5</v>
      </c>
      <c r="H457" s="3" t="n">
        <v>2</v>
      </c>
      <c r="I457" s="3" t="n">
        <v>0</v>
      </c>
      <c r="J457" s="3" t="n">
        <v>2</v>
      </c>
      <c r="K457" s="3" t="n">
        <v>6.5</v>
      </c>
      <c r="L457" s="3" t="n">
        <v>0</v>
      </c>
      <c r="M457" s="3" t="n">
        <v>8</v>
      </c>
      <c r="N457" s="3" t="n">
        <v>0</v>
      </c>
    </row>
    <row r="458">
      <c r="A458" s="3" t="inlineStr">
        <is>
          <t>202282692</t>
        </is>
      </c>
      <c r="B458" s="3" t="n">
        <v>2</v>
      </c>
      <c r="C458" s="3" t="inlineStr">
        <is>
          <t>Direct</t>
        </is>
      </c>
      <c r="D458" s="3" t="n">
        <v>0.5</v>
      </c>
      <c r="E458" s="3" t="n">
        <v>0</v>
      </c>
      <c r="F458" s="3" t="n">
        <v>0</v>
      </c>
      <c r="G458" s="3" t="n">
        <v>0</v>
      </c>
      <c r="H458" s="3" t="n">
        <v>0</v>
      </c>
      <c r="I458" s="3" t="n">
        <v>0</v>
      </c>
      <c r="J458" s="3" t="n">
        <v>0</v>
      </c>
      <c r="K458" s="3" t="n">
        <v>0</v>
      </c>
      <c r="L458" s="3" t="n">
        <v>0</v>
      </c>
      <c r="M458" s="3" t="n">
        <v>0</v>
      </c>
      <c r="N458" s="3" t="n">
        <v>0</v>
      </c>
    </row>
    <row r="459">
      <c r="A459" s="3" t="inlineStr">
        <is>
          <t>202282847</t>
        </is>
      </c>
      <c r="B459" s="3" t="n">
        <v>3</v>
      </c>
      <c r="C459" s="3" t="inlineStr">
        <is>
          <t>Direct</t>
        </is>
      </c>
      <c r="D459" s="3" t="n">
        <v>3.333333333333333</v>
      </c>
      <c r="E459" s="3" t="n">
        <v>0</v>
      </c>
      <c r="F459" s="3" t="n">
        <v>1.666666666666667</v>
      </c>
      <c r="G459" s="3" t="n">
        <v>1.333333333333333</v>
      </c>
      <c r="H459" s="3" t="n">
        <v>1.666666666666667</v>
      </c>
      <c r="I459" s="3" t="n">
        <v>0.6666666666666666</v>
      </c>
      <c r="J459" s="3" t="n">
        <v>0.6666666666666666</v>
      </c>
      <c r="K459" s="3" t="n">
        <v>0.6666666666666666</v>
      </c>
      <c r="L459" s="3" t="n">
        <v>3.333333333333333</v>
      </c>
      <c r="M459" s="3" t="n">
        <v>3.333333333333333</v>
      </c>
      <c r="N459" s="3" t="n">
        <v>3.333333333333333</v>
      </c>
    </row>
    <row r="460">
      <c r="A460" s="3" t="inlineStr">
        <is>
          <t>202283531</t>
        </is>
      </c>
      <c r="B460" s="3" t="n">
        <v>4</v>
      </c>
      <c r="C460" s="3" t="inlineStr">
        <is>
          <t>Direct</t>
        </is>
      </c>
      <c r="D460" s="3" t="n">
        <v>0.25</v>
      </c>
      <c r="E460" s="3" t="n">
        <v>0</v>
      </c>
      <c r="F460" s="3" t="n">
        <v>0.75</v>
      </c>
      <c r="G460" s="3" t="n">
        <v>0</v>
      </c>
      <c r="H460" s="3" t="n">
        <v>0.75</v>
      </c>
      <c r="I460" s="3" t="n">
        <v>0.75</v>
      </c>
      <c r="J460" s="3" t="n">
        <v>0</v>
      </c>
      <c r="K460" s="3" t="n">
        <v>0</v>
      </c>
      <c r="L460" s="3" t="n">
        <v>0.25</v>
      </c>
      <c r="M460" s="3" t="n">
        <v>4.5</v>
      </c>
      <c r="N460" s="3" t="n">
        <v>0</v>
      </c>
    </row>
    <row r="461">
      <c r="A461" s="3" t="inlineStr">
        <is>
          <t>202283747</t>
        </is>
      </c>
      <c r="B461" s="3" t="n">
        <v>4</v>
      </c>
      <c r="C461" s="3" t="inlineStr">
        <is>
          <t>Direct</t>
        </is>
      </c>
      <c r="D461" s="3" t="n">
        <v>2.5</v>
      </c>
      <c r="E461" s="3" t="n">
        <v>0</v>
      </c>
      <c r="F461" s="3" t="n">
        <v>1.25</v>
      </c>
      <c r="G461" s="3" t="n">
        <v>2.5</v>
      </c>
      <c r="H461" s="3" t="n">
        <v>2</v>
      </c>
      <c r="I461" s="3" t="n">
        <v>2.25</v>
      </c>
      <c r="J461" s="3" t="n">
        <v>0.5</v>
      </c>
      <c r="K461" s="3" t="n">
        <v>2.5</v>
      </c>
      <c r="L461" s="3" t="n">
        <v>2.5</v>
      </c>
      <c r="M461" s="3" t="n">
        <v>2.25</v>
      </c>
      <c r="N461" s="3" t="n">
        <v>2.25</v>
      </c>
    </row>
    <row r="462">
      <c r="A462" s="3" t="inlineStr">
        <is>
          <t>202285567</t>
        </is>
      </c>
      <c r="B462" s="3" t="n">
        <v>4</v>
      </c>
      <c r="C462" s="3" t="inlineStr">
        <is>
          <t>Direct</t>
        </is>
      </c>
      <c r="D462" s="3" t="n">
        <v>0.25</v>
      </c>
      <c r="E462" s="3" t="n">
        <v>0</v>
      </c>
      <c r="F462" s="3" t="n">
        <v>0</v>
      </c>
      <c r="G462" s="3" t="n">
        <v>0.5</v>
      </c>
      <c r="H462" s="3" t="n">
        <v>1</v>
      </c>
      <c r="I462" s="3" t="n">
        <v>0.5</v>
      </c>
      <c r="J462" s="3" t="n">
        <v>1.5</v>
      </c>
      <c r="K462" s="3" t="n">
        <v>5.25</v>
      </c>
      <c r="L462" s="3" t="n">
        <v>1</v>
      </c>
      <c r="M462" s="3" t="n">
        <v>0</v>
      </c>
      <c r="N462" s="3" t="n">
        <v>0</v>
      </c>
    </row>
    <row r="463">
      <c r="A463" s="3" t="inlineStr">
        <is>
          <t>202290604</t>
        </is>
      </c>
      <c r="B463" s="3" t="n">
        <v>4</v>
      </c>
      <c r="C463" s="3" t="inlineStr">
        <is>
          <t>Direct</t>
        </is>
      </c>
      <c r="D463" s="3" t="n">
        <v>2.75</v>
      </c>
      <c r="E463" s="3" t="n">
        <v>0</v>
      </c>
      <c r="F463" s="3" t="n">
        <v>0</v>
      </c>
      <c r="G463" s="3" t="n">
        <v>0.25</v>
      </c>
      <c r="H463" s="3" t="n">
        <v>1</v>
      </c>
      <c r="I463" s="3" t="n">
        <v>0.25</v>
      </c>
      <c r="J463" s="3" t="n">
        <v>0.25</v>
      </c>
      <c r="K463" s="3" t="n">
        <v>0.5</v>
      </c>
      <c r="L463" s="3" t="n">
        <v>0</v>
      </c>
      <c r="M463" s="3" t="n">
        <v>0</v>
      </c>
      <c r="N463" s="3" t="n">
        <v>0.25</v>
      </c>
    </row>
    <row r="464">
      <c r="A464" s="3" t="inlineStr">
        <is>
          <t>202291185</t>
        </is>
      </c>
      <c r="B464" s="3" t="n">
        <v>5</v>
      </c>
      <c r="C464" s="3" t="inlineStr">
        <is>
          <t>Direct</t>
        </is>
      </c>
      <c r="D464" s="3" t="n">
        <v>0</v>
      </c>
      <c r="E464" s="3" t="n">
        <v>0</v>
      </c>
      <c r="F464" s="3" t="n">
        <v>0</v>
      </c>
      <c r="G464" s="3" t="n">
        <v>0</v>
      </c>
      <c r="H464" s="3" t="n">
        <v>0</v>
      </c>
      <c r="I464" s="3" t="n">
        <v>0</v>
      </c>
      <c r="J464" s="3" t="n">
        <v>0</v>
      </c>
      <c r="K464" s="3" t="n">
        <v>1</v>
      </c>
      <c r="L464" s="3" t="n">
        <v>0</v>
      </c>
      <c r="M464" s="3" t="n">
        <v>0</v>
      </c>
      <c r="N464" s="3" t="n">
        <v>0</v>
      </c>
    </row>
    <row r="465">
      <c r="A465" s="3" t="inlineStr">
        <is>
          <t>202294618</t>
        </is>
      </c>
      <c r="B465" s="3" t="n">
        <v>3</v>
      </c>
      <c r="C465" s="3" t="inlineStr">
        <is>
          <t>Direct</t>
        </is>
      </c>
      <c r="D465" s="3" t="n">
        <v>1.333333333333333</v>
      </c>
      <c r="E465" s="3" t="n">
        <v>0</v>
      </c>
      <c r="F465" s="3" t="n">
        <v>2</v>
      </c>
      <c r="G465" s="3" t="n">
        <v>0</v>
      </c>
      <c r="H465" s="3" t="n">
        <v>0</v>
      </c>
      <c r="I465" s="3" t="n">
        <v>0.6666666666666666</v>
      </c>
      <c r="J465" s="3" t="n">
        <v>0</v>
      </c>
      <c r="K465" s="3" t="n">
        <v>0.6666666666666666</v>
      </c>
      <c r="L465" s="3" t="n">
        <v>0</v>
      </c>
      <c r="M465" s="3" t="n">
        <v>0.3333333333333333</v>
      </c>
      <c r="N465" s="3" t="n">
        <v>0.3333333333333333</v>
      </c>
    </row>
    <row r="466">
      <c r="A466" s="3" t="inlineStr">
        <is>
          <t>202295261</t>
        </is>
      </c>
      <c r="B466" s="3" t="n">
        <v>4</v>
      </c>
      <c r="C466" s="3" t="inlineStr">
        <is>
          <t>Direct</t>
        </is>
      </c>
      <c r="D466" s="3" t="n">
        <v>1.75</v>
      </c>
      <c r="E466" s="3" t="n">
        <v>0</v>
      </c>
      <c r="F466" s="3" t="n">
        <v>0.5</v>
      </c>
      <c r="G466" s="3" t="n">
        <v>0.25</v>
      </c>
      <c r="H466" s="3" t="n">
        <v>0.5</v>
      </c>
      <c r="I466" s="3" t="n">
        <v>1</v>
      </c>
      <c r="J466" s="3" t="n">
        <v>1.25</v>
      </c>
      <c r="K466" s="3" t="n">
        <v>1.5</v>
      </c>
      <c r="L466" s="3" t="n">
        <v>0</v>
      </c>
      <c r="M466" s="3" t="n">
        <v>1.5</v>
      </c>
      <c r="N466" s="3" t="n">
        <v>1.5</v>
      </c>
    </row>
    <row r="467">
      <c r="A467" s="3" t="inlineStr">
        <is>
          <t>202310430</t>
        </is>
      </c>
      <c r="B467" s="3" t="n">
        <v>3</v>
      </c>
      <c r="C467" s="3" t="inlineStr">
        <is>
          <t>Direct</t>
        </is>
      </c>
      <c r="D467" s="3" t="n">
        <v>3.333333333333333</v>
      </c>
      <c r="E467" s="3" t="n">
        <v>0</v>
      </c>
      <c r="F467" s="3" t="n">
        <v>2.333333333333333</v>
      </c>
      <c r="G467" s="3" t="n">
        <v>1.333333333333333</v>
      </c>
      <c r="H467" s="3" t="n">
        <v>2</v>
      </c>
      <c r="I467" s="3" t="n">
        <v>0.3333333333333333</v>
      </c>
      <c r="J467" s="3" t="n">
        <v>1.333333333333333</v>
      </c>
      <c r="K467" s="3" t="n">
        <v>1.333333333333333</v>
      </c>
      <c r="L467" s="3" t="n">
        <v>3</v>
      </c>
      <c r="M467" s="3" t="n">
        <v>1.333333333333333</v>
      </c>
      <c r="N467" s="3" t="n">
        <v>2.666666666666667</v>
      </c>
    </row>
    <row r="468">
      <c r="A468" s="3" t="inlineStr">
        <is>
          <t>2023105949</t>
        </is>
      </c>
      <c r="B468" s="3" t="n">
        <v>3</v>
      </c>
      <c r="C468" s="3" t="inlineStr">
        <is>
          <t>Direct</t>
        </is>
      </c>
      <c r="D468" s="3" t="n">
        <v>2.666666666666667</v>
      </c>
      <c r="E468" s="3" t="n">
        <v>0</v>
      </c>
      <c r="F468" s="3" t="n">
        <v>2</v>
      </c>
      <c r="G468" s="3" t="n">
        <v>2.333333333333333</v>
      </c>
      <c r="H468" s="3" t="n">
        <v>2.333333333333333</v>
      </c>
      <c r="I468" s="3" t="n">
        <v>3</v>
      </c>
      <c r="J468" s="3" t="n">
        <v>3.333333333333333</v>
      </c>
      <c r="K468" s="3" t="n">
        <v>3</v>
      </c>
      <c r="L468" s="3" t="n">
        <v>3.333333333333333</v>
      </c>
      <c r="M468" s="3" t="n">
        <v>3.333333333333333</v>
      </c>
      <c r="N468" s="3" t="n">
        <v>3.333333333333333</v>
      </c>
    </row>
    <row r="469">
      <c r="A469" s="3" t="inlineStr">
        <is>
          <t>2023107549</t>
        </is>
      </c>
      <c r="B469" s="3" t="n">
        <v>3</v>
      </c>
      <c r="C469" s="3" t="inlineStr">
        <is>
          <t>Direct</t>
        </is>
      </c>
      <c r="D469" s="3" t="n">
        <v>2</v>
      </c>
      <c r="E469" s="3" t="n">
        <v>0</v>
      </c>
      <c r="F469" s="3" t="n">
        <v>0.6666666666666666</v>
      </c>
      <c r="G469" s="3" t="n">
        <v>5</v>
      </c>
      <c r="H469" s="3" t="n">
        <v>1</v>
      </c>
      <c r="I469" s="3" t="n">
        <v>1</v>
      </c>
      <c r="J469" s="3" t="n">
        <v>0</v>
      </c>
      <c r="K469" s="3" t="n">
        <v>5.333333333333333</v>
      </c>
      <c r="L469" s="3" t="n">
        <v>6.333333333333333</v>
      </c>
      <c r="M469" s="3" t="n">
        <v>6.333333333333333</v>
      </c>
      <c r="N469" s="3" t="n">
        <v>5.333333333333333</v>
      </c>
    </row>
    <row r="470">
      <c r="A470" s="3" t="inlineStr">
        <is>
          <t>2023108622</t>
        </is>
      </c>
      <c r="B470" s="3" t="n">
        <v>5</v>
      </c>
      <c r="C470" s="3" t="inlineStr">
        <is>
          <t>Direct</t>
        </is>
      </c>
      <c r="D470" s="3" t="n">
        <v>0</v>
      </c>
      <c r="E470" s="3" t="n">
        <v>0</v>
      </c>
      <c r="F470" s="3" t="n">
        <v>0</v>
      </c>
      <c r="G470" s="3" t="n">
        <v>0</v>
      </c>
      <c r="H470" s="3" t="n">
        <v>0</v>
      </c>
      <c r="I470" s="3" t="n">
        <v>0</v>
      </c>
      <c r="J470" s="3" t="n">
        <v>0</v>
      </c>
      <c r="K470" s="3" t="n">
        <v>0</v>
      </c>
      <c r="L470" s="3" t="n">
        <v>0</v>
      </c>
      <c r="M470" s="3" t="n">
        <v>0</v>
      </c>
      <c r="N470" s="3" t="n">
        <v>0</v>
      </c>
    </row>
    <row r="471">
      <c r="A471" s="3" t="inlineStr">
        <is>
          <t>202311924</t>
        </is>
      </c>
      <c r="B471" s="3" t="n">
        <v>6</v>
      </c>
      <c r="C471" s="3" t="inlineStr">
        <is>
          <t>Direct</t>
        </is>
      </c>
      <c r="D471" s="3" t="n">
        <v>5.666666666666667</v>
      </c>
      <c r="E471" s="3" t="n">
        <v>0</v>
      </c>
      <c r="F471" s="3" t="n">
        <v>4.333333333333333</v>
      </c>
      <c r="G471" s="3" t="n">
        <v>3.833333333333333</v>
      </c>
      <c r="H471" s="3" t="n">
        <v>4.5</v>
      </c>
      <c r="I471" s="3" t="n">
        <v>4.833333333333333</v>
      </c>
      <c r="J471" s="3" t="n">
        <v>5.333333333333333</v>
      </c>
      <c r="K471" s="3" t="n">
        <v>5</v>
      </c>
      <c r="L471" s="3" t="n">
        <v>6</v>
      </c>
      <c r="M471" s="3" t="n">
        <v>5.166666666666667</v>
      </c>
      <c r="N471" s="3" t="n">
        <v>5.166666666666667</v>
      </c>
    </row>
    <row r="472">
      <c r="A472" s="3" t="inlineStr">
        <is>
          <t>202312218</t>
        </is>
      </c>
      <c r="B472" s="3" t="n">
        <v>5</v>
      </c>
      <c r="C472" s="3" t="inlineStr">
        <is>
          <t>Direct</t>
        </is>
      </c>
      <c r="D472" s="3" t="n">
        <v>3.2</v>
      </c>
      <c r="E472" s="3" t="n">
        <v>0</v>
      </c>
      <c r="F472" s="3" t="n">
        <v>3.2</v>
      </c>
      <c r="G472" s="3" t="n">
        <v>1.6</v>
      </c>
      <c r="H472" s="3" t="n">
        <v>2</v>
      </c>
      <c r="I472" s="3" t="n">
        <v>1</v>
      </c>
      <c r="J472" s="3" t="n">
        <v>1</v>
      </c>
      <c r="K472" s="3" t="n">
        <v>2.8</v>
      </c>
      <c r="L472" s="3" t="n">
        <v>2.6</v>
      </c>
      <c r="M472" s="3" t="n">
        <v>3.8</v>
      </c>
      <c r="N472" s="3" t="n">
        <v>2.6</v>
      </c>
    </row>
    <row r="473">
      <c r="A473" s="3" t="inlineStr">
        <is>
          <t>20231270</t>
        </is>
      </c>
      <c r="B473" s="3" t="n">
        <v>5</v>
      </c>
      <c r="C473" s="3" t="inlineStr">
        <is>
          <t>Direct</t>
        </is>
      </c>
      <c r="D473" s="3" t="n">
        <v>7</v>
      </c>
      <c r="E473" s="3" t="n">
        <v>0</v>
      </c>
      <c r="F473" s="3" t="n">
        <v>6</v>
      </c>
      <c r="G473" s="3" t="n">
        <v>5</v>
      </c>
      <c r="H473" s="3" t="n">
        <v>5.8</v>
      </c>
      <c r="I473" s="3" t="n">
        <v>6.6</v>
      </c>
      <c r="J473" s="3" t="n">
        <v>6.4</v>
      </c>
      <c r="K473" s="3" t="n">
        <v>6.4</v>
      </c>
      <c r="L473" s="3" t="n">
        <v>6</v>
      </c>
      <c r="M473" s="3" t="n">
        <v>6</v>
      </c>
      <c r="N473" s="3" t="n">
        <v>6</v>
      </c>
    </row>
    <row r="474">
      <c r="A474" s="3" t="inlineStr">
        <is>
          <t>202313525</t>
        </is>
      </c>
      <c r="B474" s="3" t="n">
        <v>9</v>
      </c>
      <c r="C474" s="3" t="inlineStr">
        <is>
          <t>Direct</t>
        </is>
      </c>
      <c r="D474" s="3" t="n">
        <v>5.666666666666667</v>
      </c>
      <c r="E474" s="3" t="n">
        <v>0</v>
      </c>
      <c r="F474" s="3" t="n">
        <v>1.333333333333333</v>
      </c>
      <c r="G474" s="3" t="n">
        <v>3.111111111111111</v>
      </c>
      <c r="H474" s="3" t="n">
        <v>2.333333333333333</v>
      </c>
      <c r="I474" s="3" t="n">
        <v>0.7777777777777778</v>
      </c>
      <c r="J474" s="3" t="n">
        <v>2.888888888888889</v>
      </c>
      <c r="K474" s="3" t="n">
        <v>0.7777777777777778</v>
      </c>
      <c r="L474" s="3" t="n">
        <v>2.666666666666667</v>
      </c>
      <c r="M474" s="3" t="n">
        <v>2.666666666666667</v>
      </c>
      <c r="N474" s="3" t="n">
        <v>4</v>
      </c>
    </row>
    <row r="475">
      <c r="A475" s="3" t="inlineStr">
        <is>
          <t>202315309</t>
        </is>
      </c>
      <c r="B475" s="3" t="n">
        <v>4</v>
      </c>
      <c r="C475" s="3" t="inlineStr">
        <is>
          <t>Direct</t>
        </is>
      </c>
      <c r="D475" s="3" t="n">
        <v>2</v>
      </c>
      <c r="E475" s="3" t="n">
        <v>0</v>
      </c>
      <c r="F475" s="3" t="n">
        <v>0.75</v>
      </c>
      <c r="G475" s="3" t="n">
        <v>1.25</v>
      </c>
      <c r="H475" s="3" t="n">
        <v>2</v>
      </c>
      <c r="I475" s="3" t="n">
        <v>0.5</v>
      </c>
      <c r="J475" s="3" t="n">
        <v>0.25</v>
      </c>
      <c r="K475" s="3" t="n">
        <v>2.25</v>
      </c>
      <c r="L475" s="3" t="n">
        <v>2.25</v>
      </c>
      <c r="M475" s="3" t="n">
        <v>2.25</v>
      </c>
      <c r="N475" s="3" t="n">
        <v>2.5</v>
      </c>
    </row>
    <row r="476">
      <c r="A476" s="3" t="inlineStr">
        <is>
          <t>202316</t>
        </is>
      </c>
      <c r="B476" s="3" t="n">
        <v>9</v>
      </c>
      <c r="C476" s="3" t="inlineStr">
        <is>
          <t>Direct</t>
        </is>
      </c>
      <c r="D476" s="3" t="n">
        <v>3.888888888888889</v>
      </c>
      <c r="E476" s="3" t="n">
        <v>0</v>
      </c>
      <c r="F476" s="3" t="n">
        <v>1.888888888888889</v>
      </c>
      <c r="G476" s="3" t="n">
        <v>2.777777777777778</v>
      </c>
      <c r="H476" s="3" t="n">
        <v>1.111111111111111</v>
      </c>
      <c r="I476" s="3" t="n">
        <v>2.111111111111111</v>
      </c>
      <c r="J476" s="3" t="n">
        <v>0.6666666666666666</v>
      </c>
      <c r="K476" s="3" t="n">
        <v>0.6666666666666666</v>
      </c>
      <c r="L476" s="3" t="n">
        <v>3.111111111111111</v>
      </c>
      <c r="M476" s="3" t="n">
        <v>3.666666666666667</v>
      </c>
      <c r="N476" s="3" t="n">
        <v>3</v>
      </c>
    </row>
    <row r="477">
      <c r="A477" s="3" t="inlineStr">
        <is>
          <t>202320289</t>
        </is>
      </c>
      <c r="B477" s="3" t="n">
        <v>3</v>
      </c>
      <c r="C477" s="3" t="inlineStr">
        <is>
          <t>Direct</t>
        </is>
      </c>
      <c r="D477" s="3" t="n">
        <v>3</v>
      </c>
      <c r="E477" s="3" t="n">
        <v>0</v>
      </c>
      <c r="F477" s="3" t="n">
        <v>2.666666666666667</v>
      </c>
      <c r="G477" s="3" t="n">
        <v>2.333333333333333</v>
      </c>
      <c r="H477" s="3" t="n">
        <v>4</v>
      </c>
      <c r="I477" s="3" t="n">
        <v>0.6666666666666666</v>
      </c>
      <c r="J477" s="3" t="n">
        <v>0.6666666666666666</v>
      </c>
      <c r="K477" s="3" t="n">
        <v>1.333333333333333</v>
      </c>
      <c r="L477" s="3" t="n">
        <v>4.666666666666667</v>
      </c>
      <c r="M477" s="3" t="n">
        <v>4.333333333333333</v>
      </c>
      <c r="N477" s="3" t="n">
        <v>4.666666666666667</v>
      </c>
    </row>
    <row r="478">
      <c r="A478" s="3" t="inlineStr">
        <is>
          <t>202320783</t>
        </is>
      </c>
      <c r="B478" s="3" t="n">
        <v>5</v>
      </c>
      <c r="C478" s="3" t="inlineStr">
        <is>
          <t>Direct</t>
        </is>
      </c>
      <c r="D478" s="3" t="n">
        <v>3.4</v>
      </c>
      <c r="E478" s="3" t="n">
        <v>0</v>
      </c>
      <c r="F478" s="3" t="n">
        <v>1</v>
      </c>
      <c r="G478" s="3" t="n">
        <v>2</v>
      </c>
      <c r="H478" s="3" t="n">
        <v>1.4</v>
      </c>
      <c r="I478" s="3" t="n">
        <v>1.4</v>
      </c>
      <c r="J478" s="3" t="n">
        <v>0.6</v>
      </c>
      <c r="K478" s="3" t="n">
        <v>1.8</v>
      </c>
      <c r="L478" s="3" t="n">
        <v>3.6</v>
      </c>
      <c r="M478" s="3" t="n">
        <v>3.8</v>
      </c>
      <c r="N478" s="3" t="n">
        <v>3</v>
      </c>
    </row>
    <row r="479">
      <c r="A479" s="3" t="inlineStr">
        <is>
          <t>202329076</t>
        </is>
      </c>
      <c r="B479" s="3" t="n">
        <v>3</v>
      </c>
      <c r="C479" s="3" t="inlineStr">
        <is>
          <t>Direct</t>
        </is>
      </c>
      <c r="D479" s="3" t="n">
        <v>4</v>
      </c>
      <c r="E479" s="3" t="n">
        <v>0</v>
      </c>
      <c r="F479" s="3" t="n">
        <v>1.333333333333333</v>
      </c>
      <c r="G479" s="3" t="n">
        <v>1</v>
      </c>
      <c r="H479" s="3" t="n">
        <v>0</v>
      </c>
      <c r="I479" s="3" t="n">
        <v>1</v>
      </c>
      <c r="J479" s="3" t="n">
        <v>0</v>
      </c>
      <c r="K479" s="3" t="n">
        <v>0.3333333333333333</v>
      </c>
      <c r="L479" s="3" t="n">
        <v>0.3333333333333333</v>
      </c>
      <c r="M479" s="3" t="n">
        <v>0</v>
      </c>
      <c r="N479" s="3" t="n">
        <v>0.3333333333333333</v>
      </c>
    </row>
    <row r="480">
      <c r="A480" s="3" t="inlineStr">
        <is>
          <t>202329111</t>
        </is>
      </c>
      <c r="B480" s="3" t="n">
        <v>2</v>
      </c>
      <c r="C480" s="3" t="inlineStr">
        <is>
          <t>Direct</t>
        </is>
      </c>
      <c r="D480" s="3" t="n">
        <v>1</v>
      </c>
      <c r="E480" s="3" t="n">
        <v>0</v>
      </c>
      <c r="F480" s="3" t="n">
        <v>1</v>
      </c>
      <c r="G480" s="3" t="n">
        <v>1</v>
      </c>
      <c r="H480" s="3" t="n">
        <v>0</v>
      </c>
      <c r="I480" s="3" t="n">
        <v>0.5</v>
      </c>
      <c r="J480" s="3" t="n">
        <v>0</v>
      </c>
      <c r="K480" s="3" t="n">
        <v>1</v>
      </c>
      <c r="L480" s="3" t="n">
        <v>1</v>
      </c>
      <c r="M480" s="3" t="n">
        <v>1</v>
      </c>
      <c r="N480" s="3" t="n">
        <v>0</v>
      </c>
    </row>
    <row r="481">
      <c r="A481" s="3" t="inlineStr">
        <is>
          <t>202329610</t>
        </is>
      </c>
      <c r="B481" s="3" t="n">
        <v>3</v>
      </c>
      <c r="C481" s="3" t="inlineStr">
        <is>
          <t>Direct</t>
        </is>
      </c>
      <c r="D481" s="3" t="n">
        <v>3.333333333333333</v>
      </c>
      <c r="E481" s="3" t="n">
        <v>0</v>
      </c>
      <c r="F481" s="3" t="n">
        <v>1</v>
      </c>
      <c r="G481" s="3" t="n">
        <v>3.666666666666667</v>
      </c>
      <c r="H481" s="3" t="n">
        <v>2.666666666666667</v>
      </c>
      <c r="I481" s="3" t="n">
        <v>2</v>
      </c>
      <c r="J481" s="3" t="n">
        <v>0.6666666666666666</v>
      </c>
      <c r="K481" s="3" t="n">
        <v>3.333333333333333</v>
      </c>
      <c r="L481" s="3" t="n">
        <v>3</v>
      </c>
      <c r="M481" s="3" t="n">
        <v>3.333333333333333</v>
      </c>
      <c r="N481" s="3" t="n">
        <v>3.333333333333333</v>
      </c>
    </row>
    <row r="482">
      <c r="A482" s="3" t="inlineStr">
        <is>
          <t>20233957</t>
        </is>
      </c>
      <c r="B482" s="3" t="n">
        <v>5</v>
      </c>
      <c r="C482" s="3" t="inlineStr">
        <is>
          <t>Direct</t>
        </is>
      </c>
      <c r="D482" s="3" t="n">
        <v>4</v>
      </c>
      <c r="E482" s="3" t="n">
        <v>0</v>
      </c>
      <c r="F482" s="3" t="n">
        <v>3</v>
      </c>
      <c r="G482" s="3" t="n">
        <v>3.4</v>
      </c>
      <c r="H482" s="3" t="n">
        <v>1.8</v>
      </c>
      <c r="I482" s="3" t="n">
        <v>3.4</v>
      </c>
      <c r="J482" s="3" t="n">
        <v>2</v>
      </c>
      <c r="K482" s="3" t="n">
        <v>2</v>
      </c>
      <c r="L482" s="3" t="n">
        <v>4.8</v>
      </c>
      <c r="M482" s="3" t="n">
        <v>2.2</v>
      </c>
      <c r="N482" s="3" t="n">
        <v>3.4</v>
      </c>
    </row>
    <row r="483">
      <c r="A483" s="3" t="inlineStr">
        <is>
          <t>202339725</t>
        </is>
      </c>
      <c r="B483" s="3" t="n">
        <v>6</v>
      </c>
      <c r="C483" s="3" t="inlineStr">
        <is>
          <t>Direct</t>
        </is>
      </c>
      <c r="D483" s="3" t="n">
        <v>2.166666666666667</v>
      </c>
      <c r="E483" s="3" t="n">
        <v>0</v>
      </c>
      <c r="F483" s="3" t="n">
        <v>3.166666666666667</v>
      </c>
      <c r="G483" s="3" t="n">
        <v>1</v>
      </c>
      <c r="H483" s="3" t="n">
        <v>0.3333333333333333</v>
      </c>
      <c r="I483" s="3" t="n">
        <v>1.166666666666667</v>
      </c>
      <c r="J483" s="3" t="n">
        <v>0.5</v>
      </c>
      <c r="K483" s="3" t="n">
        <v>4.666666666666667</v>
      </c>
      <c r="L483" s="3" t="n">
        <v>3</v>
      </c>
      <c r="M483" s="3" t="n">
        <v>3</v>
      </c>
      <c r="N483" s="3" t="n">
        <v>2.833333333333333</v>
      </c>
    </row>
    <row r="484">
      <c r="A484" s="3" t="inlineStr">
        <is>
          <t>202343890</t>
        </is>
      </c>
      <c r="B484" s="3" t="n">
        <v>10</v>
      </c>
      <c r="C484" s="3" t="inlineStr">
        <is>
          <t>Direct</t>
        </is>
      </c>
      <c r="D484" s="3" t="n">
        <v>1.7</v>
      </c>
      <c r="E484" s="3" t="n">
        <v>0</v>
      </c>
      <c r="F484" s="3" t="n">
        <v>1</v>
      </c>
      <c r="G484" s="3" t="n">
        <v>1.5</v>
      </c>
      <c r="H484" s="3" t="n">
        <v>1.3</v>
      </c>
      <c r="I484" s="3" t="n">
        <v>1</v>
      </c>
      <c r="J484" s="3" t="n">
        <v>1</v>
      </c>
      <c r="K484" s="3" t="n">
        <v>1.2</v>
      </c>
      <c r="L484" s="3" t="n">
        <v>2.9</v>
      </c>
      <c r="M484" s="3" t="n">
        <v>2.3</v>
      </c>
      <c r="N484" s="3" t="n">
        <v>3.5</v>
      </c>
    </row>
    <row r="485">
      <c r="A485" s="3" t="inlineStr">
        <is>
          <t>202345171</t>
        </is>
      </c>
      <c r="B485" s="3" t="n">
        <v>10</v>
      </c>
      <c r="C485" s="3" t="inlineStr">
        <is>
          <t>Direct</t>
        </is>
      </c>
      <c r="D485" s="3" t="n">
        <v>1.6</v>
      </c>
      <c r="E485" s="3" t="n">
        <v>0</v>
      </c>
      <c r="F485" s="3" t="n">
        <v>1.6</v>
      </c>
      <c r="G485" s="3" t="n">
        <v>1.3</v>
      </c>
      <c r="H485" s="3" t="n">
        <v>1</v>
      </c>
      <c r="I485" s="3" t="n">
        <v>1</v>
      </c>
      <c r="J485" s="3" t="n">
        <v>2.9</v>
      </c>
      <c r="K485" s="3" t="n">
        <v>2.7</v>
      </c>
      <c r="L485" s="3" t="n">
        <v>2.6</v>
      </c>
      <c r="M485" s="3" t="n">
        <v>4.2</v>
      </c>
      <c r="N485" s="3" t="n">
        <v>3</v>
      </c>
    </row>
    <row r="486">
      <c r="A486" s="3" t="inlineStr">
        <is>
          <t>20234548</t>
        </is>
      </c>
      <c r="B486" s="3" t="n">
        <v>8</v>
      </c>
      <c r="C486" s="3" t="inlineStr">
        <is>
          <t>Direct</t>
        </is>
      </c>
      <c r="D486" s="3" t="n">
        <v>4.5</v>
      </c>
      <c r="E486" s="3" t="n">
        <v>0</v>
      </c>
      <c r="F486" s="3" t="n">
        <v>1.75</v>
      </c>
      <c r="G486" s="3" t="n">
        <v>2.625</v>
      </c>
      <c r="H486" s="3" t="n">
        <v>0.625</v>
      </c>
      <c r="I486" s="3" t="n">
        <v>1.625</v>
      </c>
      <c r="J486" s="3" t="n">
        <v>1.125</v>
      </c>
      <c r="K486" s="3" t="n">
        <v>3.625</v>
      </c>
      <c r="L486" s="3" t="n">
        <v>3.25</v>
      </c>
      <c r="M486" s="3" t="n">
        <v>3.5</v>
      </c>
      <c r="N486" s="3" t="n">
        <v>4.75</v>
      </c>
    </row>
    <row r="487">
      <c r="A487" s="3" t="inlineStr">
        <is>
          <t>202346773</t>
        </is>
      </c>
      <c r="B487" s="3" t="n">
        <v>3</v>
      </c>
      <c r="C487" s="3" t="inlineStr">
        <is>
          <t>Direct</t>
        </is>
      </c>
      <c r="D487" s="3" t="n">
        <v>0</v>
      </c>
      <c r="E487" s="3" t="n">
        <v>0</v>
      </c>
      <c r="F487" s="3" t="n">
        <v>0.3333333333333333</v>
      </c>
      <c r="G487" s="3" t="n">
        <v>0.3333333333333333</v>
      </c>
      <c r="H487" s="3" t="n">
        <v>0</v>
      </c>
      <c r="I487" s="3" t="n">
        <v>0</v>
      </c>
      <c r="J487" s="3" t="n">
        <v>1</v>
      </c>
      <c r="K487" s="3" t="n">
        <v>0</v>
      </c>
      <c r="L487" s="3" t="n">
        <v>0.3333333333333333</v>
      </c>
      <c r="M487" s="3" t="n">
        <v>0.3333333333333333</v>
      </c>
      <c r="N487" s="3" t="n">
        <v>0</v>
      </c>
    </row>
    <row r="488">
      <c r="A488" s="3" t="inlineStr">
        <is>
          <t>202348261</t>
        </is>
      </c>
      <c r="B488" s="3" t="n">
        <v>3</v>
      </c>
      <c r="C488" s="3" t="inlineStr">
        <is>
          <t>Direct</t>
        </is>
      </c>
      <c r="D488" s="3" t="n">
        <v>3</v>
      </c>
      <c r="E488" s="3" t="n">
        <v>0</v>
      </c>
      <c r="F488" s="3" t="n">
        <v>2.666666666666667</v>
      </c>
      <c r="G488" s="3" t="n">
        <v>1.666666666666667</v>
      </c>
      <c r="H488" s="3" t="n">
        <v>1.666666666666667</v>
      </c>
      <c r="I488" s="3" t="n">
        <v>1.333333333333333</v>
      </c>
      <c r="J488" s="3" t="n">
        <v>1</v>
      </c>
      <c r="K488" s="3" t="n">
        <v>2.666666666666667</v>
      </c>
      <c r="L488" s="3" t="n">
        <v>3</v>
      </c>
      <c r="M488" s="3" t="n">
        <v>4</v>
      </c>
      <c r="N488" s="3" t="n">
        <v>3.333333333333333</v>
      </c>
    </row>
    <row r="489">
      <c r="A489" s="3" t="inlineStr">
        <is>
          <t>202357536</t>
        </is>
      </c>
      <c r="B489" s="3" t="n">
        <v>7</v>
      </c>
      <c r="C489" s="3" t="inlineStr">
        <is>
          <t>Direct</t>
        </is>
      </c>
      <c r="D489" s="3" t="n">
        <v>2.857142857142857</v>
      </c>
      <c r="E489" s="3" t="n">
        <v>0</v>
      </c>
      <c r="F489" s="3" t="n">
        <v>1.857142857142857</v>
      </c>
      <c r="G489" s="3" t="n">
        <v>1.571428571428571</v>
      </c>
      <c r="H489" s="3" t="n">
        <v>1.285714285714286</v>
      </c>
      <c r="I489" s="3" t="n">
        <v>1.285714285714286</v>
      </c>
      <c r="J489" s="3" t="n">
        <v>0.8571428571428571</v>
      </c>
      <c r="K489" s="3" t="n">
        <v>1.857142857142857</v>
      </c>
      <c r="L489" s="3" t="n">
        <v>1</v>
      </c>
      <c r="M489" s="3" t="n">
        <v>3</v>
      </c>
      <c r="N489" s="3" t="n">
        <v>2.714285714285714</v>
      </c>
    </row>
    <row r="490">
      <c r="A490" s="3" t="inlineStr">
        <is>
          <t>202366156</t>
        </is>
      </c>
      <c r="B490" s="3" t="n">
        <v>9</v>
      </c>
      <c r="C490" s="3" t="inlineStr">
        <is>
          <t>Direct</t>
        </is>
      </c>
      <c r="D490" s="3" t="n">
        <v>2.666666666666667</v>
      </c>
      <c r="E490" s="3" t="n">
        <v>0</v>
      </c>
      <c r="F490" s="3" t="n">
        <v>1.888888888888889</v>
      </c>
      <c r="G490" s="3" t="n">
        <v>1</v>
      </c>
      <c r="H490" s="3" t="n">
        <v>1.111111111111111</v>
      </c>
      <c r="I490" s="3" t="n">
        <v>2.888888888888889</v>
      </c>
      <c r="J490" s="3" t="n">
        <v>0.5555555555555556</v>
      </c>
      <c r="K490" s="3" t="n">
        <v>2.444444444444445</v>
      </c>
      <c r="L490" s="3" t="n">
        <v>3.111111111111111</v>
      </c>
      <c r="M490" s="3" t="n">
        <v>2.555555555555555</v>
      </c>
      <c r="N490" s="3" t="n">
        <v>2.444444444444445</v>
      </c>
    </row>
    <row r="491">
      <c r="A491" s="3" t="inlineStr">
        <is>
          <t>202374892</t>
        </is>
      </c>
      <c r="B491" s="3" t="n">
        <v>3</v>
      </c>
      <c r="C491" s="3" t="inlineStr">
        <is>
          <t>Direct</t>
        </is>
      </c>
      <c r="D491" s="3" t="n">
        <v>3</v>
      </c>
      <c r="E491" s="3" t="n">
        <v>0</v>
      </c>
      <c r="F491" s="3" t="n">
        <v>1.666666666666667</v>
      </c>
      <c r="G491" s="3" t="n">
        <v>0.6666666666666666</v>
      </c>
      <c r="H491" s="3" t="n">
        <v>2</v>
      </c>
      <c r="I491" s="3" t="n">
        <v>0</v>
      </c>
      <c r="J491" s="3" t="n">
        <v>1.333333333333333</v>
      </c>
      <c r="K491" s="3" t="n">
        <v>1.666666666666667</v>
      </c>
      <c r="L491" s="3" t="n">
        <v>2.666666666666667</v>
      </c>
      <c r="M491" s="3" t="n">
        <v>3.333333333333333</v>
      </c>
      <c r="N491" s="3" t="n">
        <v>3.333333333333333</v>
      </c>
    </row>
    <row r="492">
      <c r="A492" s="3" t="inlineStr">
        <is>
          <t>202380545</t>
        </is>
      </c>
      <c r="B492" s="3" t="n">
        <v>5</v>
      </c>
      <c r="C492" s="3" t="inlineStr">
        <is>
          <t>Direct</t>
        </is>
      </c>
      <c r="D492" s="3" t="n">
        <v>7.4</v>
      </c>
      <c r="E492" s="3" t="n">
        <v>0</v>
      </c>
      <c r="F492" s="3" t="n">
        <v>4.6</v>
      </c>
      <c r="G492" s="3" t="n">
        <v>6.6</v>
      </c>
      <c r="H492" s="3" t="n">
        <v>2.4</v>
      </c>
      <c r="I492" s="3" t="n">
        <v>2.8</v>
      </c>
      <c r="J492" s="3" t="n">
        <v>4.2</v>
      </c>
      <c r="K492" s="3" t="n">
        <v>6.4</v>
      </c>
      <c r="L492" s="3" t="n">
        <v>2</v>
      </c>
      <c r="M492" s="3" t="n">
        <v>4.2</v>
      </c>
      <c r="N492" s="3" t="n">
        <v>1.2</v>
      </c>
    </row>
    <row r="493">
      <c r="A493" s="3" t="inlineStr">
        <is>
          <t>202381089</t>
        </is>
      </c>
      <c r="B493" s="3" t="n">
        <v>5</v>
      </c>
      <c r="C493" s="3" t="inlineStr">
        <is>
          <t>Direct</t>
        </is>
      </c>
      <c r="D493" s="3" t="n">
        <v>3.8</v>
      </c>
      <c r="E493" s="3" t="n">
        <v>0</v>
      </c>
      <c r="F493" s="3" t="n">
        <v>1.6</v>
      </c>
      <c r="G493" s="3" t="n">
        <v>2.4</v>
      </c>
      <c r="H493" s="3" t="n">
        <v>1.2</v>
      </c>
      <c r="I493" s="3" t="n">
        <v>0.8</v>
      </c>
      <c r="J493" s="3" t="n">
        <v>1.2</v>
      </c>
      <c r="K493" s="3" t="n">
        <v>3</v>
      </c>
      <c r="L493" s="3" t="n">
        <v>3.8</v>
      </c>
      <c r="M493" s="3" t="n">
        <v>3.8</v>
      </c>
      <c r="N493" s="3" t="n">
        <v>3.8</v>
      </c>
    </row>
    <row r="494">
      <c r="A494" s="3" t="inlineStr">
        <is>
          <t>202384809</t>
        </is>
      </c>
      <c r="B494" s="3" t="n">
        <v>1</v>
      </c>
      <c r="C494" s="3" t="inlineStr">
        <is>
          <t>Direct</t>
        </is>
      </c>
      <c r="D494" s="3" t="n">
        <v>10</v>
      </c>
      <c r="E494" s="3" t="n">
        <v>0</v>
      </c>
      <c r="F494" s="3" t="n">
        <v>4</v>
      </c>
      <c r="G494" s="3" t="n">
        <v>1</v>
      </c>
      <c r="H494" s="3" t="n">
        <v>3</v>
      </c>
      <c r="I494" s="3" t="n">
        <v>9</v>
      </c>
      <c r="J494" s="3" t="n">
        <v>9</v>
      </c>
      <c r="K494" s="3" t="n">
        <v>10</v>
      </c>
      <c r="L494" s="3" t="n">
        <v>9</v>
      </c>
      <c r="M494" s="3" t="n">
        <v>10</v>
      </c>
      <c r="N494" s="3" t="n">
        <v>10</v>
      </c>
    </row>
    <row r="495">
      <c r="A495" s="3" t="inlineStr">
        <is>
          <t>202391713</t>
        </is>
      </c>
      <c r="B495" s="3" t="n">
        <v>3</v>
      </c>
      <c r="C495" s="3" t="inlineStr">
        <is>
          <t>Direct</t>
        </is>
      </c>
      <c r="D495" s="3" t="n">
        <v>2.666666666666667</v>
      </c>
      <c r="E495" s="3" t="n">
        <v>0</v>
      </c>
      <c r="F495" s="3" t="n">
        <v>2.333333333333333</v>
      </c>
      <c r="G495" s="3" t="n">
        <v>1.333333333333333</v>
      </c>
      <c r="H495" s="3" t="n">
        <v>2.666666666666667</v>
      </c>
      <c r="I495" s="3" t="n">
        <v>1.333333333333333</v>
      </c>
      <c r="J495" s="3" t="n">
        <v>1.666666666666667</v>
      </c>
      <c r="K495" s="3" t="n">
        <v>1</v>
      </c>
      <c r="L495" s="3" t="n">
        <v>3</v>
      </c>
      <c r="M495" s="3" t="n">
        <v>3.333333333333333</v>
      </c>
      <c r="N495" s="3" t="n">
        <v>4.333333333333333</v>
      </c>
    </row>
    <row r="496">
      <c r="A496" s="3" t="inlineStr">
        <is>
          <t>202392990</t>
        </is>
      </c>
      <c r="B496" s="3" t="n">
        <v>3</v>
      </c>
      <c r="C496" s="3" t="inlineStr">
        <is>
          <t>Direct</t>
        </is>
      </c>
      <c r="D496" s="3" t="n">
        <v>0</v>
      </c>
      <c r="E496" s="3" t="n">
        <v>0</v>
      </c>
      <c r="F496" s="3" t="n">
        <v>1</v>
      </c>
      <c r="G496" s="3" t="n">
        <v>0</v>
      </c>
      <c r="H496" s="3" t="n">
        <v>0</v>
      </c>
      <c r="I496" s="3" t="n">
        <v>0</v>
      </c>
      <c r="J496" s="3" t="n">
        <v>0</v>
      </c>
      <c r="K496" s="3" t="n">
        <v>0</v>
      </c>
      <c r="L496" s="3" t="n">
        <v>0</v>
      </c>
      <c r="M496" s="3" t="n">
        <v>0.3333333333333333</v>
      </c>
      <c r="N496" s="3" t="n">
        <v>0.3333333333333333</v>
      </c>
    </row>
    <row r="497">
      <c r="A497" s="3" t="inlineStr">
        <is>
          <t>202398477</t>
        </is>
      </c>
      <c r="B497" s="3" t="n">
        <v>4</v>
      </c>
      <c r="C497" s="3" t="inlineStr">
        <is>
          <t>Direct</t>
        </is>
      </c>
      <c r="D497" s="3" t="n">
        <v>2.25</v>
      </c>
      <c r="E497" s="3" t="n">
        <v>0</v>
      </c>
      <c r="F497" s="3" t="n">
        <v>1.75</v>
      </c>
      <c r="G497" s="3" t="n">
        <v>1.75</v>
      </c>
      <c r="H497" s="3" t="n">
        <v>2.25</v>
      </c>
      <c r="I497" s="3" t="n">
        <v>1.5</v>
      </c>
      <c r="J497" s="3" t="n">
        <v>0.75</v>
      </c>
      <c r="K497" s="3" t="n">
        <v>2.25</v>
      </c>
      <c r="L497" s="3" t="n">
        <v>2.5</v>
      </c>
      <c r="M497" s="3" t="n">
        <v>2.75</v>
      </c>
      <c r="N497" s="3" t="n">
        <v>2.5</v>
      </c>
    </row>
    <row r="498">
      <c r="A498" s="3" t="inlineStr">
        <is>
          <t>202415819</t>
        </is>
      </c>
      <c r="B498" s="3" t="n">
        <v>6</v>
      </c>
      <c r="C498" s="3" t="inlineStr">
        <is>
          <t>Direct</t>
        </is>
      </c>
      <c r="D498" s="3" t="n">
        <v>2.5</v>
      </c>
      <c r="E498" s="3" t="n">
        <v>0</v>
      </c>
      <c r="F498" s="3" t="n">
        <v>2.333333333333333</v>
      </c>
      <c r="G498" s="3" t="n">
        <v>2.5</v>
      </c>
      <c r="H498" s="3" t="n">
        <v>2.166666666666667</v>
      </c>
      <c r="I498" s="3" t="n">
        <v>4.166666666666667</v>
      </c>
      <c r="J498" s="3" t="n">
        <v>1.833333333333333</v>
      </c>
      <c r="K498" s="3" t="n">
        <v>0.5</v>
      </c>
      <c r="L498" s="3" t="n">
        <v>0.5</v>
      </c>
      <c r="M498" s="3" t="n">
        <v>1.333333333333333</v>
      </c>
      <c r="N498" s="3" t="n">
        <v>0.1666666666666667</v>
      </c>
    </row>
    <row r="499">
      <c r="A499" s="3" t="inlineStr">
        <is>
          <t>20243239</t>
        </is>
      </c>
      <c r="B499" s="3" t="n">
        <v>5</v>
      </c>
      <c r="C499" s="3" t="inlineStr">
        <is>
          <t>Direct</t>
        </is>
      </c>
      <c r="D499" s="3" t="n">
        <v>2.2</v>
      </c>
      <c r="E499" s="3" t="n">
        <v>0</v>
      </c>
      <c r="F499" s="3" t="n">
        <v>2</v>
      </c>
      <c r="G499" s="3" t="n">
        <v>4.4</v>
      </c>
      <c r="H499" s="3" t="n">
        <v>2.2</v>
      </c>
      <c r="I499" s="3" t="n">
        <v>1.2</v>
      </c>
      <c r="J499" s="3" t="n">
        <v>2.2</v>
      </c>
      <c r="K499" s="3" t="n">
        <v>3.4</v>
      </c>
      <c r="L499" s="3" t="n">
        <v>3.2</v>
      </c>
      <c r="M499" s="3" t="n">
        <v>4</v>
      </c>
      <c r="N499" s="3" t="n">
        <v>2.8</v>
      </c>
    </row>
    <row r="500">
      <c r="A500" s="3" t="inlineStr">
        <is>
          <t>202432881</t>
        </is>
      </c>
      <c r="B500" s="3" t="n">
        <v>6</v>
      </c>
      <c r="C500" s="3" t="inlineStr">
        <is>
          <t>Direct</t>
        </is>
      </c>
      <c r="D500" s="3" t="n">
        <v>3</v>
      </c>
      <c r="E500" s="3" t="n">
        <v>0</v>
      </c>
      <c r="F500" s="3" t="n">
        <v>2</v>
      </c>
      <c r="G500" s="3" t="n">
        <v>1.333333333333333</v>
      </c>
      <c r="H500" s="3" t="n">
        <v>2.666666666666667</v>
      </c>
      <c r="I500" s="3" t="n">
        <v>2</v>
      </c>
      <c r="J500" s="3" t="n">
        <v>0.8333333333333334</v>
      </c>
      <c r="K500" s="3" t="n">
        <v>2.333333333333333</v>
      </c>
      <c r="L500" s="3" t="n">
        <v>3.166666666666667</v>
      </c>
      <c r="M500" s="3" t="n">
        <v>3.166666666666667</v>
      </c>
      <c r="N500" s="3" t="n">
        <v>3.833333333333333</v>
      </c>
    </row>
    <row r="501">
      <c r="A501" s="3" t="inlineStr">
        <is>
          <t>20246350</t>
        </is>
      </c>
      <c r="B501" s="3" t="n">
        <v>5</v>
      </c>
      <c r="C501" s="3" t="inlineStr">
        <is>
          <t>Direct</t>
        </is>
      </c>
      <c r="D501" s="3" t="n">
        <v>5.8</v>
      </c>
      <c r="E501" s="3" t="n">
        <v>0</v>
      </c>
      <c r="F501" s="3" t="n">
        <v>5.8</v>
      </c>
      <c r="G501" s="3" t="n">
        <v>4.6</v>
      </c>
      <c r="H501" s="3" t="n">
        <v>4.8</v>
      </c>
      <c r="I501" s="3" t="n">
        <v>1.4</v>
      </c>
      <c r="J501" s="3" t="n">
        <v>8.6</v>
      </c>
      <c r="K501" s="3" t="n">
        <v>6.4</v>
      </c>
      <c r="L501" s="3" t="n">
        <v>7.2</v>
      </c>
      <c r="M501" s="3" t="n">
        <v>8.199999999999999</v>
      </c>
      <c r="N501" s="3" t="n">
        <v>8</v>
      </c>
    </row>
  </sheetData>
  <dataValidations count="3">
    <dataValidation sqref="C2 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C202 C203 C204 C205 C206 C207 C208 C209 C210 C211 C212 C213 C214 C215 C216 C217 C218 C219 C220 C221 C222 C223 C224 C225 C226 C227 C228 C229 C230 C231 C232 C233 C234 C235 C236 C237 C238 C239 C240 C241 C242 C243 C244 C245 C246 C247 C248 C249 C250 C251 C252 C253 C254 C255 C256 C257 C258 C259 C260 C261 C262 C263 C264 C265 C266 C267 C268 C269 C270 C271 C272 C273 C274 C275 C276 C277 C278 C279 C280 C281 C282 C283 C284 C285 C286 C287 C288 C289 C290 C291 C292 C293 C294 C295 C296 C297 C298 C299 C300 C301 C302 C303 C304 C305 C306 C307 C308 C309 C310 C311 C312 C313 C314 C315 C316 C317 C318 C319 C320 C321 C322 C323 C324 C325 C326 C327 C328 C329 C330 C331 C332 C333 C334 C335 C336 C337 C338 C339 C340 C341 C342 C343 C344 C345 C346 C347 C348 C349 C350 C351 C352 C353 C354 C355 C356 C357 C358 C359 C360 C361 C362 C363 C364 C365 C366 C367 C368 C369 C370 C371 C372 C373 C374 C375 C376 C377 C378 C379 C380 C381 C382 C383 C384 C385 C386 C387 C388 C389 C390 C391 C392 C393 C394 C395 C396 C397 C398 C399 C400 C401 C402 C403 C404 C405 C406 C407 C408 C409 C410 C411 C412 C413 C414 C415 C416 C417 C418 C419 C420 C421 C422 C423 C424 C425 C426 C427 C428 C429 C430 C431 C432 C433 C434 C435 C436 C437 C438 C439 C440 C441 C442 C443 C444 C445 C446 C447 C448 C449 C450 C451 C452 C453 C454 C455 C456 C457 C458 C459 C460 C461 C462 C463 C464 C465 C466 C467 C468 C469 C470 C471 C472 C473 C474 C475 C476 C477 C478 C479 C480 C481 C482 C483 C484 C485 C486 C487 C488 C489 C490 C491 C492 C493 C494 C495 C496 C497 C498 C499 C500 C501" showDropDown="0" showInputMessage="0" showErrorMessage="0" allowBlank="1" type="list">
      <formula1>"Direct,RQ"</formula1>
    </dataValidation>
    <dataValidation sqref="D2 D3 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D202 D203 D204 D205 D206 D207 D208 D209 D210 D211 D212 D213 D214 D215 D216 D217 D218 D219 D220 D221 D222 D223 D224 D225 D226 D227 D228 D229 D230 D231 D232 D233 D234 D235 D236 D237 D238 D239 D240 D241 D242 D243 D244 D245 D246 D247 D248 D249 D250 D251 D252 D253 D254 D255 D256 D257 D258 D259 D260 D261 D262 D263 D264 D265 D266 D267 D268 D269 D270 D271 D272 D273 D274 D275 D276 D277 D278 D279 D280 D281 D282 D283 D284 D285 D286 D287 D288 D289 D290 D291 D292 D293 D294 D295 D296 D297 D298 D299 D300 D301 D302 D303 D304 D305 D306 D307 D308 D309 D310 D311 D312 D313 D314 D315 D316 D317 D318 D319 D320 D321 D322 D323 D324 D325 D326 D327 D328 D329 D330 D331 D332 D333 D334 D335 D336 D337 D338 D339 D340 D341 D342 D343 D344 D345 D346 D347 D348 D349 D350 D351 D352 D353 D354 D355 D356 D357 D358 D359 D360 D361 D362 D363 D364 D365 D366 D367 D368 D369 D370 D371 D372 D373 D374 D375 D376 D377 D378 D379 D380 D381 D382 D383 D384 D385 D386 D387 D388 D389 D390 D391 D392 D393 D394 D395 D396 D397 D398 D399 D400 D401 D402 D403 D404 D405 D406 D407 D408 D409 D410 D411 D412 D413 D414 D415 D416 D417 D418 D419 D420 D421 D422 D423 D424 D425 D426 D427 D428 D429 D430 D431 D432 D433 D434 D435 D436 D437 D438 D439 D440 D441 D442 D443 D444 D445 D446 D447 D448 D449 D450 D451 D452 D453 D454 D455 D456 D457 D458 D459 D460 D461 D462 D463 D464 D465 D466 D467 D468 D469 D470 D471 D472 D473 D474 D475 D476 D477 D478 D479 D480 D481 D482 D483 D484 D485 D486 D487 D488 D489 D490 D491 D492 D493 D494 D495 D496 D497 D498 D499 D500 D501 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E202 E203 E204 E205 E206 E207 E208 E209 E210 E211 E212 E213 E214 E215 E216 E217 E218 E219 E220 E221 E222 E223 E224 E225 E226 E227 E228 E229 E230 E231 E232 E233 E234 E235 E236 E237 E238 E239 E240 E241 E242 E243 E244 E245 E246 E247 E248 E249 E250 E251 E252 E253 E254 E255 E256 E257 E258 E259 E260 E261 E262 E263 E264 E265 E266 E267 E268 E269 E270 E271 E272 E273 E274 E275 E276 E277 E278 E279 E280 E281 E282 E283 E284 E285 E286 E287 E288 E289 E290 E291 E292 E293 E294 E295 E296 E297 E298 E299 E300 E301 E302 E303 E304 E305 E306 E307 E308 E309 E310 E311 E312 E313 E314 E315 E316 E317 E318 E319 E320 E321 E322 E323 E324 E325 E326 E327 E328 E329 E330 E331 E332 E333 E334 E335 E336 E337 E338 E339 E340 E341 E342 E343 E344 E345 E346 E347 E348 E349 E350 E351 E352 E353 E354 E355 E356 E357 E358 E359 E360 E361 E362 E363 E364 E365 E366 E367 E368 E369 E370 E371 E372 E373 E374 E375 E376 E377 E378 E379 E380 E381 E382 E383 E384 E385 E386 E387 E388 E389 E390 E391 E392 E393 E394 E395 E396 E397 E398 E399 E400 E401 E402 E403 E404 E405 E406 E407 E408 E409 E410 E411 E412 E413 E414 E415 E416 E417 E418 E419 E420 E421 E422 E423 E424 E425 E426 E427 E428 E429 E430 E431 E432 E433 E434 E435 E436 E437 E438 E439 E440 E441 E442 E443 E444 E445 E446 E447 E448 E449 E450 E451 E452 E453 E454 E455 E456 E457 E458 E459 E460 E461 E462 E463 E464 E465 E466 E467 E468 E469 E470 E471 E472 E473 E474 E475 E476 E477 E478 E479 E480 E481 E482 E483 E484 E485 E486 E487 E488 E489 E490 E491 E492 E493 E494 E495 E496 E497 E498 E499 E500 E501 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F202 F203 F204 F205 F206 F207 F208 F209 F210 F211 F212 F213 F214 F215 F216 F217 F218 F219 F220 F221 F222 F223 F224 F225 F226 F227 F228 F229 F230 F231 F232 F233 F234 F235 F236 F237 F238 F239 F240 F241 F242 F243 F244 F245 F246 F247 F248 F249 F250 F251 F252 F253 F254 F255 F256 F257 F258 F259 F260 F261 F262 F263 F264 F265 F266 F267 F268 F269 F270 F271 F272 F273 F274 F275 F276 F277 F278 F279 F280 F281 F282 F283 F284 F285 F286 F287 F288 F289 F290 F291 F292 F293 F294 F295 F296 F297 F298 F299 F300 F301 F302 F303 F304 F305 F306 F307 F308 F309 F310 F311 F312 F313 F314 F315 F316 F317 F318 F319 F320 F321 F322 F323 F324 F325 F326 F327 F328 F329 F330 F331 F332 F333 F334 F335 F336 F337 F338 F339 F340 F341 F342 F343 F344 F345 F346 F347 F348 F349 F350 F351 F352 F353 F354 F355 F356 F357 F358 F359 F360 F361 F362 F363 F364 F365 F366 F367 F368 F369 F370 F371 F372 F373 F374 F375 F376 F377 F378 F379 F380 F381 F382 F383 F384 F385 F386 F387 F388 F389 F390 F391 F392 F393 F394 F395 F396 F397 F398 F399 F400 F401 F402 F403 F404 F405 F406 F407 F408 F409 F410 F411 F412 F413 F414 F415 F416 F417 F418 F419 F420 F421 F422 F423 F424 F425 F426 F427 F428 F429 F430 F431 F432 F433 F434 F435 F436 F437 F438 F439 F440 F441 F442 F443 F444 F445 F446 F447 F448 F449 F450 F451 F452 F453 F454 F455 F456 F457 F458 F459 F460 F461 F462 F463 F464 F465 F466 F467 F468 F469 F470 F471 F472 F473 F474 F475 F476 F477 F478 F479 F480 F481 F482 F483 F484 F485 F486 F487 F488 F489 F490 F491 F492 F493 F494 F495 F496 F497 F498 F499 F500 F501 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G204 G205 G206 G207 G208 G209 G210 G211 G212 G213 G214 G215 G216 G217 G218 G219 G220 G221 G222 G223 G224 G225 G226 G227 G228 G229 G230 G231 G232 G233 G234 G235 G236 G237 G238 G239 G240 G241 G242 G243 G244 G245 G246 G247 G248 G249 G250 G251 G252 G253 G254 G255 G256 G257 G258 G259 G260 G261 G262 G263 G264 G265 G266 G267 G268 G269 G270 G271 G272 G273 G274 G275 G276 G277 G278 G279 G280 G281 G282 G283 G284 G285 G286 G287 G288 G289 G290 G291 G292 G293 G294 G295 G296 G297 G298 G299 G300 G301 G302 G303 G304 G305 G306 G307 G308 G309 G310 G311 G312 G313 G314 G315 G316 G317 G318 G319 G320 G321 G322 G323 G324 G325 G326 G327 G328 G329 G330 G331 G332 G333 G334 G335 G336 G337 G338 G339 G340 G341 G342 G343 G344 G345 G346 G347 G348 G349 G350 G351 G352 G353 G354 G355 G356 G357 G358 G359 G360 G361 G362 G363 G364 G365 G366 G367 G368 G369 G370 G371 G372 G373 G374 G375 G376 G377 G378 G379 G380 G381 G382 G383 G384 G385 G386 G387 G388 G389 G390 G391 G392 G393 G394 G395 G396 G397 G398 G399 G400 G401 G402 G403 G404 G405 G406 G407 G408 G409 G410 G411 G412 G413 G414 G415 G416 G417 G418 G419 G420 G421 G422 G423 G424 G425 G426 G427 G428 G429 G430 G431 G432 G433 G434 G435 G436 G437 G438 G439 G440 G441 G442 G443 G444 G445 G446 G447 G448 G449 G450 G451 G452 G453 G454 G455 G456 G457 G458 G459 G460 G461 G462 G463 G464 G465 G466 G467 G468 G469 G470 G471 G472 G473 G474 G475 G476 G477 G478 G479 G480 G481 G482 G483 G484 G485 G486 G487 G488 G489 G490 G491 G492 G493 G494 G495 G496 G497 G498 G499 G500 G501 H2 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H201 H202 H203 H204 H205 H206 H207 H208 H209 H210 H211 H212 H213 H214 H215 H216 H217 H218 H219 H220 H221 H222 H223 H224 H225 H226 H227 H228 H229 H230 H231 H232 H233 H234 H235 H236 H237 H238 H239 H240 H241 H242 H243 H244 H245 H246 H247 H248 H249 H250 H251 H252 H253 H254 H255 H256 H257 H258 H259 H260 H261 H262 H263 H264 H265 H266 H267 H268 H269 H270 H271 H272 H273 H274 H275 H276 H277 H278 H279 H280 H281 H282 H283 H284 H285 H286 H287 H288 H289 H290 H291 H292 H293 H294 H295 H296 H297 H298 H299 H300 H301 H302 H303 H304 H305 H306 H307 H308 H309 H310 H311 H312 H313 H314 H315 H316 H317 H318 H319 H320 H321 H322 H323 H324 H325 H326 H327 H328 H329 H330 H331 H332 H333 H334 H335 H336 H337 H338 H339 H340 H341 H342 H343 H344 H345 H346 H347 H348 H349 H350 H351 H352 H353 H354 H355 H356 H357 H358 H359 H360 H361 H362 H363 H364 H365 H366 H367 H368 H369 H370 H371 H372 H373 H374 H375 H376 H377 H378 H379 H380 H381 H382 H383 H384 H385 H386 H387 H388 H389 H390 H391 H392 H393 H394 H395 H396 H397 H398 H399 H400 H401 H402 H403 H404 H405 H406 H407 H408 H409 H410 H411 H412 H413 H414 H415 H416 H417 H418 H419 H420 H421 H422 H423 H424 H425 H426 H427 H428 H429 H430 H431 H432 H433 H434 H435 H436 H437 H438 H439 H440 H441 H442 H443 H444 H445 H446 H447 H448 H449 H450 H451 H452 H453 H454 H455 H456 H457 H458 H459 H460 H461 H462 H463 H464 H465 H466 H467 H468 H469 H470 H471 H472 H473 H474 H475 H476 H477 H478 H479 H480 H481 H482 H483 H484 H485 H486 H487 H488 H489 H490 H491 H492 H493 H494 H495 H496 H497 H498 H499 H500 H501 I2 I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I157 I158 I159 I160 I161 I162 I163 I164 I165 I166 I167 I168 I169 I170 I171 I172 I173 I174 I175 I176 I177 I178 I179 I180 I181 I182 I183 I184 I185 I186 I187 I188 I189 I190 I191 I192 I193 I194 I195 I196 I197 I198 I199 I200 I201 I202 I203 I204 I205 I206 I207 I208 I209 I210 I211 I212 I213 I214 I215 I216 I217 I218 I219 I220 I221 I222 I223 I224 I225 I226 I227 I228 I229 I230 I231 I232 I233 I234 I235 I236 I237 I238 I239 I240 I241 I242 I243 I244 I245 I246 I247 I248 I249 I250 I251 I252 I253 I254 I255 I256 I257 I258 I259 I260 I261 I262 I263 I264 I265 I266 I267 I268 I269 I270 I271 I272 I273 I274 I275 I276 I277 I278 I279 I280 I281 I282 I283 I284 I285 I286 I287 I288 I289 I290 I291 I292 I293 I294 I295 I296 I297 I298 I299 I300 I301 I302 I303 I304 I305 I306 I307 I308 I309 I310 I311 I312 I313 I314 I315 I316 I317 I318 I319 I320 I321 I322 I323 I324 I325 I326 I327 I328 I329 I330 I331 I332 I333 I334 I335 I336 I337 I338 I339 I340 I341 I342 I343 I344 I345 I346 I347 I348 I349 I350 I351 I352 I353 I354 I355 I356 I357 I358 I359 I360 I361 I362 I363 I364 I365 I366 I367 I368 I369 I370 I371 I372 I373 I374 I375 I376 I377 I378 I379 I380 I381 I382 I383 I384 I385 I386 I387 I388 I389 I390 I391 I392 I393 I394 I395 I396 I397 I398 I399 I400 I401 I402 I403 I404 I405 I406 I407 I408 I409 I410 I411 I412 I413 I414 I415 I416 I417 I418 I419 I420 I421 I422 I423 I424 I425 I426 I427 I428 I429 I430 I431 I432 I433 I434 I435 I436 I437 I438 I439 I440 I441 I442 I443 I444 I445 I446 I447 I448 I449 I450 I451 I452 I453 I454 I455 I456 I457 I458 I459 I460 I461 I462 I463 I464 I465 I466 I467 I468 I469 I470 I471 I472 I473 I474 I475 I476 I477 I478 I479 I480 I481 I482 I483 I484 I485 I486 I487 I488 I489 I490 I491 I492 I493 I494 I495 I496 I497 I498 I499 I500 I501 J2 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J202 J203 J204 J205 J206 J207 J208 J209 J210 J211 J212 J213 J214 J215 J216 J217 J218 J219 J220 J221 J222 J223 J224 J225 J226 J227 J228 J229 J230 J231 J232 J233 J234 J235 J236 J237 J238 J239 J240 J241 J242 J243 J244 J245 J246 J247 J248 J249 J250 J251 J252 J253 J254 J255 J256 J257 J258 J259 J260 J261 J262 J263 J264 J265 J266 J267 J268 J269 J270 J271 J272 J273 J274 J275 J276 J277 J278 J279 J280 J281 J282 J283 J284 J285 J286 J287 J288 J289 J290 J291 J292 J293 J294 J295 J296 J297 J298 J299 J300 J301 J302 J303 J304 J305 J306 J307 J308 J309 J310 J311 J312 J313 J314 J315 J316 J317 J318 J319 J320 J321 J322 J323 J324 J325 J326 J327 J328 J329 J330 J331 J332 J333 J334 J335 J336 J337 J338 J339 J340 J341 J342 J343 J344 J345 J346 J347 J348 J349 J350 J351 J352 J353 J354 J355 J356 J357 J358 J359 J360 J361 J362 J363 J364 J365 J366 J367 J368 J369 J370 J371 J372 J373 J374 J375 J376 J377 J378 J379 J380 J381 J382 J383 J384 J385 J386 J387 J388 J389 J390 J391 J392 J393 J394 J395 J396 J397 J398 J399 J400 J401 J402 J403 J404 J405 J406 J407 J408 J409 J410 J411 J412 J413 J414 J415 J416 J417 J418 J419 J420 J421 J422 J423 J424 J425 J426 J427 J428 J429 J430 J431 J432 J433 J434 J435 J436 J437 J438 J439 J440 J441 J442 J443 J444 J445 J446 J447 J448 J449 J450 J451 J452 J453 J454 J455 J456 J457 J458 J459 J460 J461 J462 J463 J464 J465 J466 J467 J468 J469 J470 J471 J472 J473 J474 J475 J476 J477 J478 J479 J480 J481 J482 J483 J484 J485 J486 J487 J488 J489 J490 J491 J492 J493 J494 J495 J496 J497 J498 J499 J500 J501 K2 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K200 K201 K202 K203 K204 K205 K206 K207 K208 K209 K210 K211 K212 K213 K214 K215 K216 K217 K218 K219 K220 K221 K222 K223 K224 K225 K226 K227 K228 K229 K230 K231 K232 K233 K234 K235 K236 K237 K238 K239 K240 K241 K242 K243 K244 K245 K246 K247 K248 K249 K250 K251 K252 K253 K254 K255 K256 K257 K258 K259 K260 K261 K262 K263 K264 K265 K266 K267 K268 K269 K270 K271 K272 K273 K274 K275 K276 K277 K278 K279 K280 K281 K282 K283 K284 K285 K286 K287 K288 K289 K290 K291 K292 K293 K294 K295 K296 K297 K298 K299 K300 K301 K302 K303 K304 K305 K306 K307 K308 K309 K310 K311 K312 K313 K314 K315 K316 K317 K318 K319 K320 K321 K322 K323 K324 K325 K326 K327 K328 K329 K330 K331 K332 K333 K334 K335 K336 K337 K338 K339 K340 K341 K342 K343 K344 K345 K346 K347 K348 K349 K350 K351 K352 K353 K354 K355 K356 K357 K358 K359 K360 K361 K362 K363 K364 K365 K366 K367 K368 K369 K370 K371 K372 K373 K374 K375 K376 K377 K378 K379 K380 K381 K382 K383 K384 K385 K386 K387 K388 K389 K390 K391 K392 K393 K394 K395 K396 K397 K398 K399 K400 K401 K402 K403 K404 K405 K406 K407 K408 K409 K410 K411 K412 K413 K414 K415 K416 K417 K418 K419 K420 K421 K422 K423 K424 K425 K426 K427 K428 K429 K430 K431 K432 K433 K434 K435 K436 K437 K438 K439 K440 K441 K442 K443 K444 K445 K446 K447 K448 K449 K450 K451 K452 K453 K454 K455 K456 K457 K458 K459 K460 K461 K462 K463 K464 K465 K466 K467 K468 K469 K470 K471 K472 K473 K474 K475 K476 K477 K478 K479 K480 K481 K482 K483 K484 K485 K486 K487 K488 K489 K490 K491 K492 K493 K494 K495 K496 K497 K498 K499 K500 K501 L2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L143 L144 L145 L146 L147 L148 L149 L150 L151 L152 L153 L154 L155 L156 L157 L158 L159 L160 L161 L162 L163 L164 L165 L166 L167 L168 L169 L170 L171 L172 L173 L174 L175 L176 L177 L178 L179 L180 L181 L182 L183 L184 L185 L186 L187 L188 L189 L190 L191 L192 L193 L194 L195 L196 L197 L198 L199 L200 L201 L202 L203 L204 L205 L206 L207 L208 L209 L210 L211 L212 L213 L214 L215 L216 L217 L218 L219 L220 L221 L222 L223 L224 L225 L226 L227 L228 L229 L230 L231 L232 L233 L234 L235 L236 L237 L238 L239 L240 L241 L242 L243 L244 L245 L246 L247 L248 L249 L250 L251 L252 L253 L254 L255 L256 L257 L258 L259 L260 L261 L262 L263 L264 L265 L266 L267 L268 L269 L270 L271 L272 L273 L274 L275 L276 L277 L278 L279 L280 L281 L282 L283 L284 L285 L286 L287 L288 L289 L290 L291 L292 L293 L294 L295 L296 L297 L298 L299 L300 L301 L302 L303 L304 L305 L306 L307 L308 L309 L310 L311 L312 L313 L314 L315 L316 L317 L318 L319 L320 L321 L322 L323 L324 L325 L326 L327 L328 L329 L330 L331 L332 L333 L334 L335 L336 L337 L338 L339 L340 L341 L342 L343 L344 L345 L346 L347 L348 L349 L350 L351 L352 L353 L354 L355 L356 L357 L358 L359 L360 L361 L362 L363 L364 L365 L366 L367 L368 L369 L370 L371 L372 L373 L374 L375 L376 L377 L378 L379 L380 L381 L382 L383 L384 L385 L386 L387 L388 L389 L390 L391 L392 L393 L394 L395 L396 L397 L398 L399 L400 L401 L402 L403 L404 L405 L406 L407 L408 L409 L410 L411 L412 L413 L414 L415 L416 L417 L418 L419 L420 L421 L422 L423 L424 L425 L426 L427 L428 L429 L430 L431 L432 L433 L434 L435 L436 L437 L438 L439 L440 L441 L442 L443 L444 L445 L446 L447 L448 L449 L450 L451 L452 L453 L454 L455 L456 L457 L458 L459 L460 L461 L462 L463 L464 L465 L466 L467 L468 L469 L470 L471 L472 L473 L474 L475 L476 L477 L478 L479 L480 L481 L482 L483 L484 L485 L486 L487 L488 L489 L490 L491 L492 L493 L494 L495 L496 L497 L498 L499 L500 L501 M2 M3 M4 M5 M6 M7 M8 M9 M10 M11 M12 M13 M14 M15 M16 M17 M18 M19 M20 M21 M22 M23 M24 M25 M26 M27 M28 M29 M30 M31 M32 M33 M34 M35 M36 M37 M38 M39 M40 M41 M42 M43 M44 M45 M46 M47 M48 M49 M50 M51 M52 M53 M54 M55 M56 M57 M58 M59 M60 M61 M62 M63 M64 M65 M66 M67 M68 M69 M70 M71 M72 M73 M74 M75 M76 M77 M78 M79 M80 M81 M82 M83 M84 M85 M86 M87 M88 M89 M90 M91 M92 M93 M94 M95 M96 M97 M98 M99 M100 M101 M102 M103 M104 M105 M106 M107 M108 M109 M110 M111 M112 M113 M114 M115 M116 M117 M118 M119 M120 M121 M122 M123 M124 M125 M126 M127 M128 M129 M130 M131 M132 M133 M134 M135 M136 M137 M138 M139 M140 M141 M142 M143 M144 M145 M146 M147 M148 M149 M150 M151 M152 M153 M154 M155 M156 M157 M158 M159 M160 M161 M162 M163 M164 M165 M166 M167 M168 M169 M170 M171 M172 M173 M174 M175 M176 M177 M178 M179 M180 M181 M182 M183 M184 M185 M186 M187 M188 M189 M190 M191 M192 M193 M194 M195 M196 M197 M198 M199 M200 M201 M202 M203 M204 M205 M206 M207 M208 M209 M210 M211 M212 M213 M214 M215 M216 M217 M218 M219 M220 M221 M222 M223 M224 M225 M226 M227 M228 M229 M230 M231 M232 M233 M234 M235 M236 M237 M238 M239 M240 M241 M242 M243 M244 M245 M246 M247 M248 M249 M250 M251 M252 M253 M254 M255 M256 M257 M258 M259 M260 M261 M262 M263 M264 M265 M266 M267 M268 M269 M270 M271 M272 M273 M274 M275 M276 M277 M278 M279 M280 M281 M282 M283 M284 M285 M286 M287 M288 M289 M290 M291 M292 M293 M294 M295 M296 M297 M298 M299 M300 M301 M302 M303 M304 M305 M306 M307 M308 M309 M310 M311 M312 M313 M314 M315 M316 M317 M318 M319 M320 M321 M322 M323 M324 M325 M326 M327 M328 M329 M330 M331 M332 M333 M334 M335 M336 M337 M338 M339 M340 M341 M342 M343 M344 M345 M346 M347 M348 M349 M350 M351 M352 M353 M354 M355 M356 M357 M358 M359 M360 M361 M362 M363 M364 M365 M366 M367 M368 M369 M370 M371 M372 M373 M374 M375 M376 M377 M378 M379 M380 M381 M382 M383 M384 M385 M386 M387 M388 M389 M390 M391 M392 M393 M394 M395 M396 M397 M398 M399 M400 M401 M402 M403 M404 M405 M406 M407 M408 M409 M410 M411 M412 M413 M414 M415 M416 M417 M418 M419 M420 M421 M422 M423 M424 M425 M426 M427 M428 M429 M430 M431 M432 M433 M434 M435 M436 M437 M438 M439 M440 M441 M442 M443 M444 M445 M446 M447 M448 M449 M450 M451 M452 M453 M454 M455 M456 M457 M458 M459 M460 M461 M462 M463 M464 M465 M466 M467 M468 M469 M470 M471 M472 M473 M474 M475 M476 M477 M478 M479 M480 M481 M482 M483 M484 M485 M486 M487 M488 M489 M490 M491 M492 M493 M494 M495 M496 M497 M498 M499 M500 M501 N2 N3 N4 N5 N6 N7 N8 N9 N10 N11 N12 N13 N14 N15 N16 N17 N18 N19 N20 N21 N22 N23 N24 N25 N26 N27 N28 N29 N30 N31 N32 N33 N34 N35 N36 N37 N38 N39 N40 N41 N42 N43 N44 N45 N46 N47 N48 N49 N50 N51 N52 N53 N54 N55 N56 N57 N58 N59 N60 N61 N62 N63 N64 N65 N66 N67 N68 N69 N70 N71 N72 N73 N74 N75 N76 N77 N78 N79 N80 N81 N82 N83 N84 N85 N86 N87 N88 N89 N90 N91 N92 N93 N94 N95 N96 N97 N98 N99 N100 N101 N102 N103 N104 N105 N106 N107 N108 N109 N110 N111 N112 N113 N114 N115 N116 N117 N118 N119 N120 N121 N122 N123 N124 N125 N126 N127 N128 N129 N130 N131 N132 N133 N134 N135 N136 N137 N138 N139 N140 N141 N142 N143 N144 N145 N146 N147 N148 N149 N150 N151 N152 N153 N154 N155 N156 N157 N158 N159 N160 N161 N162 N163 N164 N165 N166 N167 N168 N169 N170 N171 N172 N173 N174 N175 N176 N177 N178 N179 N180 N181 N182 N183 N184 N185 N186 N187 N188 N189 N190 N191 N192 N193 N194 N195 N196 N197 N198 N199 N200 N201 N202 N203 N204 N205 N206 N207 N208 N209 N210 N211 N212 N213 N214 N215 N216 N217 N218 N219 N220 N221 N222 N223 N224 N225 N226 N227 N228 N229 N230 N231 N232 N233 N234 N235 N236 N237 N238 N239 N240 N241 N242 N243 N244 N245 N246 N247 N248 N249 N250 N251 N252 N253 N254 N255 N256 N257 N258 N259 N260 N261 N262 N263 N264 N265 N266 N267 N268 N269 N270 N271 N272 N273 N274 N275 N276 N277 N278 N279 N280 N281 N282 N283 N284 N285 N286 N287 N288 N289 N290 N291 N292 N293 N294 N295 N296 N297 N298 N299 N300 N301 N302 N303 N304 N305 N306 N307 N308 N309 N310 N311 N312 N313 N314 N315 N316 N317 N318 N319 N320 N321 N322 N323 N324 N325 N326 N327 N328 N329 N330 N331 N332 N333 N334 N335 N336 N337 N338 N339 N340 N341 N342 N343 N344 N345 N346 N347 N348 N349 N350 N351 N352 N353 N354 N355 N356 N357 N358 N359 N360 N361 N362 N363 N364 N365 N366 N367 N368 N369 N370 N371 N372 N373 N374 N375 N376 N377 N378 N379 N380 N381 N382 N383 N384 N385 N386 N387 N388 N389 N390 N391 N392 N393 N394 N395 N396 N397 N398 N399 N400 N401 N402 N403 N404 N405 N406 N407 N408 N409 N410 N411 N412 N413 N414 N415 N416 N417 N418 N419 N420 N421 N422 N423 N424 N425 N426 N427 N428 N429 N430 N431 N432 N433 N434 N435 N436 N437 N438 N439 N440 N441 N442 N443 N444 N445 N446 N447 N448 N449 N450 N451 N452 N453 N454 N455 N456 N457 N458 N459 N460 N461 N462 N463 N464 N465 N466 N467 N468 N469 N470 N471 N472 N473 N474 N475 N476 N477 N478 N479 N480 N481 N482 N483 N484 N485 N486 N487 N488 N489 N490 N491 N492 N493 N494 N495 N496 N497 N498 N499 N500 N501" showDropDown="0" showInputMessage="0" showErrorMessage="0" allowBlank="1" type="decimal">
      <formula1>0</formula1>
      <formula2>10</formula2>
    </dataValidation>
    <dataValidation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B419 B420 B421 B422 B423 B424 B425 B426 B427 B428 B429 B430 B431 B432 B433 B434 B435 B436 B437 B438 B439 B440 B441 B442 B443 B444 B445 B446 B447 B448 B449 B450 B451 B452 B453 B454 B455 B456 B457 B458 B459 B460 B461 B462 B463 B464 B465 B466 B467 B468 B469 B470 B471 B472 B473 B474 B475 B476 B477 B478 B479 B480 B481 B482 B483 B484 B485 B486 B487 B488 B489 B490 B491 B492 B493 B494 B495 B496 B497 B498 B499 B500 B501" showDropDown="0" showInputMessage="0" showErrorMessage="0" allowBlank="1" type="whole">
      <formula1>0</formula1>
      <formula2>10</formula2>
    </dataValidation>
  </dataValidations>
  <pageMargins left="0.7" right="0.7" top="0.75" bottom="0.75" header="0.3" footer="0.3"/>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H49"/>
  <sheetViews>
    <sheetView showGridLines="0" workbookViewId="0">
      <selection activeCell="A1" sqref="A1"/>
    </sheetView>
  </sheetViews>
  <sheetFormatPr baseColWidth="10" defaultColWidth="8.83203125" defaultRowHeight="15"/>
  <cols>
    <col width="18" customWidth="1" style="13" min="1" max="2"/>
    <col width="16" customWidth="1" style="13" min="3" max="3"/>
    <col width="18" customWidth="1" style="13" min="4" max="6"/>
    <col width="28" customWidth="1" style="13" min="7" max="7"/>
    <col width="24" customWidth="1" style="13" min="8" max="8"/>
  </cols>
  <sheetData>
    <row r="1" ht="32" customHeight="1" s="13">
      <c r="A1" s="1" t="inlineStr">
        <is>
          <t>family_id</t>
        </is>
      </c>
      <c r="B1" s="1" t="inlineStr">
        <is>
          <t>primary_or_secondary</t>
        </is>
      </c>
      <c r="C1" s="1" t="inlineStr">
        <is>
          <t>subset</t>
        </is>
      </c>
      <c r="D1" s="1" t="inlineStr">
        <is>
          <t>system_A</t>
        </is>
      </c>
      <c r="E1" s="1" t="inlineStr">
        <is>
          <t>system_B</t>
        </is>
      </c>
      <c r="F1" s="1" t="inlineStr">
        <is>
          <t>endpoint</t>
        </is>
      </c>
      <c r="G1" s="1" t="inlineStr">
        <is>
          <t>test</t>
        </is>
      </c>
      <c r="H1" s="1" t="inlineStr">
        <is>
          <t>multiple_testing_family</t>
        </is>
      </c>
    </row>
    <row r="2">
      <c r="A2" s="5" t="inlineStr">
        <is>
          <t>LoTT_full500</t>
        </is>
      </c>
      <c r="B2" s="5" t="inlineStr">
        <is>
          <t>primary</t>
        </is>
      </c>
      <c r="C2" s="5" t="inlineStr">
        <is>
          <t>full500</t>
        </is>
      </c>
      <c r="D2" s="5" t="inlineStr">
        <is>
          <t>lott_framework</t>
        </is>
      </c>
      <c r="E2" s="5" t="inlineStr">
        <is>
          <t>g20_standard</t>
        </is>
      </c>
      <c r="F2" s="9" t="inlineStr">
        <is>
          <t>accuracy</t>
        </is>
      </c>
      <c r="G2" s="9" t="inlineStr">
        <is>
          <t>exact_mcnemar</t>
        </is>
      </c>
      <c r="H2" s="9" t="inlineStr">
        <is>
          <t>LoTT_full500_accuracy</t>
        </is>
      </c>
    </row>
    <row r="3">
      <c r="A3" s="5" t="inlineStr">
        <is>
          <t>LoTT_full500</t>
        </is>
      </c>
      <c r="B3" s="5" t="inlineStr">
        <is>
          <t>primary</t>
        </is>
      </c>
      <c r="C3" s="5" t="inlineStr">
        <is>
          <t>full500</t>
        </is>
      </c>
      <c r="D3" s="5" t="inlineStr">
        <is>
          <t>lott_framework</t>
        </is>
      </c>
      <c r="E3" s="5" t="inlineStr">
        <is>
          <t>g20_standard</t>
        </is>
      </c>
      <c r="F3" s="9" t="inlineStr">
        <is>
          <t>positive_recall</t>
        </is>
      </c>
      <c r="G3" s="9" t="inlineStr">
        <is>
          <t>exact_mcnemar</t>
        </is>
      </c>
      <c r="H3" s="9" t="inlineStr">
        <is>
          <t>LoTT_full500_positive_recall</t>
        </is>
      </c>
    </row>
    <row r="4">
      <c r="A4" s="5" t="inlineStr">
        <is>
          <t>LoTT_full500</t>
        </is>
      </c>
      <c r="B4" s="5" t="inlineStr">
        <is>
          <t>primary</t>
        </is>
      </c>
      <c r="C4" s="5" t="inlineStr">
        <is>
          <t>full500</t>
        </is>
      </c>
      <c r="D4" s="5" t="inlineStr">
        <is>
          <t>lott_framework</t>
        </is>
      </c>
      <c r="E4" s="5" t="inlineStr">
        <is>
          <t>g20_standard</t>
        </is>
      </c>
      <c r="F4" s="9" t="inlineStr">
        <is>
          <t>positive_f1</t>
        </is>
      </c>
      <c r="G4" s="9" t="inlineStr">
        <is>
          <t>paired_stratified_bootstrap_95CI</t>
        </is>
      </c>
      <c r="H4" s="9" t="inlineStr">
        <is>
          <t>LoTT_full500_positive_f1</t>
        </is>
      </c>
    </row>
    <row r="5">
      <c r="A5" s="5" t="inlineStr">
        <is>
          <t>LoTT_full500</t>
        </is>
      </c>
      <c r="B5" s="5" t="inlineStr">
        <is>
          <t>primary</t>
        </is>
      </c>
      <c r="C5" s="5" t="inlineStr">
        <is>
          <t>full500</t>
        </is>
      </c>
      <c r="D5" s="5" t="inlineStr">
        <is>
          <t>lott_framework</t>
        </is>
      </c>
      <c r="E5" s="5" t="inlineStr">
        <is>
          <t>g20_standard</t>
        </is>
      </c>
      <c r="F5" s="9" t="inlineStr">
        <is>
          <t>macro_f1</t>
        </is>
      </c>
      <c r="G5" s="9" t="inlineStr">
        <is>
          <t>paired_stratified_bootstrap_95CI</t>
        </is>
      </c>
      <c r="H5" s="9" t="inlineStr">
        <is>
          <t>LoTT_full500_macro_f1</t>
        </is>
      </c>
    </row>
    <row r="6">
      <c r="A6" s="5" t="inlineStr">
        <is>
          <t>LoTT_full500</t>
        </is>
      </c>
      <c r="B6" s="5" t="inlineStr">
        <is>
          <t>primary</t>
        </is>
      </c>
      <c r="C6" s="5" t="inlineStr">
        <is>
          <t>full500</t>
        </is>
      </c>
      <c r="D6" s="5" t="inlineStr">
        <is>
          <t>lott_framework</t>
        </is>
      </c>
      <c r="E6" s="5" t="inlineStr">
        <is>
          <t>g20_standard</t>
        </is>
      </c>
      <c r="F6" s="9" t="inlineStr">
        <is>
          <t>LRS</t>
        </is>
      </c>
      <c r="G6" s="9" t="inlineStr">
        <is>
          <t>wilcoxon_signed_rank</t>
        </is>
      </c>
      <c r="H6" s="9" t="inlineStr">
        <is>
          <t>LoTT_full500_LRS</t>
        </is>
      </c>
    </row>
    <row r="7">
      <c r="A7" s="5" t="inlineStr">
        <is>
          <t>LoTT_full500</t>
        </is>
      </c>
      <c r="B7" s="5" t="inlineStr">
        <is>
          <t>primary</t>
        </is>
      </c>
      <c r="C7" s="5" t="inlineStr">
        <is>
          <t>full500</t>
        </is>
      </c>
      <c r="D7" s="5" t="inlineStr">
        <is>
          <t>lott_framework</t>
        </is>
      </c>
      <c r="E7" s="5" t="inlineStr">
        <is>
          <t>g20_cot</t>
        </is>
      </c>
      <c r="F7" s="9" t="inlineStr">
        <is>
          <t>accuracy</t>
        </is>
      </c>
      <c r="G7" s="9" t="inlineStr">
        <is>
          <t>exact_mcnemar</t>
        </is>
      </c>
      <c r="H7" s="9" t="inlineStr">
        <is>
          <t>LoTT_full500_accuracy</t>
        </is>
      </c>
    </row>
    <row r="8">
      <c r="A8" s="5" t="inlineStr">
        <is>
          <t>LoTT_full500</t>
        </is>
      </c>
      <c r="B8" s="5" t="inlineStr">
        <is>
          <t>primary</t>
        </is>
      </c>
      <c r="C8" s="5" t="inlineStr">
        <is>
          <t>full500</t>
        </is>
      </c>
      <c r="D8" s="5" t="inlineStr">
        <is>
          <t>lott_framework</t>
        </is>
      </c>
      <c r="E8" s="5" t="inlineStr">
        <is>
          <t>g20_cot</t>
        </is>
      </c>
      <c r="F8" s="9" t="inlineStr">
        <is>
          <t>positive_recall</t>
        </is>
      </c>
      <c r="G8" s="9" t="inlineStr">
        <is>
          <t>exact_mcnemar</t>
        </is>
      </c>
      <c r="H8" s="9" t="inlineStr">
        <is>
          <t>LoTT_full500_positive_recall</t>
        </is>
      </c>
    </row>
    <row r="9">
      <c r="A9" s="5" t="inlineStr">
        <is>
          <t>LoTT_full500</t>
        </is>
      </c>
      <c r="B9" s="5" t="inlineStr">
        <is>
          <t>primary</t>
        </is>
      </c>
      <c r="C9" s="5" t="inlineStr">
        <is>
          <t>full500</t>
        </is>
      </c>
      <c r="D9" s="5" t="inlineStr">
        <is>
          <t>lott_framework</t>
        </is>
      </c>
      <c r="E9" s="5" t="inlineStr">
        <is>
          <t>g20_cot</t>
        </is>
      </c>
      <c r="F9" s="9" t="inlineStr">
        <is>
          <t>positive_f1</t>
        </is>
      </c>
      <c r="G9" s="9" t="inlineStr">
        <is>
          <t>paired_stratified_bootstrap_95CI</t>
        </is>
      </c>
      <c r="H9" s="9" t="inlineStr">
        <is>
          <t>LoTT_full500_positive_f1</t>
        </is>
      </c>
    </row>
    <row r="10">
      <c r="A10" s="5" t="inlineStr">
        <is>
          <t>LoTT_full500</t>
        </is>
      </c>
      <c r="B10" s="5" t="inlineStr">
        <is>
          <t>primary</t>
        </is>
      </c>
      <c r="C10" s="5" t="inlineStr">
        <is>
          <t>full500</t>
        </is>
      </c>
      <c r="D10" s="5" t="inlineStr">
        <is>
          <t>lott_framework</t>
        </is>
      </c>
      <c r="E10" s="5" t="inlineStr">
        <is>
          <t>g20_cot</t>
        </is>
      </c>
      <c r="F10" s="9" t="inlineStr">
        <is>
          <t>macro_f1</t>
        </is>
      </c>
      <c r="G10" s="9" t="inlineStr">
        <is>
          <t>paired_stratified_bootstrap_95CI</t>
        </is>
      </c>
      <c r="H10" s="9" t="inlineStr">
        <is>
          <t>LoTT_full500_macro_f1</t>
        </is>
      </c>
    </row>
    <row r="11">
      <c r="A11" s="5" t="inlineStr">
        <is>
          <t>LoTT_full500</t>
        </is>
      </c>
      <c r="B11" s="5" t="inlineStr">
        <is>
          <t>primary</t>
        </is>
      </c>
      <c r="C11" s="5" t="inlineStr">
        <is>
          <t>full500</t>
        </is>
      </c>
      <c r="D11" s="5" t="inlineStr">
        <is>
          <t>lott_framework</t>
        </is>
      </c>
      <c r="E11" s="5" t="inlineStr">
        <is>
          <t>g20_cot</t>
        </is>
      </c>
      <c r="F11" s="9" t="inlineStr">
        <is>
          <t>LRS</t>
        </is>
      </c>
      <c r="G11" s="9" t="inlineStr">
        <is>
          <t>wilcoxon_signed_rank</t>
        </is>
      </c>
      <c r="H11" s="9" t="inlineStr">
        <is>
          <t>LoTT_full500_LRS</t>
        </is>
      </c>
    </row>
    <row r="12">
      <c r="A12" s="5" t="inlineStr">
        <is>
          <t>LoTT_full500</t>
        </is>
      </c>
      <c r="B12" s="5" t="inlineStr">
        <is>
          <t>primary</t>
        </is>
      </c>
      <c r="C12" s="5" t="inlineStr">
        <is>
          <t>full500</t>
        </is>
      </c>
      <c r="D12" s="5" t="inlineStr">
        <is>
          <t>lott_framework</t>
        </is>
      </c>
      <c r="E12" s="5" t="inlineStr">
        <is>
          <t>g20_ls</t>
        </is>
      </c>
      <c r="F12" s="9" t="inlineStr">
        <is>
          <t>accuracy</t>
        </is>
      </c>
      <c r="G12" s="9" t="inlineStr">
        <is>
          <t>exact_mcnemar</t>
        </is>
      </c>
      <c r="H12" s="9" t="inlineStr">
        <is>
          <t>LoTT_full500_accuracy</t>
        </is>
      </c>
    </row>
    <row r="13">
      <c r="A13" s="5" t="inlineStr">
        <is>
          <t>LoTT_full500</t>
        </is>
      </c>
      <c r="B13" s="5" t="inlineStr">
        <is>
          <t>primary</t>
        </is>
      </c>
      <c r="C13" s="5" t="inlineStr">
        <is>
          <t>full500</t>
        </is>
      </c>
      <c r="D13" s="5" t="inlineStr">
        <is>
          <t>lott_framework</t>
        </is>
      </c>
      <c r="E13" s="5" t="inlineStr">
        <is>
          <t>g20_ls</t>
        </is>
      </c>
      <c r="F13" s="9" t="inlineStr">
        <is>
          <t>positive_recall</t>
        </is>
      </c>
      <c r="G13" s="9" t="inlineStr">
        <is>
          <t>exact_mcnemar</t>
        </is>
      </c>
      <c r="H13" s="9" t="inlineStr">
        <is>
          <t>LoTT_full500_positive_recall</t>
        </is>
      </c>
    </row>
    <row r="14">
      <c r="A14" s="5" t="inlineStr">
        <is>
          <t>LoTT_full500</t>
        </is>
      </c>
      <c r="B14" s="5" t="inlineStr">
        <is>
          <t>primary</t>
        </is>
      </c>
      <c r="C14" s="5" t="inlineStr">
        <is>
          <t>full500</t>
        </is>
      </c>
      <c r="D14" s="5" t="inlineStr">
        <is>
          <t>lott_framework</t>
        </is>
      </c>
      <c r="E14" s="5" t="inlineStr">
        <is>
          <t>g20_ls</t>
        </is>
      </c>
      <c r="F14" s="9" t="inlineStr">
        <is>
          <t>positive_f1</t>
        </is>
      </c>
      <c r="G14" s="9" t="inlineStr">
        <is>
          <t>paired_stratified_bootstrap_95CI</t>
        </is>
      </c>
      <c r="H14" s="9" t="inlineStr">
        <is>
          <t>LoTT_full500_positive_f1</t>
        </is>
      </c>
    </row>
    <row r="15">
      <c r="A15" s="5" t="inlineStr">
        <is>
          <t>LoTT_full500</t>
        </is>
      </c>
      <c r="B15" s="5" t="inlineStr">
        <is>
          <t>primary</t>
        </is>
      </c>
      <c r="C15" s="5" t="inlineStr">
        <is>
          <t>full500</t>
        </is>
      </c>
      <c r="D15" s="5" t="inlineStr">
        <is>
          <t>lott_framework</t>
        </is>
      </c>
      <c r="E15" s="5" t="inlineStr">
        <is>
          <t>g20_ls</t>
        </is>
      </c>
      <c r="F15" s="9" t="inlineStr">
        <is>
          <t>macro_f1</t>
        </is>
      </c>
      <c r="G15" s="9" t="inlineStr">
        <is>
          <t>paired_stratified_bootstrap_95CI</t>
        </is>
      </c>
      <c r="H15" s="9" t="inlineStr">
        <is>
          <t>LoTT_full500_macro_f1</t>
        </is>
      </c>
    </row>
    <row r="16">
      <c r="A16" s="5" t="inlineStr">
        <is>
          <t>LoTT_full500</t>
        </is>
      </c>
      <c r="B16" s="5" t="inlineStr">
        <is>
          <t>primary</t>
        </is>
      </c>
      <c r="C16" s="5" t="inlineStr">
        <is>
          <t>full500</t>
        </is>
      </c>
      <c r="D16" s="5" t="inlineStr">
        <is>
          <t>lott_framework</t>
        </is>
      </c>
      <c r="E16" s="5" t="inlineStr">
        <is>
          <t>g20_ls</t>
        </is>
      </c>
      <c r="F16" s="9" t="inlineStr">
        <is>
          <t>LRS</t>
        </is>
      </c>
      <c r="G16" s="9" t="inlineStr">
        <is>
          <t>wilcoxon_signed_rank</t>
        </is>
      </c>
      <c r="H16" s="9" t="inlineStr">
        <is>
          <t>LoTT_full500_LRS</t>
        </is>
      </c>
    </row>
    <row r="17">
      <c r="A17" s="5" t="inlineStr">
        <is>
          <t>RQ_full500</t>
        </is>
      </c>
      <c r="B17" s="5" t="inlineStr">
        <is>
          <t>primary</t>
        </is>
      </c>
      <c r="C17" s="5" t="inlineStr">
        <is>
          <t>full500</t>
        </is>
      </c>
      <c r="D17" s="5" t="inlineStr">
        <is>
          <t>rq_all500</t>
        </is>
      </c>
      <c r="E17" s="5" t="inlineStr">
        <is>
          <t>g20_standard</t>
        </is>
      </c>
      <c r="F17" s="9" t="inlineStr">
        <is>
          <t>accuracy</t>
        </is>
      </c>
      <c r="G17" s="9" t="inlineStr">
        <is>
          <t>exact_mcnemar</t>
        </is>
      </c>
      <c r="H17" s="9" t="inlineStr">
        <is>
          <t>RQ_full500_accuracy</t>
        </is>
      </c>
    </row>
    <row r="18">
      <c r="A18" s="5" t="inlineStr">
        <is>
          <t>RQ_full500</t>
        </is>
      </c>
      <c r="B18" s="5" t="inlineStr">
        <is>
          <t>primary</t>
        </is>
      </c>
      <c r="C18" s="5" t="inlineStr">
        <is>
          <t>full500</t>
        </is>
      </c>
      <c r="D18" s="5" t="inlineStr">
        <is>
          <t>rq_all500</t>
        </is>
      </c>
      <c r="E18" s="5" t="inlineStr">
        <is>
          <t>g20_standard</t>
        </is>
      </c>
      <c r="F18" s="9" t="inlineStr">
        <is>
          <t>positive_recall</t>
        </is>
      </c>
      <c r="G18" s="9" t="inlineStr">
        <is>
          <t>exact_mcnemar</t>
        </is>
      </c>
      <c r="H18" s="9" t="inlineStr">
        <is>
          <t>RQ_full500_positive_recall</t>
        </is>
      </c>
    </row>
    <row r="19">
      <c r="A19" s="5" t="inlineStr">
        <is>
          <t>RQ_full500</t>
        </is>
      </c>
      <c r="B19" s="5" t="inlineStr">
        <is>
          <t>primary</t>
        </is>
      </c>
      <c r="C19" s="5" t="inlineStr">
        <is>
          <t>full500</t>
        </is>
      </c>
      <c r="D19" s="5" t="inlineStr">
        <is>
          <t>rq_all500</t>
        </is>
      </c>
      <c r="E19" s="5" t="inlineStr">
        <is>
          <t>g20_standard</t>
        </is>
      </c>
      <c r="F19" s="9" t="inlineStr">
        <is>
          <t>positive_f1</t>
        </is>
      </c>
      <c r="G19" s="9" t="inlineStr">
        <is>
          <t>paired_stratified_bootstrap_95CI</t>
        </is>
      </c>
      <c r="H19" s="9" t="inlineStr">
        <is>
          <t>RQ_full500_positive_f1</t>
        </is>
      </c>
    </row>
    <row r="20">
      <c r="A20" s="5" t="inlineStr">
        <is>
          <t>RQ_full500</t>
        </is>
      </c>
      <c r="B20" s="5" t="inlineStr">
        <is>
          <t>primary</t>
        </is>
      </c>
      <c r="C20" s="5" t="inlineStr">
        <is>
          <t>full500</t>
        </is>
      </c>
      <c r="D20" s="5" t="inlineStr">
        <is>
          <t>rq_all500</t>
        </is>
      </c>
      <c r="E20" s="5" t="inlineStr">
        <is>
          <t>g20_standard</t>
        </is>
      </c>
      <c r="F20" s="9" t="inlineStr">
        <is>
          <t>macro_f1</t>
        </is>
      </c>
      <c r="G20" s="9" t="inlineStr">
        <is>
          <t>paired_stratified_bootstrap_95CI</t>
        </is>
      </c>
      <c r="H20" s="9" t="inlineStr">
        <is>
          <t>RQ_full500_macro_f1</t>
        </is>
      </c>
    </row>
    <row r="21">
      <c r="A21" s="5" t="inlineStr">
        <is>
          <t>RQ_full500</t>
        </is>
      </c>
      <c r="B21" s="5" t="inlineStr">
        <is>
          <t>primary</t>
        </is>
      </c>
      <c r="C21" s="5" t="inlineStr">
        <is>
          <t>full500</t>
        </is>
      </c>
      <c r="D21" s="5" t="inlineStr">
        <is>
          <t>rq_all500</t>
        </is>
      </c>
      <c r="E21" s="5" t="inlineStr">
        <is>
          <t>g20_standard</t>
        </is>
      </c>
      <c r="F21" s="9" t="inlineStr">
        <is>
          <t>LRS</t>
        </is>
      </c>
      <c r="G21" s="9" t="inlineStr">
        <is>
          <t>wilcoxon_signed_rank</t>
        </is>
      </c>
      <c r="H21" s="9" t="inlineStr">
        <is>
          <t>RQ_full500_LRS</t>
        </is>
      </c>
    </row>
    <row r="22">
      <c r="A22" s="5" t="inlineStr">
        <is>
          <t>RQ_full500</t>
        </is>
      </c>
      <c r="B22" s="5" t="inlineStr">
        <is>
          <t>primary</t>
        </is>
      </c>
      <c r="C22" s="5" t="inlineStr">
        <is>
          <t>full500</t>
        </is>
      </c>
      <c r="D22" s="5" t="inlineStr">
        <is>
          <t>rq_all500</t>
        </is>
      </c>
      <c r="E22" s="5" t="inlineStr">
        <is>
          <t>g20_cot</t>
        </is>
      </c>
      <c r="F22" s="9" t="inlineStr">
        <is>
          <t>accuracy</t>
        </is>
      </c>
      <c r="G22" s="9" t="inlineStr">
        <is>
          <t>exact_mcnemar</t>
        </is>
      </c>
      <c r="H22" s="9" t="inlineStr">
        <is>
          <t>RQ_full500_accuracy</t>
        </is>
      </c>
    </row>
    <row r="23">
      <c r="A23" s="5" t="inlineStr">
        <is>
          <t>RQ_full500</t>
        </is>
      </c>
      <c r="B23" s="5" t="inlineStr">
        <is>
          <t>primary</t>
        </is>
      </c>
      <c r="C23" s="5" t="inlineStr">
        <is>
          <t>full500</t>
        </is>
      </c>
      <c r="D23" s="5" t="inlineStr">
        <is>
          <t>rq_all500</t>
        </is>
      </c>
      <c r="E23" s="5" t="inlineStr">
        <is>
          <t>g20_cot</t>
        </is>
      </c>
      <c r="F23" s="9" t="inlineStr">
        <is>
          <t>positive_recall</t>
        </is>
      </c>
      <c r="G23" s="9" t="inlineStr">
        <is>
          <t>exact_mcnemar</t>
        </is>
      </c>
      <c r="H23" s="9" t="inlineStr">
        <is>
          <t>RQ_full500_positive_recall</t>
        </is>
      </c>
    </row>
    <row r="24">
      <c r="A24" s="5" t="inlineStr">
        <is>
          <t>RQ_full500</t>
        </is>
      </c>
      <c r="B24" s="5" t="inlineStr">
        <is>
          <t>primary</t>
        </is>
      </c>
      <c r="C24" s="5" t="inlineStr">
        <is>
          <t>full500</t>
        </is>
      </c>
      <c r="D24" s="5" t="inlineStr">
        <is>
          <t>rq_all500</t>
        </is>
      </c>
      <c r="E24" s="5" t="inlineStr">
        <is>
          <t>g20_cot</t>
        </is>
      </c>
      <c r="F24" s="9" t="inlineStr">
        <is>
          <t>positive_f1</t>
        </is>
      </c>
      <c r="G24" s="9" t="inlineStr">
        <is>
          <t>paired_stratified_bootstrap_95CI</t>
        </is>
      </c>
      <c r="H24" s="9" t="inlineStr">
        <is>
          <t>RQ_full500_positive_f1</t>
        </is>
      </c>
    </row>
    <row r="25">
      <c r="A25" s="5" t="inlineStr">
        <is>
          <t>RQ_full500</t>
        </is>
      </c>
      <c r="B25" s="5" t="inlineStr">
        <is>
          <t>primary</t>
        </is>
      </c>
      <c r="C25" s="5" t="inlineStr">
        <is>
          <t>full500</t>
        </is>
      </c>
      <c r="D25" s="5" t="inlineStr">
        <is>
          <t>rq_all500</t>
        </is>
      </c>
      <c r="E25" s="5" t="inlineStr">
        <is>
          <t>g20_cot</t>
        </is>
      </c>
      <c r="F25" s="9" t="inlineStr">
        <is>
          <t>macro_f1</t>
        </is>
      </c>
      <c r="G25" s="9" t="inlineStr">
        <is>
          <t>paired_stratified_bootstrap_95CI</t>
        </is>
      </c>
      <c r="H25" s="9" t="inlineStr">
        <is>
          <t>RQ_full500_macro_f1</t>
        </is>
      </c>
    </row>
    <row r="26">
      <c r="A26" s="5" t="inlineStr">
        <is>
          <t>RQ_full500</t>
        </is>
      </c>
      <c r="B26" s="5" t="inlineStr">
        <is>
          <t>primary</t>
        </is>
      </c>
      <c r="C26" s="5" t="inlineStr">
        <is>
          <t>full500</t>
        </is>
      </c>
      <c r="D26" s="5" t="inlineStr">
        <is>
          <t>rq_all500</t>
        </is>
      </c>
      <c r="E26" s="5" t="inlineStr">
        <is>
          <t>g20_cot</t>
        </is>
      </c>
      <c r="F26" s="9" t="inlineStr">
        <is>
          <t>LRS</t>
        </is>
      </c>
      <c r="G26" s="9" t="inlineStr">
        <is>
          <t>wilcoxon_signed_rank</t>
        </is>
      </c>
      <c r="H26" s="9" t="inlineStr">
        <is>
          <t>RQ_full500_LRS</t>
        </is>
      </c>
    </row>
    <row r="27">
      <c r="A27" s="5" t="inlineStr">
        <is>
          <t>RQ_full500</t>
        </is>
      </c>
      <c r="B27" s="5" t="inlineStr">
        <is>
          <t>primary</t>
        </is>
      </c>
      <c r="C27" s="5" t="inlineStr">
        <is>
          <t>full500</t>
        </is>
      </c>
      <c r="D27" s="5" t="inlineStr">
        <is>
          <t>rq_all500</t>
        </is>
      </c>
      <c r="E27" s="5" t="inlineStr">
        <is>
          <t>g20_ls</t>
        </is>
      </c>
      <c r="F27" s="9" t="inlineStr">
        <is>
          <t>accuracy</t>
        </is>
      </c>
      <c r="G27" s="9" t="inlineStr">
        <is>
          <t>exact_mcnemar</t>
        </is>
      </c>
      <c r="H27" s="9" t="inlineStr">
        <is>
          <t>RQ_full500_accuracy</t>
        </is>
      </c>
    </row>
    <row r="28">
      <c r="A28" s="5" t="inlineStr">
        <is>
          <t>RQ_full500</t>
        </is>
      </c>
      <c r="B28" s="5" t="inlineStr">
        <is>
          <t>primary</t>
        </is>
      </c>
      <c r="C28" s="5" t="inlineStr">
        <is>
          <t>full500</t>
        </is>
      </c>
      <c r="D28" s="5" t="inlineStr">
        <is>
          <t>rq_all500</t>
        </is>
      </c>
      <c r="E28" s="5" t="inlineStr">
        <is>
          <t>g20_ls</t>
        </is>
      </c>
      <c r="F28" s="9" t="inlineStr">
        <is>
          <t>positive_recall</t>
        </is>
      </c>
      <c r="G28" s="9" t="inlineStr">
        <is>
          <t>exact_mcnemar</t>
        </is>
      </c>
      <c r="H28" s="9" t="inlineStr">
        <is>
          <t>RQ_full500_positive_recall</t>
        </is>
      </c>
    </row>
    <row r="29">
      <c r="A29" s="5" t="inlineStr">
        <is>
          <t>RQ_full500</t>
        </is>
      </c>
      <c r="B29" s="5" t="inlineStr">
        <is>
          <t>primary</t>
        </is>
      </c>
      <c r="C29" s="5" t="inlineStr">
        <is>
          <t>full500</t>
        </is>
      </c>
      <c r="D29" s="5" t="inlineStr">
        <is>
          <t>rq_all500</t>
        </is>
      </c>
      <c r="E29" s="5" t="inlineStr">
        <is>
          <t>g20_ls</t>
        </is>
      </c>
      <c r="F29" s="9" t="inlineStr">
        <is>
          <t>positive_f1</t>
        </is>
      </c>
      <c r="G29" s="9" t="inlineStr">
        <is>
          <t>paired_stratified_bootstrap_95CI</t>
        </is>
      </c>
      <c r="H29" s="9" t="inlineStr">
        <is>
          <t>RQ_full500_positive_f1</t>
        </is>
      </c>
    </row>
    <row r="30">
      <c r="A30" s="5" t="inlineStr">
        <is>
          <t>RQ_full500</t>
        </is>
      </c>
      <c r="B30" s="5" t="inlineStr">
        <is>
          <t>primary</t>
        </is>
      </c>
      <c r="C30" s="5" t="inlineStr">
        <is>
          <t>full500</t>
        </is>
      </c>
      <c r="D30" s="5" t="inlineStr">
        <is>
          <t>rq_all500</t>
        </is>
      </c>
      <c r="E30" s="5" t="inlineStr">
        <is>
          <t>g20_ls</t>
        </is>
      </c>
      <c r="F30" s="9" t="inlineStr">
        <is>
          <t>macro_f1</t>
        </is>
      </c>
      <c r="G30" s="9" t="inlineStr">
        <is>
          <t>paired_stratified_bootstrap_95CI</t>
        </is>
      </c>
      <c r="H30" s="9" t="inlineStr">
        <is>
          <t>RQ_full500_macro_f1</t>
        </is>
      </c>
    </row>
    <row r="31">
      <c r="A31" s="5" t="inlineStr">
        <is>
          <t>RQ_full500</t>
        </is>
      </c>
      <c r="B31" s="5" t="inlineStr">
        <is>
          <t>primary</t>
        </is>
      </c>
      <c r="C31" s="5" t="inlineStr">
        <is>
          <t>full500</t>
        </is>
      </c>
      <c r="D31" s="5" t="inlineStr">
        <is>
          <t>rq_all500</t>
        </is>
      </c>
      <c r="E31" s="5" t="inlineStr">
        <is>
          <t>g20_ls</t>
        </is>
      </c>
      <c r="F31" s="9" t="inlineStr">
        <is>
          <t>LRS</t>
        </is>
      </c>
      <c r="G31" s="9" t="inlineStr">
        <is>
          <t>wilcoxon_signed_rank</t>
        </is>
      </c>
      <c r="H31" s="9" t="inlineStr">
        <is>
          <t>RQ_full500_LRS</t>
        </is>
      </c>
    </row>
    <row r="32">
      <c r="A32" s="5" t="inlineStr">
        <is>
          <t>LoTT_direct477</t>
        </is>
      </c>
      <c r="B32" s="5" t="inlineStr">
        <is>
          <t>secondary</t>
        </is>
      </c>
      <c r="C32" s="5" t="inlineStr">
        <is>
          <t>direct477</t>
        </is>
      </c>
      <c r="D32" s="5" t="inlineStr">
        <is>
          <t>lott_framework</t>
        </is>
      </c>
      <c r="E32" s="5" t="inlineStr">
        <is>
          <t>g20_standard</t>
        </is>
      </c>
      <c r="F32" s="9" t="inlineStr">
        <is>
          <t>accuracy</t>
        </is>
      </c>
      <c r="G32" s="9" t="inlineStr">
        <is>
          <t>exact_mcnemar</t>
        </is>
      </c>
      <c r="H32" s="9" t="inlineStr">
        <is>
          <t>LoTT_direct477_accuracy</t>
        </is>
      </c>
    </row>
    <row r="33">
      <c r="A33" s="5" t="inlineStr">
        <is>
          <t>LoTT_direct477</t>
        </is>
      </c>
      <c r="B33" s="5" t="inlineStr">
        <is>
          <t>secondary</t>
        </is>
      </c>
      <c r="C33" s="5" t="inlineStr">
        <is>
          <t>direct477</t>
        </is>
      </c>
      <c r="D33" s="5" t="inlineStr">
        <is>
          <t>lott_framework</t>
        </is>
      </c>
      <c r="E33" s="5" t="inlineStr">
        <is>
          <t>g20_standard</t>
        </is>
      </c>
      <c r="F33" s="9" t="inlineStr">
        <is>
          <t>positive_recall</t>
        </is>
      </c>
      <c r="G33" s="9" t="inlineStr">
        <is>
          <t>exact_mcnemar</t>
        </is>
      </c>
      <c r="H33" s="9" t="inlineStr">
        <is>
          <t>LoTT_direct477_positive_recall</t>
        </is>
      </c>
    </row>
    <row r="34">
      <c r="A34" s="5" t="inlineStr">
        <is>
          <t>LoTT_direct477</t>
        </is>
      </c>
      <c r="B34" s="5" t="inlineStr">
        <is>
          <t>secondary</t>
        </is>
      </c>
      <c r="C34" s="5" t="inlineStr">
        <is>
          <t>direct477</t>
        </is>
      </c>
      <c r="D34" s="5" t="inlineStr">
        <is>
          <t>lott_framework</t>
        </is>
      </c>
      <c r="E34" s="5" t="inlineStr">
        <is>
          <t>g20_standard</t>
        </is>
      </c>
      <c r="F34" s="9" t="inlineStr">
        <is>
          <t>positive_f1</t>
        </is>
      </c>
      <c r="G34" s="9" t="inlineStr">
        <is>
          <t>paired_stratified_bootstrap_95CI</t>
        </is>
      </c>
      <c r="H34" s="9" t="inlineStr">
        <is>
          <t>LoTT_direct477_positive_f1</t>
        </is>
      </c>
    </row>
    <row r="35">
      <c r="A35" s="5" t="inlineStr">
        <is>
          <t>LoTT_direct477</t>
        </is>
      </c>
      <c r="B35" s="5" t="inlineStr">
        <is>
          <t>secondary</t>
        </is>
      </c>
      <c r="C35" s="5" t="inlineStr">
        <is>
          <t>direct477</t>
        </is>
      </c>
      <c r="D35" s="5" t="inlineStr">
        <is>
          <t>lott_framework</t>
        </is>
      </c>
      <c r="E35" s="5" t="inlineStr">
        <is>
          <t>g20_cot</t>
        </is>
      </c>
      <c r="F35" s="9" t="inlineStr">
        <is>
          <t>accuracy</t>
        </is>
      </c>
      <c r="G35" s="9" t="inlineStr">
        <is>
          <t>exact_mcnemar</t>
        </is>
      </c>
      <c r="H35" s="9" t="inlineStr">
        <is>
          <t>LoTT_direct477_accuracy</t>
        </is>
      </c>
    </row>
    <row r="36">
      <c r="A36" s="5" t="inlineStr">
        <is>
          <t>LoTT_direct477</t>
        </is>
      </c>
      <c r="B36" s="5" t="inlineStr">
        <is>
          <t>secondary</t>
        </is>
      </c>
      <c r="C36" s="5" t="inlineStr">
        <is>
          <t>direct477</t>
        </is>
      </c>
      <c r="D36" s="5" t="inlineStr">
        <is>
          <t>lott_framework</t>
        </is>
      </c>
      <c r="E36" s="5" t="inlineStr">
        <is>
          <t>g20_cot</t>
        </is>
      </c>
      <c r="F36" s="9" t="inlineStr">
        <is>
          <t>positive_recall</t>
        </is>
      </c>
      <c r="G36" s="9" t="inlineStr">
        <is>
          <t>exact_mcnemar</t>
        </is>
      </c>
      <c r="H36" s="9" t="inlineStr">
        <is>
          <t>LoTT_direct477_positive_recall</t>
        </is>
      </c>
    </row>
    <row r="37">
      <c r="A37" s="5" t="inlineStr">
        <is>
          <t>LoTT_direct477</t>
        </is>
      </c>
      <c r="B37" s="5" t="inlineStr">
        <is>
          <t>secondary</t>
        </is>
      </c>
      <c r="C37" s="5" t="inlineStr">
        <is>
          <t>direct477</t>
        </is>
      </c>
      <c r="D37" s="5" t="inlineStr">
        <is>
          <t>lott_framework</t>
        </is>
      </c>
      <c r="E37" s="5" t="inlineStr">
        <is>
          <t>g20_cot</t>
        </is>
      </c>
      <c r="F37" s="9" t="inlineStr">
        <is>
          <t>positive_f1</t>
        </is>
      </c>
      <c r="G37" s="9" t="inlineStr">
        <is>
          <t>paired_stratified_bootstrap_95CI</t>
        </is>
      </c>
      <c r="H37" s="9" t="inlineStr">
        <is>
          <t>LoTT_direct477_positive_f1</t>
        </is>
      </c>
    </row>
    <row r="38">
      <c r="A38" s="5" t="inlineStr">
        <is>
          <t>LoTT_direct477</t>
        </is>
      </c>
      <c r="B38" s="5" t="inlineStr">
        <is>
          <t>secondary</t>
        </is>
      </c>
      <c r="C38" s="5" t="inlineStr">
        <is>
          <t>direct477</t>
        </is>
      </c>
      <c r="D38" s="5" t="inlineStr">
        <is>
          <t>lott_framework</t>
        </is>
      </c>
      <c r="E38" s="5" t="inlineStr">
        <is>
          <t>g20_ls</t>
        </is>
      </c>
      <c r="F38" s="9" t="inlineStr">
        <is>
          <t>accuracy</t>
        </is>
      </c>
      <c r="G38" s="9" t="inlineStr">
        <is>
          <t>exact_mcnemar</t>
        </is>
      </c>
      <c r="H38" s="9" t="inlineStr">
        <is>
          <t>LoTT_direct477_accuracy</t>
        </is>
      </c>
    </row>
    <row r="39">
      <c r="A39" s="5" t="inlineStr">
        <is>
          <t>LoTT_direct477</t>
        </is>
      </c>
      <c r="B39" s="5" t="inlineStr">
        <is>
          <t>secondary</t>
        </is>
      </c>
      <c r="C39" s="5" t="inlineStr">
        <is>
          <t>direct477</t>
        </is>
      </c>
      <c r="D39" s="5" t="inlineStr">
        <is>
          <t>lott_framework</t>
        </is>
      </c>
      <c r="E39" s="5" t="inlineStr">
        <is>
          <t>g20_ls</t>
        </is>
      </c>
      <c r="F39" s="9" t="inlineStr">
        <is>
          <t>positive_recall</t>
        </is>
      </c>
      <c r="G39" s="9" t="inlineStr">
        <is>
          <t>exact_mcnemar</t>
        </is>
      </c>
      <c r="H39" s="9" t="inlineStr">
        <is>
          <t>LoTT_direct477_positive_recall</t>
        </is>
      </c>
    </row>
    <row r="40">
      <c r="A40" s="5" t="inlineStr">
        <is>
          <t>LoTT_direct477</t>
        </is>
      </c>
      <c r="B40" s="5" t="inlineStr">
        <is>
          <t>secondary</t>
        </is>
      </c>
      <c r="C40" s="5" t="inlineStr">
        <is>
          <t>direct477</t>
        </is>
      </c>
      <c r="D40" s="5" t="inlineStr">
        <is>
          <t>lott_framework</t>
        </is>
      </c>
      <c r="E40" s="5" t="inlineStr">
        <is>
          <t>g20_ls</t>
        </is>
      </c>
      <c r="F40" s="9" t="inlineStr">
        <is>
          <t>positive_f1</t>
        </is>
      </c>
      <c r="G40" s="9" t="inlineStr">
        <is>
          <t>paired_stratified_bootstrap_95CI</t>
        </is>
      </c>
      <c r="H40" s="9" t="inlineStr">
        <is>
          <t>LoTT_direct477_positive_f1</t>
        </is>
      </c>
    </row>
    <row r="41">
      <c r="A41" s="5" t="inlineStr">
        <is>
          <t>LoTT_rq23</t>
        </is>
      </c>
      <c r="B41" s="5" t="inlineStr">
        <is>
          <t>exploratory</t>
        </is>
      </c>
      <c r="C41" s="5" t="inlineStr">
        <is>
          <t>rq23_exploratory</t>
        </is>
      </c>
      <c r="D41" s="5" t="inlineStr">
        <is>
          <t>lott_framework</t>
        </is>
      </c>
      <c r="E41" s="5" t="inlineStr">
        <is>
          <t>g20_standard</t>
        </is>
      </c>
      <c r="F41" s="9" t="inlineStr">
        <is>
          <t>accuracy</t>
        </is>
      </c>
      <c r="G41" s="9" t="inlineStr">
        <is>
          <t>exact_mcnemar</t>
        </is>
      </c>
      <c r="H41" s="9" t="inlineStr">
        <is>
          <t>LoTT_rq23_accuracy</t>
        </is>
      </c>
    </row>
    <row r="42">
      <c r="A42" s="5" t="inlineStr">
        <is>
          <t>LoTT_rq23</t>
        </is>
      </c>
      <c r="B42" s="5" t="inlineStr">
        <is>
          <t>exploratory</t>
        </is>
      </c>
      <c r="C42" s="5" t="inlineStr">
        <is>
          <t>rq23_exploratory</t>
        </is>
      </c>
      <c r="D42" s="5" t="inlineStr">
        <is>
          <t>lott_framework</t>
        </is>
      </c>
      <c r="E42" s="5" t="inlineStr">
        <is>
          <t>g20_standard</t>
        </is>
      </c>
      <c r="F42" s="9" t="inlineStr">
        <is>
          <t>positive_recall</t>
        </is>
      </c>
      <c r="G42" s="9" t="inlineStr">
        <is>
          <t>exact_mcnemar</t>
        </is>
      </c>
      <c r="H42" s="9" t="inlineStr">
        <is>
          <t>LoTT_rq23_positive_recall</t>
        </is>
      </c>
    </row>
    <row r="43">
      <c r="A43" s="5" t="inlineStr">
        <is>
          <t>LoTT_rq23</t>
        </is>
      </c>
      <c r="B43" s="5" t="inlineStr">
        <is>
          <t>exploratory</t>
        </is>
      </c>
      <c r="C43" s="5" t="inlineStr">
        <is>
          <t>rq23_exploratory</t>
        </is>
      </c>
      <c r="D43" s="5" t="inlineStr">
        <is>
          <t>lott_framework</t>
        </is>
      </c>
      <c r="E43" s="5" t="inlineStr">
        <is>
          <t>g20_standard</t>
        </is>
      </c>
      <c r="F43" s="9" t="inlineStr">
        <is>
          <t>positive_f1</t>
        </is>
      </c>
      <c r="G43" s="9" t="inlineStr">
        <is>
          <t>paired_stratified_bootstrap_95CI</t>
        </is>
      </c>
      <c r="H43" s="9" t="inlineStr">
        <is>
          <t>LoTT_rq23_positive_f1</t>
        </is>
      </c>
    </row>
    <row r="44">
      <c r="A44" s="5" t="inlineStr">
        <is>
          <t>LoTT_rq23</t>
        </is>
      </c>
      <c r="B44" s="5" t="inlineStr">
        <is>
          <t>exploratory</t>
        </is>
      </c>
      <c r="C44" s="5" t="inlineStr">
        <is>
          <t>rq23_exploratory</t>
        </is>
      </c>
      <c r="D44" s="5" t="inlineStr">
        <is>
          <t>lott_framework</t>
        </is>
      </c>
      <c r="E44" s="5" t="inlineStr">
        <is>
          <t>g20_cot</t>
        </is>
      </c>
      <c r="F44" s="9" t="inlineStr">
        <is>
          <t>accuracy</t>
        </is>
      </c>
      <c r="G44" s="9" t="inlineStr">
        <is>
          <t>exact_mcnemar</t>
        </is>
      </c>
      <c r="H44" s="9" t="inlineStr">
        <is>
          <t>LoTT_rq23_accuracy</t>
        </is>
      </c>
    </row>
    <row r="45">
      <c r="A45" s="5" t="inlineStr">
        <is>
          <t>LoTT_rq23</t>
        </is>
      </c>
      <c r="B45" s="5" t="inlineStr">
        <is>
          <t>exploratory</t>
        </is>
      </c>
      <c r="C45" s="5" t="inlineStr">
        <is>
          <t>rq23_exploratory</t>
        </is>
      </c>
      <c r="D45" s="5" t="inlineStr">
        <is>
          <t>lott_framework</t>
        </is>
      </c>
      <c r="E45" s="5" t="inlineStr">
        <is>
          <t>g20_cot</t>
        </is>
      </c>
      <c r="F45" s="9" t="inlineStr">
        <is>
          <t>positive_recall</t>
        </is>
      </c>
      <c r="G45" s="9" t="inlineStr">
        <is>
          <t>exact_mcnemar</t>
        </is>
      </c>
      <c r="H45" s="9" t="inlineStr">
        <is>
          <t>LoTT_rq23_positive_recall</t>
        </is>
      </c>
    </row>
    <row r="46">
      <c r="A46" s="5" t="inlineStr">
        <is>
          <t>LoTT_rq23</t>
        </is>
      </c>
      <c r="B46" s="5" t="inlineStr">
        <is>
          <t>exploratory</t>
        </is>
      </c>
      <c r="C46" s="5" t="inlineStr">
        <is>
          <t>rq23_exploratory</t>
        </is>
      </c>
      <c r="D46" s="5" t="inlineStr">
        <is>
          <t>lott_framework</t>
        </is>
      </c>
      <c r="E46" s="5" t="inlineStr">
        <is>
          <t>g20_cot</t>
        </is>
      </c>
      <c r="F46" s="9" t="inlineStr">
        <is>
          <t>positive_f1</t>
        </is>
      </c>
      <c r="G46" s="9" t="inlineStr">
        <is>
          <t>paired_stratified_bootstrap_95CI</t>
        </is>
      </c>
      <c r="H46" s="9" t="inlineStr">
        <is>
          <t>LoTT_rq23_positive_f1</t>
        </is>
      </c>
    </row>
    <row r="47">
      <c r="A47" s="5" t="inlineStr">
        <is>
          <t>LoTT_rq23</t>
        </is>
      </c>
      <c r="B47" s="5" t="inlineStr">
        <is>
          <t>exploratory</t>
        </is>
      </c>
      <c r="C47" s="5" t="inlineStr">
        <is>
          <t>rq23_exploratory</t>
        </is>
      </c>
      <c r="D47" s="5" t="inlineStr">
        <is>
          <t>lott_framework</t>
        </is>
      </c>
      <c r="E47" s="5" t="inlineStr">
        <is>
          <t>g20_ls</t>
        </is>
      </c>
      <c r="F47" s="9" t="inlineStr">
        <is>
          <t>accuracy</t>
        </is>
      </c>
      <c r="G47" s="9" t="inlineStr">
        <is>
          <t>exact_mcnemar</t>
        </is>
      </c>
      <c r="H47" s="9" t="inlineStr">
        <is>
          <t>LoTT_rq23_accuracy</t>
        </is>
      </c>
    </row>
    <row r="48">
      <c r="A48" s="5" t="inlineStr">
        <is>
          <t>LoTT_rq23</t>
        </is>
      </c>
      <c r="B48" s="5" t="inlineStr">
        <is>
          <t>exploratory</t>
        </is>
      </c>
      <c r="C48" s="5" t="inlineStr">
        <is>
          <t>rq23_exploratory</t>
        </is>
      </c>
      <c r="D48" s="5" t="inlineStr">
        <is>
          <t>lott_framework</t>
        </is>
      </c>
      <c r="E48" s="5" t="inlineStr">
        <is>
          <t>g20_ls</t>
        </is>
      </c>
      <c r="F48" s="9" t="inlineStr">
        <is>
          <t>positive_recall</t>
        </is>
      </c>
      <c r="G48" s="9" t="inlineStr">
        <is>
          <t>exact_mcnemar</t>
        </is>
      </c>
      <c r="H48" s="9" t="inlineStr">
        <is>
          <t>LoTT_rq23_positive_recall</t>
        </is>
      </c>
    </row>
    <row r="49">
      <c r="A49" s="5" t="inlineStr">
        <is>
          <t>LoTT_rq23</t>
        </is>
      </c>
      <c r="B49" s="5" t="inlineStr">
        <is>
          <t>exploratory</t>
        </is>
      </c>
      <c r="C49" s="5" t="inlineStr">
        <is>
          <t>rq23_exploratory</t>
        </is>
      </c>
      <c r="D49" s="5" t="inlineStr">
        <is>
          <t>lott_framework</t>
        </is>
      </c>
      <c r="E49" s="5" t="inlineStr">
        <is>
          <t>g20_ls</t>
        </is>
      </c>
      <c r="F49" s="9" t="inlineStr">
        <is>
          <t>positive_f1</t>
        </is>
      </c>
      <c r="G49" s="9" t="inlineStr">
        <is>
          <t>paired_stratified_bootstrap_95CI</t>
        </is>
      </c>
      <c r="H49" s="9" t="inlineStr">
        <is>
          <t>LoTT_rq23_positive_f1</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D8"/>
  <sheetViews>
    <sheetView showGridLines="0" tabSelected="1" workbookViewId="0">
      <selection activeCell="B8" sqref="B8"/>
    </sheetView>
  </sheetViews>
  <sheetFormatPr baseColWidth="10" defaultColWidth="8.83203125" defaultRowHeight="15"/>
  <cols>
    <col width="20" customWidth="1" style="13" min="1" max="1"/>
    <col width="14" customWidth="1" style="13" min="2" max="4"/>
  </cols>
  <sheetData>
    <row r="1">
      <c r="A1" s="14" t="inlineStr">
        <is>
          <t>Router coverage summary</t>
        </is>
      </c>
    </row>
    <row r="3" ht="16" customHeight="1" s="13">
      <c r="A3" s="1" t="inlineStr">
        <is>
          <t>metric</t>
        </is>
      </c>
      <c r="B3" s="1" t="inlineStr">
        <is>
          <t>value</t>
        </is>
      </c>
      <c r="C3" s="1" t="inlineStr">
        <is>
          <t>95CI_lower</t>
        </is>
      </c>
      <c r="D3" s="1" t="inlineStr">
        <is>
          <t>95CI_upper</t>
        </is>
      </c>
    </row>
    <row r="4">
      <c r="A4" s="10" t="inlineStr">
        <is>
          <t>n_total_cases</t>
        </is>
      </c>
      <c r="B4" s="4">
        <f>COUNTIF(case_predictions_full500!$B$2:$B$501,"&lt;&gt;")</f>
        <v/>
      </c>
      <c r="C4" s="4" t="inlineStr"/>
      <c r="D4" s="4" t="inlineStr"/>
    </row>
    <row r="5">
      <c r="A5" s="10" t="inlineStr">
        <is>
          <t>n_direct</t>
        </is>
      </c>
      <c r="B5" s="4">
        <f>COUNTIF(case_predictions_full500!$C$2:$C$501,"Direct")</f>
        <v/>
      </c>
      <c r="C5" s="4" t="inlineStr"/>
      <c r="D5" s="4" t="inlineStr"/>
    </row>
    <row r="6">
      <c r="A6" s="10" t="inlineStr">
        <is>
          <t>n_rq</t>
        </is>
      </c>
      <c r="B6" s="4">
        <f>COUNTIF(case_predictions_full500!$C$2:$C$501,"RQ")</f>
        <v/>
      </c>
      <c r="C6" s="4" t="inlineStr"/>
      <c r="D6" s="4" t="inlineStr"/>
    </row>
    <row r="7">
      <c r="A7" s="10" t="inlineStr">
        <is>
          <t>prop_direct</t>
        </is>
      </c>
      <c r="B7" s="11">
        <f>IFERROR(B5/B4,"")</f>
        <v/>
      </c>
      <c r="C7" s="11">
        <f>IF(B4=0,"",(B7+(1.96^2)/(2*B4)-1.96*SQRT((B7*(1-B7)+(1.96^2)/(4*B4))/B4))/(1+(1.96^2)/B4))</f>
        <v/>
      </c>
      <c r="D7" s="11">
        <f>IF(B4=0,"",(B7+(1.96^2)/(2*B4)+1.96*SQRT((B7*(1-B7)+(1.96^2)/(4*B4))/B4))/(1+(1.96^2)/B4))</f>
        <v/>
      </c>
    </row>
    <row r="8">
      <c r="A8" s="10" t="inlineStr">
        <is>
          <t>prop_rq</t>
        </is>
      </c>
      <c r="B8" s="11">
        <f>IFERROR(B6/B4,"")</f>
        <v/>
      </c>
      <c r="C8" s="11">
        <f>IF(B4=0,"",(B8+(1.96^2)/(2*B4)-1.96*SQRT((B8*(1-B8)+(1.96^2)/(4*B4))/B4))/(1+(1.96^2)/B4))</f>
        <v/>
      </c>
      <c r="D8" s="11">
        <f>IF(B4=0,"",(B8+(1.96^2)/(2*B4)+1.96*SQRT((B8*(1-B8)+(1.96^2)/(4*B4))/B4))/(1+(1.96^2)/B4))</f>
        <v/>
      </c>
    </row>
  </sheetData>
  <mergeCells count="1">
    <mergeCell ref="A1:D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2026-04-09T13:55:29Z</dcterms:created>
  <dcterms:modified xsi:type="dcterms:W3CDTF">2026-04-09T14:45:08Z</dcterms:modified>
  <cp:lastModifiedBy>Ali Haydar Ozer</cp:lastModifiedBy>
</cp:coreProperties>
</file>